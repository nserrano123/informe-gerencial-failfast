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" sheetId="1" r:id="rId5"/>
    <sheet state="visible" name="Universo TMS" sheetId="2" r:id="rId6"/>
    <sheet state="visible" name="Plan de Contacto" sheetId="3" r:id="rId7"/>
    <sheet state="visible" name="CRM TMS" sheetId="4" r:id="rId8"/>
    <sheet state="visible" name="IPS" sheetId="5" r:id="rId9"/>
  </sheets>
  <definedNames>
    <definedName hidden="1" localSheetId="4" name="_xlnm._FilterDatabase">IPS!$A$7:$M$3393</definedName>
  </definedNames>
  <calcPr/>
</workbook>
</file>

<file path=xl/sharedStrings.xml><?xml version="1.0" encoding="utf-8"?>
<sst xmlns="http://schemas.openxmlformats.org/spreadsheetml/2006/main" count="30639" uniqueCount="16704">
  <si>
    <t>TABLERO DE CRECIMIENTO — Marco YC (ERP + Agentes 2 semanas)</t>
  </si>
  <si>
    <t>Métricas que importan: WAU Agentes · NRR/Churn ERP · CAC vs LTV · Crecimiento WoW. Amarillo = supuestos que TÚ ajustas.</t>
  </si>
  <si>
    <t>SUPUESTOS DE MOTOR OUTBOUND</t>
  </si>
  <si>
    <t>Reps outbound (FTE humanos)</t>
  </si>
  <si>
    <t>Toques netos / día por rep (asistido por agentes)</t>
  </si>
  <si>
    <t>1er contacto efectivo</t>
  </si>
  <si>
    <t>Días hábiles / semana</t>
  </si>
  <si>
    <t>Reparto de capacidad a TMS (resto va a IPS)</t>
  </si>
  <si>
    <t>%</t>
  </si>
  <si>
    <t>Tasa: toque → conexión con decisor</t>
  </si>
  <si>
    <t>Tasa: conexión → reunión / demo</t>
  </si>
  <si>
    <t>Tasa: reunión → piloto agente (deploy 2 sem)</t>
  </si>
  <si>
    <t>Tasa: piloto → cuenta ERP (land &amp; expand)</t>
  </si>
  <si>
    <t>Meta de crecimiento semanal (WoW)</t>
  </si>
  <si>
    <t>5-7% objetivo PMF</t>
  </si>
  <si>
    <t>EMBUDO SEMANAL (capacidad total → resultados)</t>
  </si>
  <si>
    <t>Toques / día (todo el equipo)</t>
  </si>
  <si>
    <t>Toques / semana</t>
  </si>
  <si>
    <t>Conexiones con decisor / semana</t>
  </si>
  <si>
    <t>Reuniones / demos / semana</t>
  </si>
  <si>
    <t>Pilotos de agente / semana</t>
  </si>
  <si>
    <t>Cuentas ERP nuevas / semana (steady-state)</t>
  </si>
  <si>
    <t>COBERTURA DEL UNIVERSO</t>
  </si>
  <si>
    <t>Empresas TMS activas</t>
  </si>
  <si>
    <t>IPS privadas Bogotá (únicas)</t>
  </si>
  <si>
    <t>Universo combinado (TMS+IPS)</t>
  </si>
  <si>
    <t>Semanas para 1 pasada combinada (capacidad total)</t>
  </si>
  <si>
    <t>Semanas para duplicar (a meta WoW)</t>
  </si>
  <si>
    <t>MÉTRICAS YC — DEFINICIÓN Y META</t>
  </si>
  <si>
    <t>Métrica</t>
  </si>
  <si>
    <t>Definición / fórmula</t>
  </si>
  <si>
    <t>Meta</t>
  </si>
  <si>
    <t>Por qué importa</t>
  </si>
  <si>
    <t>WAU Agentes</t>
  </si>
  <si>
    <t>Empresas que usan el agente ≥1 vez/semana</t>
  </si>
  <si>
    <t>crecer 6%+ WoW</t>
  </si>
  <si>
    <t>Valor real, no vanity</t>
  </si>
  <si>
    <t>NRR (ERP)</t>
  </si>
  <si>
    <t>(MRR inicio + expansión − contracción − churn)/MRR inicio</t>
  </si>
  <si>
    <t>≥ 110%</t>
  </si>
  <si>
    <t>Land &amp; expand sano</t>
  </si>
  <si>
    <t>Churn lógico ERP</t>
  </si>
  <si>
    <t>Cuentas ERP perdidas / total (mes)</t>
  </si>
  <si>
    <t>&lt; 2% mensual</t>
  </si>
  <si>
    <t>ERP debe pegar</t>
  </si>
  <si>
    <t>CAC</t>
  </si>
  <si>
    <t>(Ventas+Mkt) / cuentas nuevas</t>
  </si>
  <si>
    <t>↓ con agentes</t>
  </si>
  <si>
    <t>Eficiencia de capital</t>
  </si>
  <si>
    <t>LTV</t>
  </si>
  <si>
    <t>Ticket × margen bruto / churn</t>
  </si>
  <si>
    <t>—</t>
  </si>
  <si>
    <t>Techo de unit economics</t>
  </si>
  <si>
    <t>LTV / CAC</t>
  </si>
  <si>
    <t>LTV ÷ CAC</t>
  </si>
  <si>
    <t>≥ 3.0x</t>
  </si>
  <si>
    <t>Umbral de aceleradora top</t>
  </si>
  <si>
    <t>Crecimiento WoW</t>
  </si>
  <si>
    <t>(Sem actual − previa)/previa</t>
  </si>
  <si>
    <t>5–7%</t>
  </si>
  <si>
    <t>Velocidad a PMF</t>
  </si>
  <si>
    <t>UNIT ECONOMICS (ajusta amarillos)</t>
  </si>
  <si>
    <t>Ticket ERP mensual (COP)</t>
  </si>
  <si>
    <t>Margen bruto</t>
  </si>
  <si>
    <t>Churn mensual ERP</t>
  </si>
  <si>
    <t>CAC por cuenta (COP)</t>
  </si>
  <si>
    <t>LTV (COP)</t>
  </si>
  <si>
    <t>UNIVERSO TMS — Empresas de transporte de carga habilitadas (ACTIVAS) por departamento</t>
  </si>
  <si>
    <t>Conteo derivado del listado de habilitación. Ordenado por tamaño; tier por concentración (80/20).</t>
  </si>
  <si>
    <t>#</t>
  </si>
  <si>
    <t>Departamento</t>
  </si>
  <si>
    <t>Empresas</t>
  </si>
  <si>
    <t>% del universo</t>
  </si>
  <si>
    <t>% acumulado</t>
  </si>
  <si>
    <t>Tier de ataque</t>
  </si>
  <si>
    <t>Cundinamarca / Bogotá</t>
  </si>
  <si>
    <t>Tier 1</t>
  </si>
  <si>
    <t>Antioquia</t>
  </si>
  <si>
    <t>Atlántico</t>
  </si>
  <si>
    <t>Bolívar</t>
  </si>
  <si>
    <t>Tier 2</t>
  </si>
  <si>
    <t>Boyacá</t>
  </si>
  <si>
    <t>Valle del Cauca</t>
  </si>
  <si>
    <t>Santander</t>
  </si>
  <si>
    <t>Norte de Santander</t>
  </si>
  <si>
    <t>Tier 3</t>
  </si>
  <si>
    <t>Cesar</t>
  </si>
  <si>
    <t>Magdalena</t>
  </si>
  <si>
    <t>Huila</t>
  </si>
  <si>
    <t>Nariño</t>
  </si>
  <si>
    <t>Risaralda</t>
  </si>
  <si>
    <t>Tolima</t>
  </si>
  <si>
    <t>Córdoba</t>
  </si>
  <si>
    <t>La Guajira</t>
  </si>
  <si>
    <t>Caldas</t>
  </si>
  <si>
    <t>Quindío</t>
  </si>
  <si>
    <t>Cauca</t>
  </si>
  <si>
    <t>TOTAL TMS</t>
  </si>
  <si>
    <t>PLAN DE CONTACTO — Metas diarias y semanales por vertical</t>
  </si>
  <si>
    <t>METAS GLOBALES POR VERTICAL (capacidad repartida según Tablero)</t>
  </si>
  <si>
    <t>Vertical</t>
  </si>
  <si>
    <t>Universo</t>
  </si>
  <si>
    <t>Meta toques/día</t>
  </si>
  <si>
    <t>Meta toques/semana</t>
  </si>
  <si>
    <t>Semanas 1 pasada</t>
  </si>
  <si>
    <t>Pilotos/sem (meta)</t>
  </si>
  <si>
    <t>TMS (transporte de carga)</t>
  </si>
  <si>
    <t>IPS privadas Bogotá</t>
  </si>
  <si>
    <t>COMBINADO (capacidad total)</t>
  </si>
  <si>
    <t>Con reparto 50/50: TMS y IPS corren en paralelo. Cambia el % en Tablero para priorizar una vertical.</t>
  </si>
  <si>
    <t>IPS BOGOTÁ — ORDEN DE ATAQUE POR READINESS</t>
  </si>
  <si>
    <t>Prioridad</t>
  </si>
  <si>
    <t>Segmento</t>
  </si>
  <si>
    <t>IPS</t>
  </si>
  <si>
    <t>Semanas (a meta IPS)</t>
  </si>
  <si>
    <t>1</t>
  </si>
  <si>
    <t>A · Lista (gerente+email) → contactar YA</t>
  </si>
  <si>
    <t>2</t>
  </si>
  <si>
    <t>B · Con canal (sin gerente) → enriquecer gerente</t>
  </si>
  <si>
    <t>3</t>
  </si>
  <si>
    <t>C · Requiere enriquecimiento (sin email/tel)</t>
  </si>
  <si>
    <t>SECUENCIA DE ATAQUE TMS (cronograma por región, a la capacidad asignada a TMS)</t>
  </si>
  <si>
    <t>Orden</t>
  </si>
  <si>
    <t>Región</t>
  </si>
  <si>
    <t>Días para cubrir</t>
  </si>
  <si>
    <t>Semana inicio</t>
  </si>
  <si>
    <t>Semana fin (acum.)</t>
  </si>
  <si>
    <t>TOTAL</t>
  </si>
  <si>
    <t>CRM TMS — Pipeline (pega aquí el listado completo; incluye semilla enriquecida de Cundinamarca)</t>
  </si>
  <si>
    <t>NIT</t>
  </si>
  <si>
    <t>Empresa</t>
  </si>
  <si>
    <t>Sitio web</t>
  </si>
  <si>
    <t>Contacto (nombre/cargo)</t>
  </si>
  <si>
    <t>Email / WhatsApp</t>
  </si>
  <si>
    <t>LinkedIn gerente</t>
  </si>
  <si>
    <t>Tier</t>
  </si>
  <si>
    <t>Canal 1er toque</t>
  </si>
  <si>
    <t>Estado</t>
  </si>
  <si>
    <t>Fecha contacto</t>
  </si>
  <si>
    <t>Responsable</t>
  </si>
  <si>
    <t>Notas</t>
  </si>
  <si>
    <t>800037047</t>
  </si>
  <si>
    <t>TRANSPORTES AUTO ALFAN LTDA</t>
  </si>
  <si>
    <t>Cundinamarca</t>
  </si>
  <si>
    <t>trans-autoalfan.com</t>
  </si>
  <si>
    <t>Luis Alberto Zamora - Gte Operacional</t>
  </si>
  <si>
    <t>(601) 4118128</t>
  </si>
  <si>
    <t>Llamada/WhatsApp</t>
  </si>
  <si>
    <t>Por contactar</t>
  </si>
  <si>
    <t>900050309</t>
  </si>
  <si>
    <t>CARGA MUDANZAS COLOMBIA S.A.</t>
  </si>
  <si>
    <t>cargamudanzas.com</t>
  </si>
  <si>
    <t>Gerencia General</t>
  </si>
  <si>
    <t>(601) 8937660</t>
  </si>
  <si>
    <t>Llamada</t>
  </si>
  <si>
    <t>830096376</t>
  </si>
  <si>
    <t>TRANSPORTES HUMADEA LTDA.</t>
  </si>
  <si>
    <t>humadea.com.co</t>
  </si>
  <si>
    <t>Gerencia / Coord. Comercial</t>
  </si>
  <si>
    <t>contacto@humadea.com.co</t>
  </si>
  <si>
    <t>Email</t>
  </si>
  <si>
    <t>860048617</t>
  </si>
  <si>
    <t>COOP. TRANSPORTADORES DE ZIPAQUIRA</t>
  </si>
  <si>
    <t>cootranszipa.com.co</t>
  </si>
  <si>
    <t>Wilmar Gomez - Pte. Consejo</t>
  </si>
  <si>
    <t>gerencia@cootranszipa.com.co</t>
  </si>
  <si>
    <t>860052980</t>
  </si>
  <si>
    <t>SURAMERICANA DE TRANSPORTES S.A.</t>
  </si>
  <si>
    <t>suramericanadetransportes.com</t>
  </si>
  <si>
    <t>Dirección Comercial</t>
  </si>
  <si>
    <t>Comercial@suratrans.com</t>
  </si>
  <si>
    <t>800049934</t>
  </si>
  <si>
    <t>CIA. COLOMBIANA DE CARGA CONCARGA S.A.</t>
  </si>
  <si>
    <t>concarga.co</t>
  </si>
  <si>
    <t>Gerencia Comercial</t>
  </si>
  <si>
    <t>3164018106</t>
  </si>
  <si>
    <t>WhatsApp</t>
  </si>
  <si>
    <t>830042504</t>
  </si>
  <si>
    <t>TRANSPORTES DE CARGA NACIONAL LTDA</t>
  </si>
  <si>
    <t>tcnltda.com</t>
  </si>
  <si>
    <t>Gerencia Ventas</t>
  </si>
  <si>
    <t>ventas@tcnltda.com</t>
  </si>
  <si>
    <t>800121921</t>
  </si>
  <si>
    <t>ENERPETROL S.A.</t>
  </si>
  <si>
    <t>enerpetrolsa.com</t>
  </si>
  <si>
    <t>gerencia@enerpetrolsa.com</t>
  </si>
  <si>
    <t>860026744</t>
  </si>
  <si>
    <t>AGIL CARGO S.A.S (ALDIA)</t>
  </si>
  <si>
    <t>aldialogistica.com</t>
  </si>
  <si>
    <t>Leonel Molina Varela</t>
  </si>
  <si>
    <t>lemolvar@gmail.com / 3164823240</t>
  </si>
  <si>
    <t>890903501</t>
  </si>
  <si>
    <t>INTERANDINA DE TRANSPORTES S.A.</t>
  </si>
  <si>
    <t>inantra.com</t>
  </si>
  <si>
    <t>(601) 8299703</t>
  </si>
  <si>
    <t>800081833</t>
  </si>
  <si>
    <t>LINEAS TECNICAS DE CARGAMENTO S.A.</t>
  </si>
  <si>
    <t>litecar.com</t>
  </si>
  <si>
    <t>(601) 8964170</t>
  </si>
  <si>
    <t>860450987</t>
  </si>
  <si>
    <t>TRANSPORTES JOALCO S.A.</t>
  </si>
  <si>
    <t>transjoalco.com.co</t>
  </si>
  <si>
    <t>Gerencia / Servicio Cliente</t>
  </si>
  <si>
    <t>servicioalcliente@transjoalco.com.co</t>
  </si>
  <si>
    <t>800199898</t>
  </si>
  <si>
    <t>GALOTRANS S.A.</t>
  </si>
  <si>
    <t>galotrans.com</t>
  </si>
  <si>
    <t>Operaciones y Ventas</t>
  </si>
  <si>
    <t>galotrans@galotrans.com / 3103410779</t>
  </si>
  <si>
    <t>860024745</t>
  </si>
  <si>
    <t>TRANSPORTES DUARTE S.A.</t>
  </si>
  <si>
    <t>transduartesa.com</t>
  </si>
  <si>
    <t>Asistente de Gerencia</t>
  </si>
  <si>
    <t>asistentedegerencia@transduartesa.com</t>
  </si>
  <si>
    <t>800129133</t>
  </si>
  <si>
    <t>GRUPO COLOMBIA MUNDO EXPRESS S.A.S.</t>
  </si>
  <si>
    <t>serviclientemundoexpress.com</t>
  </si>
  <si>
    <t>(601) 4001066</t>
  </si>
  <si>
    <t>860510275</t>
  </si>
  <si>
    <t>COORDINADORA (COLOMBIANA DE CARGA)</t>
  </si>
  <si>
    <t>coordinadora.com</t>
  </si>
  <si>
    <t>Atención al Cliente</t>
  </si>
  <si>
    <t>WhatsApp 310 315 7444</t>
  </si>
  <si>
    <t>860016819</t>
  </si>
  <si>
    <t>SERCARGA S.A.S (ALDIA)</t>
  </si>
  <si>
    <t>800185306</t>
  </si>
  <si>
    <t>COLVANES S.A.S. (ENVIA)</t>
  </si>
  <si>
    <t>envia.co</t>
  </si>
  <si>
    <t>Henry A. Cubides Moreno - Rep. Legal</t>
  </si>
  <si>
    <t>contactanos@envia.co</t>
  </si>
  <si>
    <t>IPS PRIVADAS BOGOTÁ — Universo de contacto (gerente · email · teléfono ya enriquecidos)</t>
  </si>
  <si>
    <t>Total IPS únicas:</t>
  </si>
  <si>
    <t>A · Lista (gerente+email):</t>
  </si>
  <si>
    <t>B · Con canal (sin gerente):</t>
  </si>
  <si>
    <t>C · Requiere enriquecimiento:</t>
  </si>
  <si>
    <t>Ordenadas por readiness (A primero). Empieza por las A.</t>
  </si>
  <si>
    <t>Código</t>
  </si>
  <si>
    <t>Gerente</t>
  </si>
  <si>
    <t>Dirección</t>
  </si>
  <si>
    <t>Teléfono</t>
  </si>
  <si>
    <t>URL</t>
  </si>
  <si>
    <t>Readiness</t>
  </si>
  <si>
    <t>Fecha</t>
  </si>
  <si>
    <t>110011953201</t>
  </si>
  <si>
    <t>&amp; ACOMPAÑAMIENTO INTEGRAL AMBULATORIO Y DOMICILIARIO</t>
  </si>
  <si>
    <t>HENRY ALARCON LOPEZ</t>
  </si>
  <si>
    <t>CALLE 119A NO 70-15</t>
  </si>
  <si>
    <t>7026848</t>
  </si>
  <si>
    <t>henry.alarcon@saiadltda.com</t>
  </si>
  <si>
    <t>A · Lista (gerente+email)</t>
  </si>
  <si>
    <t>110014019201</t>
  </si>
  <si>
    <t>11:11 LOOKING GOOD TECHNOLOGIES S.A.S SIGLA 11:11 LGT</t>
  </si>
  <si>
    <t>Paula Andrea Puentes Guevara</t>
  </si>
  <si>
    <t>Carrera 19 # 84 - 17 Of 601 Consultorio 1</t>
  </si>
  <si>
    <t>3043800648</t>
  </si>
  <si>
    <t>contacto@doctoreternal.com</t>
  </si>
  <si>
    <t>110012817401</t>
  </si>
  <si>
    <t>14-85 DENTAL SPA S.A.S</t>
  </si>
  <si>
    <t>BEATRIZ EUGENIA TORO PEÑA</t>
  </si>
  <si>
    <t>CARRERA 14 No. 85-68 OF 303</t>
  </si>
  <si>
    <t>3157056255</t>
  </si>
  <si>
    <t>gerencia2@1485dentalspa.com</t>
  </si>
  <si>
    <t>110012817403</t>
  </si>
  <si>
    <t>14-85 DENTAL SPA SALITRE</t>
  </si>
  <si>
    <t>JEAN-FRANCOIS HENO</t>
  </si>
  <si>
    <t>Carrera 68B # 24 - 39 LOCAL 3-19 - 3-21</t>
  </si>
  <si>
    <t>110012817402</t>
  </si>
  <si>
    <t>14-85 DENTAL SPA UNICENTRO</t>
  </si>
  <si>
    <t>JEAN FRANCOIS MARIE HENO</t>
  </si>
  <si>
    <t>CL 119 #14-42 LC2 PISOS 1 y 2</t>
  </si>
  <si>
    <t>110013961501</t>
  </si>
  <si>
    <t>3D Centro Imagenes Diagnosticas</t>
  </si>
  <si>
    <t>LIZETH JULIANA ARENAS CARDENAS</t>
  </si>
  <si>
    <t>AK 9# 127B-16 LOCAL 3</t>
  </si>
  <si>
    <t>3001959807</t>
  </si>
  <si>
    <t>gerencia@3dcentrodid.com</t>
  </si>
  <si>
    <t>110010985901</t>
  </si>
  <si>
    <t>A UNO DENTAL COLOR</t>
  </si>
  <si>
    <t>LUIS FERNANDO ORTIZ RODRIGUEZ</t>
  </si>
  <si>
    <t>AC 53 # 59 03</t>
  </si>
  <si>
    <t>2220297</t>
  </si>
  <si>
    <t>aunodentalcolor@hotmail.com</t>
  </si>
  <si>
    <t>110014000101</t>
  </si>
  <si>
    <t>A&amp;E SALUD ODONTOLOGIA</t>
  </si>
  <si>
    <t>ORLANDO HERRERA MESINO</t>
  </si>
  <si>
    <t>Calle 125 #21A-18 Piso 2 Oficina 205 Edif Foma 97</t>
  </si>
  <si>
    <t>3123529707</t>
  </si>
  <si>
    <t>AESALUD@AESALUD.COM.CO</t>
  </si>
  <si>
    <t>110011242501</t>
  </si>
  <si>
    <t>A&amp;G SERVICIOS DE SALUD S.A.S</t>
  </si>
  <si>
    <t>SONIA PATRICIA CASTRO ZARATE</t>
  </si>
  <si>
    <t>AC 127 # 71 96</t>
  </si>
  <si>
    <t>7455901-7455902-7455905</t>
  </si>
  <si>
    <t>gerencia@aygserviciosdesalud.com</t>
  </si>
  <si>
    <t>1100112425</t>
  </si>
  <si>
    <t>A&amp;G SERVICIOS DE SALUD S.A.S.</t>
  </si>
  <si>
    <t>RICHARD GOMEZ SILVA</t>
  </si>
  <si>
    <t>auditorensalud@aygserviciosdesalud.com</t>
  </si>
  <si>
    <t>1100109757</t>
  </si>
  <si>
    <t>AAAA ACADEMIA ABSCRITA A ASOCIACION DE ESPECIALISTAS S.A.S</t>
  </si>
  <si>
    <t>VIVAS TROCHEZ ALVARO LEON</t>
  </si>
  <si>
    <t>AV CARACAS # 30 51</t>
  </si>
  <si>
    <t>3124354990</t>
  </si>
  <si>
    <t>calidad@mascercadeusted.com-Clinicadeespecialistas2005@yahoo.es</t>
  </si>
  <si>
    <t>110014146301</t>
  </si>
  <si>
    <t>AB ODONTOLOGIA INTEGRAL</t>
  </si>
  <si>
    <t>JOSE OMAIRO BUSTOS SANCHEZ</t>
  </si>
  <si>
    <t>DIAGONAL 23#69-11 LOCAL 2-242</t>
  </si>
  <si>
    <t>31055446905</t>
  </si>
  <si>
    <t>abodontologia2242@gmail.com</t>
  </si>
  <si>
    <t>1100117629</t>
  </si>
  <si>
    <t>ABC BEBE ECOGRAFIAS MEDICAS LTDA</t>
  </si>
  <si>
    <t>RICARDO MELGAREJO ROMERO</t>
  </si>
  <si>
    <t>CRA 11 nº 96-43 CONSULTORIO 103</t>
  </si>
  <si>
    <t>3183399210</t>
  </si>
  <si>
    <t>ricardopatricia@hotmail.com</t>
  </si>
  <si>
    <t>110012676701</t>
  </si>
  <si>
    <t>ACOFOR LASER S.A.S</t>
  </si>
  <si>
    <t>MARIA JANETH ACOSTA MENDEZ</t>
  </si>
  <si>
    <t>CALLE 119 Nº 7 - 14 CONS 414 - 415</t>
  </si>
  <si>
    <t>6297355 - 6297352 - 2139287</t>
  </si>
  <si>
    <t>acoforlaser2010@gmail.com</t>
  </si>
  <si>
    <t>110011122101</t>
  </si>
  <si>
    <t>ACUDIR SAS</t>
  </si>
  <si>
    <t>PAOLA IVETTE MARTÍNEZ RODRÍGUEZ</t>
  </si>
  <si>
    <t>Carrera 14 No 49-55 local 4</t>
  </si>
  <si>
    <t>2172829</t>
  </si>
  <si>
    <t>acudirltda@gmail.com</t>
  </si>
  <si>
    <t>110012507001</t>
  </si>
  <si>
    <t>ADMINISTRADORA CLINICA LA COLINA SAS</t>
  </si>
  <si>
    <t>JUAN MANUEL OSPINA SANMIGUEL</t>
  </si>
  <si>
    <t>CALLE 167 72 07 PISO 1,PISO 2 (EXCEPTO CONSULTORIOS 215 Y 216),PISO 3, PISO 4,PISO 5,PISO 6,PISO 7 Y PISO 8</t>
  </si>
  <si>
    <t>6013905355</t>
  </si>
  <si>
    <t>notificacionesclc@clinicadelcountry.com</t>
  </si>
  <si>
    <t>1100109599</t>
  </si>
  <si>
    <t>ADMINISTRADORA COUNTRY S.A.S</t>
  </si>
  <si>
    <t>BAPTISTE LIEVANO FELIPE</t>
  </si>
  <si>
    <t>KR 16 # 82 57</t>
  </si>
  <si>
    <t>6013905099</t>
  </si>
  <si>
    <t>notificacionescdc@clinicadelcountry.com</t>
  </si>
  <si>
    <t>1100108064</t>
  </si>
  <si>
    <t>ADN ANALISIS LTDA</t>
  </si>
  <si>
    <t>SALAZAR VALLEJO MARCELA</t>
  </si>
  <si>
    <t>CRA 16 # 82 95 CONS 805</t>
  </si>
  <si>
    <t>2364102</t>
  </si>
  <si>
    <t>info@adnanalisislabs.com</t>
  </si>
  <si>
    <t>www.adnanalisislabs.com</t>
  </si>
  <si>
    <t>1100119508</t>
  </si>
  <si>
    <t>ADRIANA CEBALLOS PORRAS E.U.</t>
  </si>
  <si>
    <t>ADRIANA CEBALLOS PORRAS</t>
  </si>
  <si>
    <t>DG 53 C N 23 - 44 LC 2</t>
  </si>
  <si>
    <t>3460502</t>
  </si>
  <si>
    <t>elitedentalgalerias2008@hotmail.com</t>
  </si>
  <si>
    <t>110013994901</t>
  </si>
  <si>
    <t>ADVANCEDERMA CLÍNICA DERMATOLÓGICA AVANZADA IPS S.A.S. Sigla: ADVANCEDERMA.</t>
  </si>
  <si>
    <t>LUIS FERNANDO GONZALEZ CORTES</t>
  </si>
  <si>
    <t>CRA 16 No. 88 - 81 OFI 707 - 708 - 709</t>
  </si>
  <si>
    <t>3043821546</t>
  </si>
  <si>
    <t>LUISFER1000@GMAIL.COM</t>
  </si>
  <si>
    <t>110012806401</t>
  </si>
  <si>
    <t>AEPSI SAS</t>
  </si>
  <si>
    <t>Yaquelin Huertas Paez</t>
  </si>
  <si>
    <t>Calle 93 B N° 16 - 08 consultorio 301</t>
  </si>
  <si>
    <t>3016260266</t>
  </si>
  <si>
    <t>info@aepsi.com.co</t>
  </si>
  <si>
    <t>110013588302</t>
  </si>
  <si>
    <t>AEQUI MOVISTAR</t>
  </si>
  <si>
    <t>Juliana Montenegro Castillo</t>
  </si>
  <si>
    <t>CALLE 63A 35 16</t>
  </si>
  <si>
    <t>3144394818</t>
  </si>
  <si>
    <t>gerencia@aequi.com.co</t>
  </si>
  <si>
    <t>110013999501</t>
  </si>
  <si>
    <t>AEQUSST MEDICINA PREVENTIVA SAS</t>
  </si>
  <si>
    <t>ADRIANA PRIETO CASTIBLANCO</t>
  </si>
  <si>
    <t>CALLE 18#9-20 LOCAL 405</t>
  </si>
  <si>
    <t>3102830124</t>
  </si>
  <si>
    <t>notificaciones.aequsst@gmail.com</t>
  </si>
  <si>
    <t>110013863401</t>
  </si>
  <si>
    <t>AEROMAS SAS</t>
  </si>
  <si>
    <t>MILLER AUGUSTO VARGAS ZAMORA</t>
  </si>
  <si>
    <t>Avenida Calle 26 113 81 Aeropuerto Internacional El Dorado En 6 Hg 15 Piso 1 Nzag</t>
  </si>
  <si>
    <t>3175867106</t>
  </si>
  <si>
    <t>habilitacion@aeromas.com.co</t>
  </si>
  <si>
    <t>110011627501</t>
  </si>
  <si>
    <t>AESTHETIC MEDICAL SPA</t>
  </si>
  <si>
    <t>UMAR JOSE ABELLO RODRIGEZ</t>
  </si>
  <si>
    <t>KR 10 No. 96 - 25 CS 403</t>
  </si>
  <si>
    <t>6160557</t>
  </si>
  <si>
    <t>aestheticmedical1@gmail.com</t>
  </si>
  <si>
    <t>110012139901</t>
  </si>
  <si>
    <t>AG INSTITUTE CIRUGÍA PLÁSTICA, RECONSTRUCTIVA Y SALUD ESTETICA I.P.S. S.A.S</t>
  </si>
  <si>
    <t>JAMES ALEXIS ZAMBRANO HERNÁNDEZ</t>
  </si>
  <si>
    <t>Carrera 7 BIS No 124 - 26 Oficina 201</t>
  </si>
  <si>
    <t>7424270</t>
  </si>
  <si>
    <t>contacto@alangonzalez.com</t>
  </si>
  <si>
    <t>110012223501</t>
  </si>
  <si>
    <t>AGUA SPA ALEXANDRA GARCIA</t>
  </si>
  <si>
    <t>NELLY YADIRA DALEL MARTINEZ</t>
  </si>
  <si>
    <t>CRA 15 No. 134 -21</t>
  </si>
  <si>
    <t>3112500492</t>
  </si>
  <si>
    <t>misapita1234@hotmail.com</t>
  </si>
  <si>
    <t>110013890201</t>
  </si>
  <si>
    <t>AI-RAD</t>
  </si>
  <si>
    <t>MARIO ENRIQUE JOYA GALIANO</t>
  </si>
  <si>
    <t>Cr 19 A No 82-85 Consultorio 304 - 307</t>
  </si>
  <si>
    <t>3174379410</t>
  </si>
  <si>
    <t>calidad@rimab.com.co</t>
  </si>
  <si>
    <t>110013561901</t>
  </si>
  <si>
    <t>AIR LIQUIDE COLOMBIA AGENCIA LA CASTELLANA</t>
  </si>
  <si>
    <t>YESMIT JOHANNA ARCINIEGAS LADINO</t>
  </si>
  <si>
    <t>AK 45 # 94 23 TO A PI 2</t>
  </si>
  <si>
    <t>6017424444</t>
  </si>
  <si>
    <t>calidad-salud@airliquide.com</t>
  </si>
  <si>
    <t>110013561902</t>
  </si>
  <si>
    <t>AIR LIQUIDE COLOMBIA AGENCIA LAS AMERICAS</t>
  </si>
  <si>
    <t>PIERRE MARIE VALTON</t>
  </si>
  <si>
    <t>Carrera 44 No 14-95 P 2</t>
  </si>
  <si>
    <t>1100101751</t>
  </si>
  <si>
    <t>ALARCON FORERO SOCIEDAD DE MEDICINA DEPORTIVA LTDA AF MEDICINA DEPORTIVA LTDA</t>
  </si>
  <si>
    <t>FORERO FRANCO JUAN PABLO</t>
  </si>
  <si>
    <t>CALLE 106 No. 17 A 58 PISO 01</t>
  </si>
  <si>
    <t>6372424</t>
  </si>
  <si>
    <t>personalgym@gmail.com</t>
  </si>
  <si>
    <t>1100116446</t>
  </si>
  <si>
    <t>ALEANDES SAS</t>
  </si>
  <si>
    <t>MARIA EUGENIA BELTRAN RODRIGUEZ</t>
  </si>
  <si>
    <t>CARRERA 17 N° 33 A 03</t>
  </si>
  <si>
    <t>3380353-3003258202</t>
  </si>
  <si>
    <t>gerencia.aleandes@gmail.com</t>
  </si>
  <si>
    <t>110012814901</t>
  </si>
  <si>
    <t>ALEJANDRO OROZCO SAS</t>
  </si>
  <si>
    <t>MONICA LILIANA RODRIGUEZ AVENDAÑO</t>
  </si>
  <si>
    <t>AV CLL 116 No.9 72 CONS 701 702 703</t>
  </si>
  <si>
    <t>3164474264 - 3144578279</t>
  </si>
  <si>
    <t>mrodriguez@gastrocenter.co</t>
  </si>
  <si>
    <t>110014273601</t>
  </si>
  <si>
    <t>ALGESIA HEALTH CARE</t>
  </si>
  <si>
    <t>AURA MARIXA GUERRERO LIÑEIRO</t>
  </si>
  <si>
    <t>Cl 93 No. 19 B - 67 CONSULTORIO 404</t>
  </si>
  <si>
    <t>3102035156</t>
  </si>
  <si>
    <t>marixaguerrero@gmail.com</t>
  </si>
  <si>
    <t>1100119311</t>
  </si>
  <si>
    <t>ALIANZA BLESSED S.A.S.</t>
  </si>
  <si>
    <t>LESLY PATRICIA LINARES MARTINEZ</t>
  </si>
  <si>
    <t>DIAGONAL 115A No 70C-75 LOCAL 1</t>
  </si>
  <si>
    <t>6012262906- 3013057933</t>
  </si>
  <si>
    <t>alianzablessed@gmail.com</t>
  </si>
  <si>
    <t>110013365101</t>
  </si>
  <si>
    <t>ALIANZA DIAGNOSTICA Y QUIRURGICA LIFE SAS SIGLA ADQ LIFE SAS</t>
  </si>
  <si>
    <t>IVAN ROGELIO URIBE CORREA</t>
  </si>
  <si>
    <t>Carrera 7 C #125 11 Consult 201,202,203,204,205,206. piso 3Consult 305,306,307,308,309,310.piso 4 Consult 403,406,407,408.</t>
  </si>
  <si>
    <t>7954100 - 3015162303</t>
  </si>
  <si>
    <t>coordinacionadministrativa@centromedicolife.com</t>
  </si>
  <si>
    <t>110013800401</t>
  </si>
  <si>
    <t>ALIANZA SALUD LABORAL SAS</t>
  </si>
  <si>
    <t>DANIEL MOYA LOZANO</t>
  </si>
  <si>
    <t>Avenida Carrera 19 #95-55 Consultorio 310</t>
  </si>
  <si>
    <t>3202820651</t>
  </si>
  <si>
    <t>alianza.saludlaboral@gmail.com</t>
  </si>
  <si>
    <t>1100105464</t>
  </si>
  <si>
    <t>ALIRIO GUTIERREZ MILLAN Y CIA SAS UNIDAD DE ATENCIÓN PRIMARIA DARSALUD</t>
  </si>
  <si>
    <t>GUTIERREZ MILLAN ALIRIO</t>
  </si>
  <si>
    <t>KR 78 K # 33 A 76 SUR</t>
  </si>
  <si>
    <t>2657599</t>
  </si>
  <si>
    <t>DARSALUD@HOTMAIL.COM</t>
  </si>
  <si>
    <t>110013978201</t>
  </si>
  <si>
    <t>ALIVIA MEDICAL CENTER SAS</t>
  </si>
  <si>
    <t>Melissa Isabel Agamez de Avila</t>
  </si>
  <si>
    <t>Carrera 7 Bis # 124-56 Oficina 602</t>
  </si>
  <si>
    <t>3246657371</t>
  </si>
  <si>
    <t>info@aliviamedicalcenter.com</t>
  </si>
  <si>
    <t>110014084201</t>
  </si>
  <si>
    <t>ALLIANCE SERVICIOS ODONTOLÓGICOS IPS SAS</t>
  </si>
  <si>
    <t>PAOLA ANDREA PAEZ CONTRERAS</t>
  </si>
  <si>
    <t>Cra 19A #79-18 Consultorio 704</t>
  </si>
  <si>
    <t>3102285870</t>
  </si>
  <si>
    <t>allianceclinicadental@gmail.com</t>
  </si>
  <si>
    <t>110014067101</t>
  </si>
  <si>
    <t>ALMO CARE S.A.S.</t>
  </si>
  <si>
    <t>martha lucia peñarredonda franco</t>
  </si>
  <si>
    <t>avenida carrera 19 Nº 108 - 45 oficina 402</t>
  </si>
  <si>
    <t>3002601698</t>
  </si>
  <si>
    <t>almocaresas@gmail.com</t>
  </si>
  <si>
    <t>110012199401</t>
  </si>
  <si>
    <t>ALVARADO RODRIGUEZ ARENAS ORTODONCISTAS ASOCIADOS SAS SIGLA CLINICA ODONTOLOGICA ODONTO ESTETIK</t>
  </si>
  <si>
    <t>ALVARO ENRIQUE ALVARADO GOMEZ</t>
  </si>
  <si>
    <t>KR. 53 No. 45a-06 SUR</t>
  </si>
  <si>
    <t>2388823-3102574952</t>
  </si>
  <si>
    <t>odontoestetik2010@hotmail.com</t>
  </si>
  <si>
    <t>110013951601</t>
  </si>
  <si>
    <t>AMAYA CLINIC PLASTIC SURGERY</t>
  </si>
  <si>
    <t>FELIPE AMAYA ESPINOSA</t>
  </si>
  <si>
    <t>AK 9 No. 116 - 20 Cs 220 - OF 224</t>
  </si>
  <si>
    <t>3004864618</t>
  </si>
  <si>
    <t>administracion@felipeamaya.com</t>
  </si>
  <si>
    <t>110013768901</t>
  </si>
  <si>
    <t>AMBU-SANAR S.A.S SIGLA AMBUSAS</t>
  </si>
  <si>
    <t>CESAR JERONIMO GARAY JARA</t>
  </si>
  <si>
    <t>CRA 69 K # 79 - 67 Piso 1</t>
  </si>
  <si>
    <t>3212180015</t>
  </si>
  <si>
    <t>ambusanar2021@gmail.com</t>
  </si>
  <si>
    <t>110012127101</t>
  </si>
  <si>
    <t>AMBULANCIAS AEREAS DE COLOMBIA S.A.S.</t>
  </si>
  <si>
    <t>SEBASTIAN PEREZ RESTREPO</t>
  </si>
  <si>
    <t>Carrera 103 # 26-92 Int 09 hangar 182</t>
  </si>
  <si>
    <t>3125488322 3108814575</t>
  </si>
  <si>
    <t>direccionmedica@ambulanciasaereasdecolombia.com administracion@ambulanciasaereasdecolombia.com</t>
  </si>
  <si>
    <t>110012156403</t>
  </si>
  <si>
    <t>AMBULANCIAS ALPHA</t>
  </si>
  <si>
    <t>LILIANA ANGEL ALVAREZ</t>
  </si>
  <si>
    <t>KR 99 # 20 38</t>
  </si>
  <si>
    <t>3136702437 3016810008</t>
  </si>
  <si>
    <t>lidercalidad@medicentrofamiliarips.com</t>
  </si>
  <si>
    <t>1100117197</t>
  </si>
  <si>
    <t>AMBULANCIAS PRIMEROS AUXILIOS LTDA</t>
  </si>
  <si>
    <t>JUAN CARLOS MORALES RODRIGUEZ</t>
  </si>
  <si>
    <t>KR 32 B # 2 43</t>
  </si>
  <si>
    <t>2770977</t>
  </si>
  <si>
    <t>operaciones@apa.net.co</t>
  </si>
  <si>
    <t>110013411801</t>
  </si>
  <si>
    <t>AMBUSALUD RCP</t>
  </si>
  <si>
    <t>ESNEIDY JOHANNA RODRIGUEZ PACHON</t>
  </si>
  <si>
    <t>AK 72 N 74 A 46</t>
  </si>
  <si>
    <t>(+57) 3138432498- 3208906255 (031)7045807</t>
  </si>
  <si>
    <t>ambusaludrcp@gmail.com</t>
  </si>
  <si>
    <t>110013743101</t>
  </si>
  <si>
    <t>AMBUSURE IPS</t>
  </si>
  <si>
    <t>OSCAR ALONSO ROJAS VARGAS</t>
  </si>
  <si>
    <t>TR 77 C 47-16 P1</t>
  </si>
  <si>
    <t>3214882104</t>
  </si>
  <si>
    <t>ambusureips@gmail.com</t>
  </si>
  <si>
    <t>110014060801</t>
  </si>
  <si>
    <t>AMETD SALUD ATENCION INTEGRAL IPS SAS</t>
  </si>
  <si>
    <t>KATHERIN JULIETH SANCHEZ MENDEZ</t>
  </si>
  <si>
    <t>AC 80 # 89A 40 OF 243</t>
  </si>
  <si>
    <t>3186517922</t>
  </si>
  <si>
    <t>gerenciaipsametd@gmail.com</t>
  </si>
  <si>
    <t>110012838402</t>
  </si>
  <si>
    <t>AMI PALLIUM COLOMBIA SAS</t>
  </si>
  <si>
    <t>hugo alberto chacon donoso</t>
  </si>
  <si>
    <t>CARRERA 78 No 17-57 oficina 406</t>
  </si>
  <si>
    <t>3156284710</t>
  </si>
  <si>
    <t>alianzapallium@gmail.com</t>
  </si>
  <si>
    <t>110013252609</t>
  </si>
  <si>
    <t>AMORSAUDE CHAPINERO</t>
  </si>
  <si>
    <t>DIANA CAROLINA SIERRA GAITAN</t>
  </si>
  <si>
    <t>KR 13 Nº 52 - 25 LC 1</t>
  </si>
  <si>
    <t>3015686010 - 3132365176</t>
  </si>
  <si>
    <t>chapinero@ipsdetodos.com</t>
  </si>
  <si>
    <t>110013563214</t>
  </si>
  <si>
    <t>ANALIZAR ALMIRANTE COLON</t>
  </si>
  <si>
    <t>Sandor Tibor Spakovszky</t>
  </si>
  <si>
    <t>KR 16 # 84A -09 CS 522</t>
  </si>
  <si>
    <t>6015938393 Opc 7 Temas normativos</t>
  </si>
  <si>
    <t>yasmin.perez@synlab.co/claudia.dimate@synlab.co/erika.echavarria@synlab.co//alejandra.serna@synlab.co/mariangeles.davila@synlab.co/servicliente@synlab.co</t>
  </si>
  <si>
    <t>110013563217</t>
  </si>
  <si>
    <t>ANALIZAR BOSQUE</t>
  </si>
  <si>
    <t>Avenida Calle 134 #7B-83 oficina 916</t>
  </si>
  <si>
    <t>110013563209</t>
  </si>
  <si>
    <t>ANALIZAR CALLE 103</t>
  </si>
  <si>
    <t>SANDOR TIBOR SPAKOVSKY</t>
  </si>
  <si>
    <t>CL 103 # 14A - 76</t>
  </si>
  <si>
    <t>yasmin.perez@synlab.co / claudia.dimate@synlab.co / erika.echavarria@synlab.co / /alejandra.serna@synlab.co / mariangeles.davila@synlab.co / servicliente@synlab.co</t>
  </si>
  <si>
    <t>110013563216</t>
  </si>
  <si>
    <t>ANALIZAR CALLE 127</t>
  </si>
  <si>
    <t>Av. Calle 127 No 20-16 Cons. 415</t>
  </si>
  <si>
    <t>110013563218</t>
  </si>
  <si>
    <t>ANALIZAR CALLE 170</t>
  </si>
  <si>
    <t>AV CRA 58 # 169A - 55 Local 132 y 133</t>
  </si>
  <si>
    <t>110013563221</t>
  </si>
  <si>
    <t>ANALIZAR CALLE 93</t>
  </si>
  <si>
    <t>Cra. 17 # 93-09 Local 103</t>
  </si>
  <si>
    <t>yasmin.perez@synlab.co/cl audia.dimate@synlab.co/erik a.echavarria@synlab.co//alej andra.serna@synlab.co/mari angeles.davila@synlab.co/se rvicliente@synlab.co</t>
  </si>
  <si>
    <t>110013563225</t>
  </si>
  <si>
    <t>ANALIZAR CEDRITOS</t>
  </si>
  <si>
    <t>Avenida Calle 147 # 17-78 Local 104</t>
  </si>
  <si>
    <t>yasmin.perez@synlab.co/claudia.dimate@synlab.co/erika.echavarria@synlab.co/alejandra.serna@synlab.co/mariangeles.davila@synlab.co/servicliente@synlab.co</t>
  </si>
  <si>
    <t>110013563224</t>
  </si>
  <si>
    <t>ANALIZAR CENTRO INTERNACIONAL</t>
  </si>
  <si>
    <t>Calle 28 # 13A-24 Local 7</t>
  </si>
  <si>
    <t>110013563210</t>
  </si>
  <si>
    <t>ANALIZAR CHAPINERO</t>
  </si>
  <si>
    <t>Carrera 13 # 48 - 26 cons 101</t>
  </si>
  <si>
    <t>yasmin.perez@synlab.co / claudia.dimate@synlab.co / erika.echavarria@synlab.co / /alejandra.serna@synlab.co / mariangeles.davila@synlab.c o / servicliente@synlab.co</t>
  </si>
  <si>
    <t>110013563220</t>
  </si>
  <si>
    <t>ANALIZAR COLINA</t>
  </si>
  <si>
    <t>Avenida Carrera 58 # 137B - 01 Locales: 48,49 y 50 Centro Comercial Portoalegre</t>
  </si>
  <si>
    <t>110013563226</t>
  </si>
  <si>
    <t>ANALIZAR GRAN ESTACION</t>
  </si>
  <si>
    <t>Avenida Carrera 60 # 24 - 09 Local 1-12 C.C. Gran Esación Costado Esfera</t>
  </si>
  <si>
    <t>110010649501</t>
  </si>
  <si>
    <t>ANALIZAR LABORATORIO CLINICO AUTOMATIZADO S.A.S</t>
  </si>
  <si>
    <t>SANDOR TIBOR SPAKOVSZKY</t>
  </si>
  <si>
    <t>CL 103 # 14 A 76</t>
  </si>
  <si>
    <t>thomas.duarte@synlab.co / claudia.dimate@synlab.co / erika.echavarria@synlab.co / /alejandra.serna@synlab.co / mariangeles.davila@synlab.co / servicliente@synlab.co</t>
  </si>
  <si>
    <t>110013563223</t>
  </si>
  <si>
    <t>ANALIZAR MAZUREN</t>
  </si>
  <si>
    <t>Cra 54 No. 152 A- 85 local 6</t>
  </si>
  <si>
    <t>110013563211</t>
  </si>
  <si>
    <t>ANALIZAR MORATO</t>
  </si>
  <si>
    <t>AV CL 116 # 71A - 40</t>
  </si>
  <si>
    <t>110013563227</t>
  </si>
  <si>
    <t>ANALIZAR PORCIÚNCULA</t>
  </si>
  <si>
    <t>Carrera 11 #73-40 Local 2</t>
  </si>
  <si>
    <t>110013563222</t>
  </si>
  <si>
    <t>ANALIZAR PRIMAVERA</t>
  </si>
  <si>
    <t>Calle 79 # 89A -40 Locales 207-208 y 218 C.C Primavera Plaza</t>
  </si>
  <si>
    <t>110013563215</t>
  </si>
  <si>
    <t>ANALIZAR SABANA</t>
  </si>
  <si>
    <t>AK 7 # 119 - 14 LC 109</t>
  </si>
  <si>
    <t>110013563212</t>
  </si>
  <si>
    <t>ANALIZAR SUBA</t>
  </si>
  <si>
    <t>Avenida calle 145 #103B-69 local 203 y 204</t>
  </si>
  <si>
    <t>110013563213</t>
  </si>
  <si>
    <t>ANALIZAR TUNAL</t>
  </si>
  <si>
    <t>Carrera 24 C # 48-94 SUR Locales:301-302 Centro Comercial Ciudad Tunal</t>
  </si>
  <si>
    <t>110011792901</t>
  </si>
  <si>
    <t>ANDAR CALLE 80</t>
  </si>
  <si>
    <t>VICTOR ALFONSO GARCIA ZACIPA</t>
  </si>
  <si>
    <t>AC 80 N 69 K 27</t>
  </si>
  <si>
    <t>3103220823</t>
  </si>
  <si>
    <t>coordinacion@ipsandar.com</t>
  </si>
  <si>
    <t>110014146801</t>
  </si>
  <si>
    <t>ANDES LASER CENTER SEDE CENTRO</t>
  </si>
  <si>
    <t>MARIA ESTRELLA REY GONZALEZ</t>
  </si>
  <si>
    <t>CALLE 18 # 8 - 82 PISO 6</t>
  </si>
  <si>
    <t>3174046055</t>
  </si>
  <si>
    <t>lasercenterandes2024@gmail.com</t>
  </si>
  <si>
    <t>110012251901</t>
  </si>
  <si>
    <t>ANDREA CASTAÑEDA CLINICA ODONTOLOGICA SAS SIGLA ORAL QUALITY</t>
  </si>
  <si>
    <t>ANDREA JHOANA CASTAÑEDA DELGADO</t>
  </si>
  <si>
    <t>CALLE 14 # 19 55 LC 222</t>
  </si>
  <si>
    <t>3023323003 - 9278511</t>
  </si>
  <si>
    <t>andreacastanedaclinica@gmail.com</t>
  </si>
  <si>
    <t>110012264001</t>
  </si>
  <si>
    <t>ANGELA PATRICIA TORRES C SOLUCIONES EN ODONTOLOGÍA S.A.S</t>
  </si>
  <si>
    <t>ANGELA TORRES</t>
  </si>
  <si>
    <t>CARRERA 9 103 A 36 CONS 402</t>
  </si>
  <si>
    <t>3163418786</t>
  </si>
  <si>
    <t>angelitatorres@gmail.com</t>
  </si>
  <si>
    <t>110011522102</t>
  </si>
  <si>
    <t>APM SERVICIOS ASISTENCIALES IPS S.A.S</t>
  </si>
  <si>
    <t>JHON ALEXANDER BUITRAGO AGUDELO</t>
  </si>
  <si>
    <t>CARRERA 16 No 68-74</t>
  </si>
  <si>
    <t>7528708 - 315 3445007</t>
  </si>
  <si>
    <t>administracion@apmasesores.com</t>
  </si>
  <si>
    <t>1100115221</t>
  </si>
  <si>
    <t>APM SERVICIOS ASISTENCIALES IPS S.A.S.</t>
  </si>
  <si>
    <t>GLORIA YANETH LOPEZ BARRERA</t>
  </si>
  <si>
    <t>CARRERA 16 No. 68-74</t>
  </si>
  <si>
    <t>6017036505 3174250361 3153445007</t>
  </si>
  <si>
    <t>110013753501</t>
  </si>
  <si>
    <t>APPSEMI S.A.S</t>
  </si>
  <si>
    <t>HEIDY MARCELA CRUZ ROJAS</t>
  </si>
  <si>
    <t>CL 79B # 29B - 44 Piso 1</t>
  </si>
  <si>
    <t>3237385185</t>
  </si>
  <si>
    <t>appsemiambulancias@gmail.com</t>
  </si>
  <si>
    <t>110013073902</t>
  </si>
  <si>
    <t>APREHSI GROUP</t>
  </si>
  <si>
    <t>JUAN FELIPE BERMUDEZ</t>
  </si>
  <si>
    <t>AV CLL 26 N 68C-61 OFICINA 801</t>
  </si>
  <si>
    <t>3152070111 - 3148718726</t>
  </si>
  <si>
    <t>liderdecalidadensalud@aprehsigroup.com</t>
  </si>
  <si>
    <t>110010562001</t>
  </si>
  <si>
    <t>APRENDAMOS JUNTOS</t>
  </si>
  <si>
    <t>SEBASTIAN PELAEZ PEREZ</t>
  </si>
  <si>
    <t>CL 135A # 10 - 39 piso 1</t>
  </si>
  <si>
    <t>3047026</t>
  </si>
  <si>
    <t>ajuntos2@gmail.com</t>
  </si>
  <si>
    <t>1100116660</t>
  </si>
  <si>
    <t>ARCANGELES FUNDACION PARA LA REHABILITACION INTEGRAL</t>
  </si>
  <si>
    <t>JUAN PABLO SALAZAR SALAMANCA</t>
  </si>
  <si>
    <t>Cra 7 B bis# 132-38 Piso 9 y 10 Edificio Forest Medical Center</t>
  </si>
  <si>
    <t>3336025204</t>
  </si>
  <si>
    <t>direccionejecutiva@arcangeles.org</t>
  </si>
  <si>
    <t>www.arcangeles.org</t>
  </si>
  <si>
    <t>110014235201</t>
  </si>
  <si>
    <t>ARCE 32 ALTA ESTÉTICA DENTAL S.A.S.</t>
  </si>
  <si>
    <t>LARRY ORTEGA JIMENEZ</t>
  </si>
  <si>
    <t>KR 12 No. 98 64 OF 507 ED. ALTHEA</t>
  </si>
  <si>
    <t>3007315528</t>
  </si>
  <si>
    <t>arce32dental@gmail.com</t>
  </si>
  <si>
    <t>110012075501</t>
  </si>
  <si>
    <t>ARCHILA Y RICAURTE SAS</t>
  </si>
  <si>
    <t>MARIA DEL PILAR ARCHILA GOMEZ</t>
  </si>
  <si>
    <t>AK 7 N 119-14 CS 302 P3</t>
  </si>
  <si>
    <t>2152945</t>
  </si>
  <si>
    <t>archilayricaurte@gmail.com</t>
  </si>
  <si>
    <t>110012731701</t>
  </si>
  <si>
    <t>ARCOIRIS DE ESPERANZA S.A.S</t>
  </si>
  <si>
    <t>Lina Paola Bermudez Piñeros</t>
  </si>
  <si>
    <t>CARRERA 73 NUMERO 55 78 BARRIO NORMANDIA</t>
  </si>
  <si>
    <t>3107732715/3143692116/6019158910</t>
  </si>
  <si>
    <t>ipsade@arcoirisdeesperanza.com</t>
  </si>
  <si>
    <t>110012175901</t>
  </si>
  <si>
    <t>ARIZALUD</t>
  </si>
  <si>
    <t>LUIS FERNANDO ARIZA HERNANDEZ</t>
  </si>
  <si>
    <t>TV 87 C # 59 A 23 SUR LC 1</t>
  </si>
  <si>
    <t>9231505-3228493476</t>
  </si>
  <si>
    <t>arizalud@gmail.com</t>
  </si>
  <si>
    <t>110014048201</t>
  </si>
  <si>
    <t>ARLETH BERNAL PSICOLOGÍA ESPECIALIZADA</t>
  </si>
  <si>
    <t>Emiro Jose Chica Quiñones</t>
  </si>
  <si>
    <t>Avenida Carrera 15 # 122 - 35 Consultorio 408</t>
  </si>
  <si>
    <t>3123954053</t>
  </si>
  <si>
    <t>arlethpatriciab@gmail.com</t>
  </si>
  <si>
    <t>1100109035</t>
  </si>
  <si>
    <t>ARMONIA DENTO FACIAL ADF S.A.S</t>
  </si>
  <si>
    <t>GONZALEZ MARIÑO MARCOS DANIEL</t>
  </si>
  <si>
    <t>CARRERA 13 #94A-25/45 OFICINA 501</t>
  </si>
  <si>
    <t>6369188</t>
  </si>
  <si>
    <t>madagon.cirumax@gmail.com</t>
  </si>
  <si>
    <t>110012709901</t>
  </si>
  <si>
    <t>ARTMEDICA SAS BOGOTA</t>
  </si>
  <si>
    <t>RICARDO ANTONIO PINEDA TAMAYO</t>
  </si>
  <si>
    <t>Calle 93 # 19 B 67 Piso 6 Consultorios 605 Y 606 Piso 7 Consultorios 701, 702, 703, 704, 705 Y 706</t>
  </si>
  <si>
    <t>Linea de atencion Nacional 3009120074, WhatsApp 3245737308</t>
  </si>
  <si>
    <t>notificaciones@artmedica.co</t>
  </si>
  <si>
    <t>110012110401</t>
  </si>
  <si>
    <t>ARTRO CENTRO IPS SAS</t>
  </si>
  <si>
    <t>PAULO ANTONIO ALBAN PULGARIN</t>
  </si>
  <si>
    <t>CRA 27B # 73-59 PISO 1</t>
  </si>
  <si>
    <t>5405106 3115219789</t>
  </si>
  <si>
    <t>pauloalban@artrocentro.com</t>
  </si>
  <si>
    <t>110014319901</t>
  </si>
  <si>
    <t>ASIMETRIA CRANEAL COLOMBIA S.A.S.</t>
  </si>
  <si>
    <t>FERNANDO IGNACIO JIMENO JIMENEZ</t>
  </si>
  <si>
    <t>Cr 16 No. 84 A 09 Cs 623 624</t>
  </si>
  <si>
    <t>3138997611</t>
  </si>
  <si>
    <t>asimetriacranealcolombia@gmail.com</t>
  </si>
  <si>
    <t>110011737701</t>
  </si>
  <si>
    <t>ASISFARMA Instituto Medico Bogota</t>
  </si>
  <si>
    <t>JUAN CARLOS TRUJILLO GARCIA</t>
  </si>
  <si>
    <t>KR 13 48-26 CONSULTORIO 104 - 201 - 203 - 204</t>
  </si>
  <si>
    <t>2182002</t>
  </si>
  <si>
    <t>direccionasistencial@asisfarma.com.co</t>
  </si>
  <si>
    <t>1100117377</t>
  </si>
  <si>
    <t>ASISFARMA S.A.S</t>
  </si>
  <si>
    <t>LUZ MARINA VELANDIA MARTINEZ</t>
  </si>
  <si>
    <t>110011737702</t>
  </si>
  <si>
    <t>ASISFARMA SEDE IPS CASTELLANA</t>
  </si>
  <si>
    <t>KR 47 # 93 58</t>
  </si>
  <si>
    <t>110011847702</t>
  </si>
  <si>
    <t>ASISTENCIA CIENTIFICA DE ALTA COMPLEJIDAD S.A.S.</t>
  </si>
  <si>
    <t>B</t>
  </si>
  <si>
    <t>Carrera 22 # 45C 36 cons 207</t>
  </si>
  <si>
    <t>7444497 - 3004204477</t>
  </si>
  <si>
    <t>coord.gerencia@asistenciacientifica.com</t>
  </si>
  <si>
    <t>1100118477</t>
  </si>
  <si>
    <t>ASISTENCIA CIENTIFICA DE ALTA COMPLEJIDAD SAS</t>
  </si>
  <si>
    <t>BERNARDO PACHECO MALDONADO</t>
  </si>
  <si>
    <t>Calle 45B No. 24 - 25 Primer y Segundo piso</t>
  </si>
  <si>
    <t>0</t>
  </si>
  <si>
    <t>110013954701</t>
  </si>
  <si>
    <t>ASISTENCIA MEDICA DE BOGOTA IPS SAS - AMEB IPS</t>
  </si>
  <si>
    <t>SANDRA MILENA GONZALEZ VERGARA</t>
  </si>
  <si>
    <t>DIAGONAL 45 D # 20-74 CONSULTORIO 105</t>
  </si>
  <si>
    <t>3004932405</t>
  </si>
  <si>
    <t>ameb.ips@gmail.com</t>
  </si>
  <si>
    <t>110013678701</t>
  </si>
  <si>
    <t>ASISTENCIA MEDICA ESPECIAL EN SALUD IPS SAS SIGLA AMESALUD IPS SAS</t>
  </si>
  <si>
    <t>YULI MARTINEZ CASTIBLANCO</t>
  </si>
  <si>
    <t>CALLE 42 SUR 78M 35, PRIMER PISO</t>
  </si>
  <si>
    <t>3045779362</t>
  </si>
  <si>
    <t>ipsservices2024@gmail.com</t>
  </si>
  <si>
    <t>110012143801</t>
  </si>
  <si>
    <t>ASISTENCIA MEDICA INTEGRAL S.A.S. INSTITUCION PRESTADORA DE SERVICIO DE SALUD IPS</t>
  </si>
  <si>
    <t>EDUARDO GONZALEZ MARIN</t>
  </si>
  <si>
    <t>Cra 7B Nº 146 - 90</t>
  </si>
  <si>
    <t>6332009 - 6332015</t>
  </si>
  <si>
    <t>jefe.calidad@clinicaodontologicaami.com</t>
  </si>
  <si>
    <t>1100111158</t>
  </si>
  <si>
    <t>ASISTIR SALUD SAS</t>
  </si>
  <si>
    <t>JUAN CARLOS CASTILLO MONROY</t>
  </si>
  <si>
    <t>Calle 64G N° 90A-40</t>
  </si>
  <si>
    <t>601 7441483 - 3187116815</t>
  </si>
  <si>
    <t>direcciondecalidad@asistirsalud.com</t>
  </si>
  <si>
    <t>110011115801</t>
  </si>
  <si>
    <t>ASISTIR SALUD SAS CANDELARIA</t>
  </si>
  <si>
    <t>Calle 59C Sur No. 51 - 21. Local 120 Centro Comercial Plaza El Ensueño</t>
  </si>
  <si>
    <t>110011115803</t>
  </si>
  <si>
    <t>ASISTIR SALUD SAS ENGATIVA</t>
  </si>
  <si>
    <t>CL 64 G # 90 A 40</t>
  </si>
  <si>
    <t>110011115802</t>
  </si>
  <si>
    <t>ASISTIR SALUD SAS FONTIBON</t>
  </si>
  <si>
    <t>KR 99 # 20 C 61</t>
  </si>
  <si>
    <t>110011115804</t>
  </si>
  <si>
    <t>ASISTIR SALUD SAS QUIROGA</t>
  </si>
  <si>
    <t>Avenida Caracas 31-19 Sur</t>
  </si>
  <si>
    <t>110012125501</t>
  </si>
  <si>
    <t>ASISTIRTE SAS</t>
  </si>
  <si>
    <t>RYAN MURILLO SANDOVAL</t>
  </si>
  <si>
    <t>CRA 22 N 45B-38 CONSULTORIO 508 CENTRO MEDICO PALERMO</t>
  </si>
  <si>
    <t>2177186</t>
  </si>
  <si>
    <t>jefe.enfermeria@asistirteips.com</t>
  </si>
  <si>
    <t>110013821901</t>
  </si>
  <si>
    <t>ASLAB</t>
  </si>
  <si>
    <t>GERMAN ANTONIO RINCON CASALLAS</t>
  </si>
  <si>
    <t>CALLE 97 23-37 CONSULTORIO 606, 607</t>
  </si>
  <si>
    <t>53160000</t>
  </si>
  <si>
    <t>servicio@acousticsystem.com</t>
  </si>
  <si>
    <t>110012802301</t>
  </si>
  <si>
    <t>ASMED SALUD SAS</t>
  </si>
  <si>
    <t>JUAN JOSE BRAVO AGREDA</t>
  </si>
  <si>
    <t>CL 4 71 D 73</t>
  </si>
  <si>
    <t>3164541759 - 3173816515</t>
  </si>
  <si>
    <t>asmedsaludsas@gmail.com</t>
  </si>
  <si>
    <t>110011625302</t>
  </si>
  <si>
    <t>ASMEDAN</t>
  </si>
  <si>
    <t>HERNANDO TORRES ZULUAGA</t>
  </si>
  <si>
    <t>AV 1 MAYO # 34- 41</t>
  </si>
  <si>
    <t>3155997385</t>
  </si>
  <si>
    <t>rp.valle@grupoasmedan.com</t>
  </si>
  <si>
    <t>110011625304</t>
  </si>
  <si>
    <t>ASMEDAN SUBA</t>
  </si>
  <si>
    <t>Hernando Manuel Torres Zuluaga</t>
  </si>
  <si>
    <t>CALLE 139 Nº 101C - 06</t>
  </si>
  <si>
    <t>r.valle@grupoasmedan.com</t>
  </si>
  <si>
    <t>110010099702</t>
  </si>
  <si>
    <t>ASOCIACION CENTRO DE ATENCION PARA NIÑOS CON TRASTORNOS SENSORIOMOTORES ""ACONIÑO"</t>
  </si>
  <si>
    <t>LUISA FERNANDA VARGAS GUTIERREZ</t>
  </si>
  <si>
    <t>CL 6A No.71A-10</t>
  </si>
  <si>
    <t>2900521</t>
  </si>
  <si>
    <t>administracion@aconino.org</t>
  </si>
  <si>
    <t>1100100997</t>
  </si>
  <si>
    <t>ASOCIACION CENTRO DE ATENCION PARA NIÑOS CON TRASTORNOS SENSORIOMOTORES ""ACONIÑO"""</t>
  </si>
  <si>
    <t>ACEVEDO DE RONDEROS BEATRIZ EUGENIA</t>
  </si>
  <si>
    <t>CALLE 127 B # 45-28</t>
  </si>
  <si>
    <t>6508473</t>
  </si>
  <si>
    <t>http://www.aconino.org/</t>
  </si>
  <si>
    <t>1100100129</t>
  </si>
  <si>
    <t>ASOCIACION CENTRO DE EDUCACION ESPECIAL REHABILITACION Y CAPACITACION RENACER</t>
  </si>
  <si>
    <t>JOSE ERNESTO CHAPARRO SARMIENTO</t>
  </si>
  <si>
    <t>CL 33 # 19 36</t>
  </si>
  <si>
    <t>4807256</t>
  </si>
  <si>
    <t>insrenacer@hotmail.com</t>
  </si>
  <si>
    <t>1100109295</t>
  </si>
  <si>
    <t>ASOCIACION COLOMBIANA DE DIABETES</t>
  </si>
  <si>
    <t>AMADOR ANDRADE MAURICIO HERNANDO</t>
  </si>
  <si>
    <t>DG 39 A BIS # 14 78</t>
  </si>
  <si>
    <t>7440888</t>
  </si>
  <si>
    <t>adiabete@asodiabetes.org</t>
  </si>
  <si>
    <t>1100107927</t>
  </si>
  <si>
    <t>ASOCIACION COLOMBIANA PRO NIÑO CON PARALISIS CEREBRAL -PROPACE</t>
  </si>
  <si>
    <t>CARDENAS PARRA HUMBERTO</t>
  </si>
  <si>
    <t>Cra. 54 Nº 65 - 85 CONS 8 SEGUNDO PISO</t>
  </si>
  <si>
    <t>2504035</t>
  </si>
  <si>
    <t>direccion@propace.org</t>
  </si>
  <si>
    <t>1100103155</t>
  </si>
  <si>
    <t>ASOCIACION DE AMIGOS CONTRA EL CANCER PROSEGUIR</t>
  </si>
  <si>
    <t>GARCIA PARRA GINNA ROCIO</t>
  </si>
  <si>
    <t>CARRERA 16 No 59-04 Barrio:CHAPINERO</t>
  </si>
  <si>
    <t>5557080 EXT 1026</t>
  </si>
  <si>
    <t>calidad@proseguir.org</t>
  </si>
  <si>
    <t>www.proseguir.org</t>
  </si>
  <si>
    <t>110013527501</t>
  </si>
  <si>
    <t>ASOCIACION MEDICA PARA LA ATENCION INTEGRAL S.A.S CLINICA NUEVO MONTERREY</t>
  </si>
  <si>
    <t>JUAN CARLOS TRUJILLO BERNAL</t>
  </si>
  <si>
    <t>CALLE 102 # 70 B 57</t>
  </si>
  <si>
    <t>3225369493-3203734392</t>
  </si>
  <si>
    <t>calidad@nuevomonterrey.com.co</t>
  </si>
  <si>
    <t>1100117312</t>
  </si>
  <si>
    <t>ASOCIACION PROMOTORA DE PROYECTOS SERVICIOS ASESORIAS CULTURALES SOCIALES Y ADMINISTRATIVAS - PROACTIVA</t>
  </si>
  <si>
    <t>JOHAN ADRIAN RUIZ</t>
  </si>
  <si>
    <t>KR 52 # 70 18</t>
  </si>
  <si>
    <t>5447198</t>
  </si>
  <si>
    <t>ASOCIACINPROACTIVA@YAHOO.CES</t>
  </si>
  <si>
    <t>1100110232</t>
  </si>
  <si>
    <t>ASOCIACION SAN BARTOLOME APOSTOL CENTRO MEDICO</t>
  </si>
  <si>
    <t>PABON POLANIA ANTONIO MARIA</t>
  </si>
  <si>
    <t>KR 59 A # 129 B 01</t>
  </si>
  <si>
    <t>2538825 - 3152059917 - 3114988063</t>
  </si>
  <si>
    <t>asociacionsanbartolomeapostol@gmail.com</t>
  </si>
  <si>
    <t>1100108995</t>
  </si>
  <si>
    <t>ASOCIACIÓN PROFAMILIA</t>
  </si>
  <si>
    <t>BUITRAGO RUIZ JAIME</t>
  </si>
  <si>
    <t>CALLE 34 # 14 52</t>
  </si>
  <si>
    <t>(601)4434000</t>
  </si>
  <si>
    <t>jonathan.vargas@profamilia.org.co</t>
  </si>
  <si>
    <t>www.profamilia.org.co</t>
  </si>
  <si>
    <t>1100103183</t>
  </si>
  <si>
    <t>ASOCIADOS EN REPRODUCCION HUMANA SAS</t>
  </si>
  <si>
    <t>CUBILLOS GARCIA MARY JEANNETTE</t>
  </si>
  <si>
    <t>CL 134 # 7 B 83 CS 708</t>
  </si>
  <si>
    <t>(601) 7440055 - 3103440493- 3144443278</t>
  </si>
  <si>
    <t>jeancubi1@gmail.com</t>
  </si>
  <si>
    <t>1100109859</t>
  </si>
  <si>
    <t>ASOCIADOS UNIDAD NACIONAL ODONTOLOGICA A UNO LTDA</t>
  </si>
  <si>
    <t>ORTIZ RODRIGUEZ LUIS FERNANDO</t>
  </si>
  <si>
    <t>1100104870</t>
  </si>
  <si>
    <t>ASONEST SAS</t>
  </si>
  <si>
    <t>PARRA CORREDOR GERMAN DIOGENES</t>
  </si>
  <si>
    <t>Avenida Calle 127 21 60 Consultorio 218-219</t>
  </si>
  <si>
    <t>6158788</t>
  </si>
  <si>
    <t>gerente@asonest.org</t>
  </si>
  <si>
    <t>www.asonest.org</t>
  </si>
  <si>
    <t>110010487001</t>
  </si>
  <si>
    <t>ASONEST SAS CONSULTORIO 218 219</t>
  </si>
  <si>
    <t>GINO LEON BELLO RODRIGUEZ</t>
  </si>
  <si>
    <t>Avenida Calle 127 # 21 60 Consultorio 218 219</t>
  </si>
  <si>
    <t>110012627901</t>
  </si>
  <si>
    <t>ASSO LTDA ASESORIAS Y SERVICIOS EN SALUD OCUPACIONAL</t>
  </si>
  <si>
    <t>FERNANDO DURAN BARRERA</t>
  </si>
  <si>
    <t>CALLE 123 N. 7 - 51 CONSULTORIO 1102</t>
  </si>
  <si>
    <t>6012873029 3002038277</t>
  </si>
  <si>
    <t>saludocupacional@assoltda.com</t>
  </si>
  <si>
    <t>110012509501</t>
  </si>
  <si>
    <t>ATECHDENTAL SAS</t>
  </si>
  <si>
    <t>CONSUELO ZAMBRANO BELTRAN</t>
  </si>
  <si>
    <t>CRA 14 No. 93 - 40 OFICINAS 203-204</t>
  </si>
  <si>
    <t>601-2365716 - 3017156903</t>
  </si>
  <si>
    <t>atechdental@hotmail.com</t>
  </si>
  <si>
    <t>110010426107</t>
  </si>
  <si>
    <t>ATENCION PRIORITARIA CLINICA COLOMBIA</t>
  </si>
  <si>
    <t>ADELINA SANCHEZ PULIDO</t>
  </si>
  <si>
    <t>CL 23 # 66 46 IN 4 CS 516 Y 520</t>
  </si>
  <si>
    <t>7455560-3118980208</t>
  </si>
  <si>
    <t>contabilidad@ieco.com.co</t>
  </si>
  <si>
    <t>110013069601</t>
  </si>
  <si>
    <t>ATENCIÓN EN MEDICINA LABORAL SAS - SIGLA: ATMELA</t>
  </si>
  <si>
    <t>ROLANDO MELO RIAÑO</t>
  </si>
  <si>
    <t>CL 97 # 23 37 PI 7 CS 720 PI 2 CS 205</t>
  </si>
  <si>
    <t>3164740633</t>
  </si>
  <si>
    <t>gerencia.atmela@gmail.com</t>
  </si>
  <si>
    <t>1100117354</t>
  </si>
  <si>
    <t>ATRYS COLOMBIA S.A.S.</t>
  </si>
  <si>
    <t>FERNANDO LEON MEDINA MONSALVE</t>
  </si>
  <si>
    <t>Av Calle 116 # 9-72 Consultorio 410</t>
  </si>
  <si>
    <t>7444187 / 5806969</t>
  </si>
  <si>
    <t>sistemadecalidad-co@atryshealth.com</t>
  </si>
  <si>
    <t>www.atryscolombia.com</t>
  </si>
  <si>
    <t>110011735403</t>
  </si>
  <si>
    <t>ATRYS COLOMBIA SAS</t>
  </si>
  <si>
    <t>JUAN DANIEL SERRANO SANIN</t>
  </si>
  <si>
    <t>Avenida Carrera 15 88 64 Oficina 804 Edificio Zimma P.H.</t>
  </si>
  <si>
    <t>3162417338</t>
  </si>
  <si>
    <t>110012134001</t>
  </si>
  <si>
    <t>AUDIFONOS ALCIRA RAMIREZ SAS</t>
  </si>
  <si>
    <t>CARMEN ALCIRA RAMIREZ GALLO</t>
  </si>
  <si>
    <t>CL. 63 # 11-45 OF. 209 y 213</t>
  </si>
  <si>
    <t>2550054</t>
  </si>
  <si>
    <t>ventas@audifonosalcira.com</t>
  </si>
  <si>
    <t>110013938401</t>
  </si>
  <si>
    <t>AUDIMEDIC CRC</t>
  </si>
  <si>
    <t>MAICOL GUTIERREZ MOSQUERA</t>
  </si>
  <si>
    <t>TRANSVERSAL 18 BIS 14 A 21 SUR LC 1</t>
  </si>
  <si>
    <t>3214327376</t>
  </si>
  <si>
    <t>audimediccrc@gmail.com</t>
  </si>
  <si>
    <t>110011604401</t>
  </si>
  <si>
    <t>AUDIOCOM BOGOTA</t>
  </si>
  <si>
    <t>JAIRO DIEGO PORTILLA TORO</t>
  </si>
  <si>
    <t>Carrera 19 C 90-59</t>
  </si>
  <si>
    <t>(1) 742 09 04 - 3174374863</t>
  </si>
  <si>
    <t>servicio@audiocom.com.co</t>
  </si>
  <si>
    <t>1100116044</t>
  </si>
  <si>
    <t>AUDIOCOM SAS</t>
  </si>
  <si>
    <t>DIEGO PORTILLA TORO</t>
  </si>
  <si>
    <t>www.audiocom-ips.com</t>
  </si>
  <si>
    <t>1100119125</t>
  </si>
  <si>
    <t>AUDIOSALUD INTEGRAL SAS</t>
  </si>
  <si>
    <t>CESAR JOVANY MONTAÑO GOMEZ</t>
  </si>
  <si>
    <t>TV 21 47 76</t>
  </si>
  <si>
    <t>3404777</t>
  </si>
  <si>
    <t>calidad@audiosaludintegral.com</t>
  </si>
  <si>
    <t>WWW.AUDIOSALUDINTEGRAL.COM</t>
  </si>
  <si>
    <t>110012906001</t>
  </si>
  <si>
    <t>AUNARSALUD SERVICIOS INTEGRALES EN SALUD SAS - SIGLA AUNARSALUD</t>
  </si>
  <si>
    <t>JENNY DEL PILAR MARROQUIN PALACIO</t>
  </si>
  <si>
    <t>CALLE 63 Nº 13-34/12 TORRE A PISO 2 Y 6, TORRE B PISO 2,5,6</t>
  </si>
  <si>
    <t>3206164968</t>
  </si>
  <si>
    <t>gerencia@aunarsalud.com</t>
  </si>
  <si>
    <t>110014210504</t>
  </si>
  <si>
    <t>AURAL CENTROS AUDITIVOS JAVERIANA</t>
  </si>
  <si>
    <t>acorrales@widexcolombia.com</t>
  </si>
  <si>
    <t>CARRERA 7 N 45-10 LOCAL 3</t>
  </si>
  <si>
    <t>7450796-310 4188170</t>
  </si>
  <si>
    <t>110014210502</t>
  </si>
  <si>
    <t>AURAL CENTROS AUDITIVOS PLAZA CENTRAL</t>
  </si>
  <si>
    <t>ANGELICA MARIA CORRALES BETANCOURT</t>
  </si>
  <si>
    <t>CR. 65 # 11-50 LC 2-50</t>
  </si>
  <si>
    <t>3177640045</t>
  </si>
  <si>
    <t>110012433101</t>
  </si>
  <si>
    <t>AURAL CENTROS AUDITIVOS PROFESIONALES</t>
  </si>
  <si>
    <t>ANGÉLICA MARÍA CORRALES BETANCOURT</t>
  </si>
  <si>
    <t>KR 7 # 119 - 50 PRIMER PISO</t>
  </si>
  <si>
    <t>110012433102</t>
  </si>
  <si>
    <t>AURAL JAVERIANA</t>
  </si>
  <si>
    <t>JESUS THOMAS HERRERA LOPEZ</t>
  </si>
  <si>
    <t>110013935501</t>
  </si>
  <si>
    <t>AUTOIMMUNITY S.A.S SIGLA AUTOIMMUNITY</t>
  </si>
  <si>
    <t>MARTHA CATALINA ROJAS GUTIERREZ</t>
  </si>
  <si>
    <t>Cl 99 # 49 38 CS 1109</t>
  </si>
  <si>
    <t>3057367025</t>
  </si>
  <si>
    <t>laboratorioautoimmunity@gmail.com</t>
  </si>
  <si>
    <t>110012043601</t>
  </si>
  <si>
    <t>AVAMED DIAGNOSTICO MEDICO S.A.S / SIGLA: AVAMED S.A.S</t>
  </si>
  <si>
    <t>CAROL MELISA OLEJUA OLARTE</t>
  </si>
  <si>
    <t>AVENIDA CARRERA 72 NO. 50 - 37</t>
  </si>
  <si>
    <t>3202780872-3208705323-3136864136</t>
  </si>
  <si>
    <t>gerencia@diagnosticomedico.co</t>
  </si>
  <si>
    <t>110012236601</t>
  </si>
  <si>
    <t>AVANCES TERAPEUTICOS IPS SAS</t>
  </si>
  <si>
    <t>cesar Guiovanni Mendoza Vargas</t>
  </si>
  <si>
    <t>Avenida Carrera 24 no 84-40 LOCAL 101</t>
  </si>
  <si>
    <t>7468830</t>
  </si>
  <si>
    <t>avanceterapeutico@gmail.com</t>
  </si>
  <si>
    <t>110013054401</t>
  </si>
  <si>
    <t>AVANT SALUD INTEGRAL SAS</t>
  </si>
  <si>
    <t>Kelly Vasquez Gamboa</t>
  </si>
  <si>
    <t>CL 150 # 16-56 OF 3008</t>
  </si>
  <si>
    <t>3108797814-3114570187</t>
  </si>
  <si>
    <t>avantsaludintegral@gmail.com</t>
  </si>
  <si>
    <t>110013054402</t>
  </si>
  <si>
    <t>AVANT SALUD INTEGRAL SEDE GALERIAS</t>
  </si>
  <si>
    <t>KELLY JOHANNA VASQUEZ GAMBOA</t>
  </si>
  <si>
    <t>CALLE 53 B 25 21 OFICINA 2226</t>
  </si>
  <si>
    <t>3187244576</t>
  </si>
  <si>
    <t>avantsaludintegral.galerias@gmail.com</t>
  </si>
  <si>
    <t>110012742603</t>
  </si>
  <si>
    <t>AVANZAR IPS REHABILITACIÓN Y HABILITACIÓN SAS</t>
  </si>
  <si>
    <t>JOSE ANDRES REYES CARVAJAL</t>
  </si>
  <si>
    <t>CALLE 18 A SUR # 29B - 79 PISO 1</t>
  </si>
  <si>
    <t>3143906508</t>
  </si>
  <si>
    <t>ipsavanzar@gmail.com</t>
  </si>
  <si>
    <t>110014210601</t>
  </si>
  <si>
    <t>AVEMI SAS</t>
  </si>
  <si>
    <t>ADRIANA DEL PILAR VENEGAS MORTIGO</t>
  </si>
  <si>
    <t>Cl 119 No 14-42 Cs 301-303-304</t>
  </si>
  <si>
    <t>3204449827</t>
  </si>
  <si>
    <t>admin@adrianavenegas.com</t>
  </si>
  <si>
    <t>1100120538</t>
  </si>
  <si>
    <t>AVENIR SALUD SAS</t>
  </si>
  <si>
    <t>Marta Luz Bernal Camacho</t>
  </si>
  <si>
    <t>Cl 50 Nº 8-24 CS 305</t>
  </si>
  <si>
    <t>7026887-3103183025- 7027086</t>
  </si>
  <si>
    <t>martaluz@avenirsalud.com</t>
  </si>
  <si>
    <t>WWW.avenirsalud.com</t>
  </si>
  <si>
    <t>1100111138</t>
  </si>
  <si>
    <t>AXA ASISTENCIA IPS SAS</t>
  </si>
  <si>
    <t>RAOCH MICHAELS INGRID VIVIANA</t>
  </si>
  <si>
    <t>Carrera 14 #98-95 Consultorio 303 edificio chico 99</t>
  </si>
  <si>
    <t>6446156</t>
  </si>
  <si>
    <t>AXAIPS@AXA-ASSISTANCE.COM.CO</t>
  </si>
  <si>
    <t>110012498201</t>
  </si>
  <si>
    <t>AYUDA CLINICA ASOCIADOS S.A.S. SIGLA ACA SAS</t>
  </si>
  <si>
    <t>MARIA CLAUDIA CORDOBA OVIEDO</t>
  </si>
  <si>
    <t>CALLE 134 # 7B-83 CONS 601 EDF. EL BOSQUE</t>
  </si>
  <si>
    <t>(601)4954703 - 3132638593</t>
  </si>
  <si>
    <t>ayudaclinicasas@gmail.com</t>
  </si>
  <si>
    <t>110012433301</t>
  </si>
  <si>
    <t>AYUDA MEDICA DOMICILIARIA Y EMPRESARIAL SOLUCIONES EN SALUD OCUPACIONAL S A S</t>
  </si>
  <si>
    <t>ELVIA FABIOLA FLOREZ ANAYA</t>
  </si>
  <si>
    <t>Carrera 69F # 64F-43 Piso 1</t>
  </si>
  <si>
    <t>601 3907495 3176681051</t>
  </si>
  <si>
    <t>habilitacion@ayudamedica.com.co gerencia@ayudamedica.com.co</t>
  </si>
  <si>
    <t>110012433302</t>
  </si>
  <si>
    <t>AYUDA MEDICA SEDE KENNEDY</t>
  </si>
  <si>
    <t>Elvia Fabiola Florez Anaya</t>
  </si>
  <si>
    <t>Carrera 78 H # 40 A - 21 Sur</t>
  </si>
  <si>
    <t>3176681051 6013907495</t>
  </si>
  <si>
    <t>administracion@ayudamedica.com.co</t>
  </si>
  <si>
    <t>110012124101</t>
  </si>
  <si>
    <t>AYUDA MEDICA TERRITORIAL EN AMBULANCIAS AYMEDT AMBULANCIAS LTDA</t>
  </si>
  <si>
    <t>LEIDY ALEJANDRA FRESNEDA ROJAS</t>
  </si>
  <si>
    <t>KR 20 # 20 41 SUR PISO 1</t>
  </si>
  <si>
    <t>3132072421</t>
  </si>
  <si>
    <t>aymedtambulancias@hotmail.com</t>
  </si>
  <si>
    <t>110010602404</t>
  </si>
  <si>
    <t>AYUDAS DIAGNOSTICAS IPS SURA OLAYA</t>
  </si>
  <si>
    <t>Adriana Isabel Florez</t>
  </si>
  <si>
    <t>CRA 14 No. 26 A 79 SUR PISO 1</t>
  </si>
  <si>
    <t>3178528626 / 3164625445 / 2602100</t>
  </si>
  <si>
    <t>rqext@suramericana.com.co / llbenavidesm@sura.com.co</t>
  </si>
  <si>
    <t>110010602423</t>
  </si>
  <si>
    <t>AYUDAS DIAGNOSTICAS SALUD SURA CALLE 100</t>
  </si>
  <si>
    <t>Cl 100 # 19A - 35 P3 Y P6 Area Central Y Costado Suroccidental Y P7 Costado Sur Occidental P4 Cons11</t>
  </si>
  <si>
    <t>110010602447</t>
  </si>
  <si>
    <t>AYUDAS DIAGNOSTICAS SALUD SURA USAQUEN</t>
  </si>
  <si>
    <t>ADRIANA ISABEL FLOREZ</t>
  </si>
  <si>
    <t>Cl 119 A No 7 74 P 1 Y 2</t>
  </si>
  <si>
    <t>llbenavidesm@sura.com.co / rqext@suramericana.com.co</t>
  </si>
  <si>
    <t>110010602401</t>
  </si>
  <si>
    <t>AYUDAS DIAGNOSTICAS SURA CALLE 49</t>
  </si>
  <si>
    <t>AK 14 No. 49-83 LC 2</t>
  </si>
  <si>
    <t>110010602430</t>
  </si>
  <si>
    <t>AYUDAS DIAGNOSTICAS SURA CENTRAL DE PROCESAMIENTO</t>
  </si>
  <si>
    <t>CL 25D 96B 70 P1B Costado suroccidente P3</t>
  </si>
  <si>
    <t>110010602449</t>
  </si>
  <si>
    <t>AYUDAS DIAGNOSTICAS SURA COUNTRY</t>
  </si>
  <si>
    <t>Cr 16 A No. 84 05 Ps 4 Cons 3</t>
  </si>
  <si>
    <t>RqExt@suramericana.com.co // llbenavidesm@sura.com.co</t>
  </si>
  <si>
    <t>1100106024</t>
  </si>
  <si>
    <t>AYUDAS DIAGNOSTICAS SURA S.A.S</t>
  </si>
  <si>
    <t>SANDRA LEONOR CEBALLOS GOMEZ</t>
  </si>
  <si>
    <t>2602100 3178528626 /3164625445</t>
  </si>
  <si>
    <t>RqExt@suramericana.com.co / llbenavidesm@sura.com.co / gpgonzalez@sura.com.co</t>
  </si>
  <si>
    <t>www.dinamicaips.com.co</t>
  </si>
  <si>
    <t>110010602448</t>
  </si>
  <si>
    <t>AYUDAS DIAGNOSTICAS SURA SANTA BARBARA</t>
  </si>
  <si>
    <t>Ak 19 123 52 Piso 1 Costado Norte Piso 2 Cons 8 Y 9</t>
  </si>
  <si>
    <t>1100111221</t>
  </si>
  <si>
    <t>Acudir SAS</t>
  </si>
  <si>
    <t>CLARA PATRICIA ACUÑA RAMOS</t>
  </si>
  <si>
    <t>www.acudirltda.com</t>
  </si>
  <si>
    <t>110012228001</t>
  </si>
  <si>
    <t>Advance Odontologìa</t>
  </si>
  <si>
    <t>JUAN MANUEL ZARATE BELTRAN</t>
  </si>
  <si>
    <t>Avenida 19 No.102 - 31 local 2-1</t>
  </si>
  <si>
    <t>4674620 -4674621</t>
  </si>
  <si>
    <t>satuple4@hotmail.com</t>
  </si>
  <si>
    <t>110013588301</t>
  </si>
  <si>
    <t>Aequi Country</t>
  </si>
  <si>
    <t>Calle 83 16 A 44 consultorio 501 B - 501 C</t>
  </si>
  <si>
    <t>110013831601</t>
  </si>
  <si>
    <t>Alianza Código Rojo IPS SAS</t>
  </si>
  <si>
    <t>SILVIA ESPERANZA RAQUIRA POVEDA</t>
  </si>
  <si>
    <t>Carrera 18#56 a-46 SUR</t>
  </si>
  <si>
    <t>3227373252</t>
  </si>
  <si>
    <t>medicalsaludcodigorojo@gmail.com</t>
  </si>
  <si>
    <t>110012622101</t>
  </si>
  <si>
    <t>Asoder Consultores S.A.S</t>
  </si>
  <si>
    <t>Jorge Alejandro Carreño Parada</t>
  </si>
  <si>
    <t>Carrera 57A 4D - 12</t>
  </si>
  <si>
    <t>3003720</t>
  </si>
  <si>
    <t>asoderconsultoresas@gmail.com</t>
  </si>
  <si>
    <t>110010602446</t>
  </si>
  <si>
    <t>Ayudas Diagnosticas Salud Sura Norte</t>
  </si>
  <si>
    <t>Cl 98 # 19 A 58</t>
  </si>
  <si>
    <t>110010602445</t>
  </si>
  <si>
    <t>Ayudas Diagnosticas Sura Plaza Central</t>
  </si>
  <si>
    <t>Cr 65 Nº 11 - 50 Lc 2-48</t>
  </si>
  <si>
    <t>rqext@suramericana.com.co / lbenavidesm@sura.com.co</t>
  </si>
  <si>
    <t>110012204701</t>
  </si>
  <si>
    <t>B &amp; B SALUD ORAL PARA TI SAS</t>
  </si>
  <si>
    <t>CARLOS ANDRES BAYONA RODRIGUEZ</t>
  </si>
  <si>
    <t>CL 70 C #106 A - 07 PI1</t>
  </si>
  <si>
    <t>7037301 - 3125666589</t>
  </si>
  <si>
    <t>bybortodoncia@gmail.com</t>
  </si>
  <si>
    <t>1100115941</t>
  </si>
  <si>
    <t>B S P CORPOLASER LTDA</t>
  </si>
  <si>
    <t>BEATRIZ STELLA PEREZ DE GARAVITO</t>
  </si>
  <si>
    <t>KR 13 A No 102 86</t>
  </si>
  <si>
    <t>6122605</t>
  </si>
  <si>
    <t>corpolaser98@hotmail.com</t>
  </si>
  <si>
    <t>110012126401</t>
  </si>
  <si>
    <t>BABYNOVA</t>
  </si>
  <si>
    <t>SIMON HERNANDEZ SERRANO</t>
  </si>
  <si>
    <t>Carrera 16 No 88-81/93 edificio de oficinas 90-16 oficinas 604, 605, 606, 607, 608 y 609</t>
  </si>
  <si>
    <t>3000024</t>
  </si>
  <si>
    <t>gmolinares@novafem.com.co</t>
  </si>
  <si>
    <t>110013707901</t>
  </si>
  <si>
    <t>BAKU IPS CENTRO DE FISIATRIA</t>
  </si>
  <si>
    <t>MIGUEL ADOLFO PARRA GARCIA</t>
  </si>
  <si>
    <t>Cl 119 # 7-14 Cons 716</t>
  </si>
  <si>
    <t>3207013893</t>
  </si>
  <si>
    <t>baku360@hotmail.com</t>
  </si>
  <si>
    <t>110013750201</t>
  </si>
  <si>
    <t>BARUCH CENTRO DE REHABILITACION PARA TRASTORNOS DE LA CONDUCTA Y EL NEURODESAROLLO SAS</t>
  </si>
  <si>
    <t>Sandra Milena Blanco Gaviria</t>
  </si>
  <si>
    <t>Carrera 53 # 44 - 52</t>
  </si>
  <si>
    <t>3118899717</t>
  </si>
  <si>
    <t>ipsbaruch@gmail.com</t>
  </si>
  <si>
    <t>1100108043</t>
  </si>
  <si>
    <t>BAVARIA S.A.</t>
  </si>
  <si>
    <t>ALZATE CASTRO HECTOR HERNAN</t>
  </si>
  <si>
    <t>CL 90 # 19 A 29</t>
  </si>
  <si>
    <t>3477172</t>
  </si>
  <si>
    <t>MCKOHN@BAVARIA.COM.CO</t>
  </si>
  <si>
    <t>110014042101</t>
  </si>
  <si>
    <t>BEAUTYDENT . ODONTOLOGIA S.A.S</t>
  </si>
  <si>
    <t>LAURA XIMENA HERRERA FAJARDO</t>
  </si>
  <si>
    <t>Carrera 62 # 103 44 Oficinas 303-304</t>
  </si>
  <si>
    <t>3163860409</t>
  </si>
  <si>
    <t>beautydent.odontologia@outlook.com</t>
  </si>
  <si>
    <t>1100107164</t>
  </si>
  <si>
    <t>BECERRA TORRES LIMITADA</t>
  </si>
  <si>
    <t>BECERRA TAFUR JAIME GABRIEL</t>
  </si>
  <si>
    <t>CALLE 90 # 11 44 CONS 210</t>
  </si>
  <si>
    <t>6102059</t>
  </si>
  <si>
    <t>jaimebecerraorl@yahoo.com</t>
  </si>
  <si>
    <t>110013891201</t>
  </si>
  <si>
    <t>BEL MEDICINA SAS</t>
  </si>
  <si>
    <t>MARIA PAULA BELLO FLOREZ</t>
  </si>
  <si>
    <t>CALLE 110 # 9 - 25 CONSULTORIO 601-1701</t>
  </si>
  <si>
    <t>3188686761</t>
  </si>
  <si>
    <t>ofertasbelmedicina@gmail.com</t>
  </si>
  <si>
    <t>110014211001</t>
  </si>
  <si>
    <t>BELINNO SAS</t>
  </si>
  <si>
    <t>NADYA CAROLINA OLAYA ALVAREZ</t>
  </si>
  <si>
    <t>CL 90#19A-49 P6 CS 601</t>
  </si>
  <si>
    <t>3106282752</t>
  </si>
  <si>
    <t>carolina@carolinaolaya.com</t>
  </si>
  <si>
    <t>110014054301</t>
  </si>
  <si>
    <t>BEST MEDICAL CARE LATAM IPS SAS- BMC LATAM</t>
  </si>
  <si>
    <t>SANDRA AGUILERA</t>
  </si>
  <si>
    <t>CRA 7 BIS 124 56 CONSULTORIO 706</t>
  </si>
  <si>
    <t>3134965171</t>
  </si>
  <si>
    <t>bestmedicalcareips@gmail.com</t>
  </si>
  <si>
    <t>110013843301</t>
  </si>
  <si>
    <t>BHAVATI IPS SAS</t>
  </si>
  <si>
    <t>CLAUDIO ANDRES SAEZ CATALAN</t>
  </si>
  <si>
    <t>KR 8 # 49 25 OF 408</t>
  </si>
  <si>
    <t>3104673299</t>
  </si>
  <si>
    <t>contactobhavati@telemed-colombia.com.co</t>
  </si>
  <si>
    <t>110013649501</t>
  </si>
  <si>
    <t>BIENAVENTURANZA IPS SAS</t>
  </si>
  <si>
    <t>Angela Jazmin Chacon Rodriguez</t>
  </si>
  <si>
    <t>AV CALLE 53 # 71A-13</t>
  </si>
  <si>
    <t>7432442 ext 4001 Cel 3224205779</t>
  </si>
  <si>
    <t>gestiondecalidad@bienaventuranzaips.com</t>
  </si>
  <si>
    <t>110012123816</t>
  </si>
  <si>
    <t>BIENESTAR IPS CENTRO DE DIAGNOSTICO BOGOTA</t>
  </si>
  <si>
    <t>ALBERTO JOSE MARQUEZ ACOSTA</t>
  </si>
  <si>
    <t>Cr 15 # 68 -31 Lc 2 Ed To De La 52</t>
  </si>
  <si>
    <t>6053854379 Ext. 1219</t>
  </si>
  <si>
    <t>notificacionesjudiciales@zentria.com.co</t>
  </si>
  <si>
    <t>110012123814</t>
  </si>
  <si>
    <t>BIENESTAR IPS GRAN PLAZA BOSA</t>
  </si>
  <si>
    <t>Calle 65 Sur # 78 H - 51 Local 347</t>
  </si>
  <si>
    <t>110012123803</t>
  </si>
  <si>
    <t>BIENESTAR IPS LABORATORIOS</t>
  </si>
  <si>
    <t>ROCIO SARA VERGARA SUCERQUIA</t>
  </si>
  <si>
    <t>Av carrera 40#20-73</t>
  </si>
  <si>
    <t>110012123801</t>
  </si>
  <si>
    <t>BIENESTAR IPS S.A.S. CHAPINERO</t>
  </si>
  <si>
    <t>Carrera 14 A No. 68 - 31</t>
  </si>
  <si>
    <t>110012123802</t>
  </si>
  <si>
    <t>BIENESTAR IPS S.A.S. SEDE COLINAS</t>
  </si>
  <si>
    <t>ESTEPHANIA PINZON LOPEZ</t>
  </si>
  <si>
    <t>Carrera 59 A No. 136-95 Pisos 2 ,3 Y SOTANO</t>
  </si>
  <si>
    <t>110012123817</t>
  </si>
  <si>
    <t>BIENESTAR IPS SEDE CENTRO DE ESPECIALISTAS CORFERIAS</t>
  </si>
  <si>
    <t>Cl 24 D # 40-13</t>
  </si>
  <si>
    <t>110012123812</t>
  </si>
  <si>
    <t>BIENESTAR IPS SEDE EL ENSUEÑO</t>
  </si>
  <si>
    <t>CALLE 59 SUR # 51-21 LOCAL 121 - 122</t>
  </si>
  <si>
    <t>110012123804</t>
  </si>
  <si>
    <t>BIENESTAR IPS SEDE ESPECIALISTAS</t>
  </si>
  <si>
    <t>Anderson Cuellar Solano</t>
  </si>
  <si>
    <t>Calle 69 # 14 A- 31</t>
  </si>
  <si>
    <t>110012123806</t>
  </si>
  <si>
    <t>BIENESTAR IPS SEDE FONTIBON</t>
  </si>
  <si>
    <t>CALLE 25 G No 99 - 42</t>
  </si>
  <si>
    <t>110012123815</t>
  </si>
  <si>
    <t>BIENESTAR IPS SEDE GRAN PLAZA BOSA</t>
  </si>
  <si>
    <t>CL 65 Sur # 78 H 51 LC 260</t>
  </si>
  <si>
    <t>110012123813</t>
  </si>
  <si>
    <t>BIENESTAR IPS SEDE GRAN PLAZA EL ENSUEÑO</t>
  </si>
  <si>
    <t>CALLE 59 SUR # 51-21 LOCAL 265-266</t>
  </si>
  <si>
    <t>110012123807</t>
  </si>
  <si>
    <t>BIENESTAR SEDE CENTENARIO</t>
  </si>
  <si>
    <t>CALLE 26 SUR No 26C - 50</t>
  </si>
  <si>
    <t>110013552201</t>
  </si>
  <si>
    <t>BIGENICS COLOMBIA SAS</t>
  </si>
  <si>
    <t>MARIA LILIANA NIETO PUERTO</t>
  </si>
  <si>
    <t>CARRERA 7 N 113 - 43 OFICINA 706 EDIFICIO TORRE SAMSUNG</t>
  </si>
  <si>
    <t>3508107826</t>
  </si>
  <si>
    <t>info@bigenics.com</t>
  </si>
  <si>
    <t>110011255202</t>
  </si>
  <si>
    <t>BIO ALGA GALERIAS</t>
  </si>
  <si>
    <t>GABRIEL MARIA CASTRO DELGADO</t>
  </si>
  <si>
    <t>AVENIDA CARRERA 19 # 120-71 OF 214 A</t>
  </si>
  <si>
    <t>6019192600-6013125049</t>
  </si>
  <si>
    <t>gerencia@adm.com.co</t>
  </si>
  <si>
    <t>110011255201</t>
  </si>
  <si>
    <t>BIO ALGA SAS</t>
  </si>
  <si>
    <t>KR 11 A # 98 15</t>
  </si>
  <si>
    <t>6019192600 - 6016107147</t>
  </si>
  <si>
    <t>110011255203</t>
  </si>
  <si>
    <t>BIO ALGA SUR</t>
  </si>
  <si>
    <t>ALVARO JOSE CASTRO DELGADO</t>
  </si>
  <si>
    <t>KR 71 D # 6 94 SUR LC 4504</t>
  </si>
  <si>
    <t>6019192600 - 3133587324</t>
  </si>
  <si>
    <t>110013380701</t>
  </si>
  <si>
    <t>BIOARRAY S.A.S</t>
  </si>
  <si>
    <t>LUISA FERNANDA TOBÓN SALAMANCA</t>
  </si>
  <si>
    <t>AV. CALLE 127 N. 20 - 16 CS 208 413</t>
  </si>
  <si>
    <t>3015301356 -7625902</t>
  </si>
  <si>
    <t>luisa.tobon@bioarray.com.co</t>
  </si>
  <si>
    <t>110012167901</t>
  </si>
  <si>
    <t>BIODENT LA VICTORIA S.A.S</t>
  </si>
  <si>
    <t>alba lucia castillo cruz</t>
  </si>
  <si>
    <t>AVENIDA CIUDAD DE VILLAVICENCIO CALLE 37 SUR # 4-05 ESTE LOCAL 201</t>
  </si>
  <si>
    <t>3670415</t>
  </si>
  <si>
    <t>calidadbiodent@gmail.com</t>
  </si>
  <si>
    <t>110013378901</t>
  </si>
  <si>
    <t>BIOENLACE LABORATORIO GENERAL Y ANTIENVEJECIMIENTO S A S BIOENLACE SAS</t>
  </si>
  <si>
    <t>LILIA ADRIANA CARDENAS ROJAS</t>
  </si>
  <si>
    <t>Calle 66 11 50 Oficina 507</t>
  </si>
  <si>
    <t>3153005402</t>
  </si>
  <si>
    <t>administrativo@enlacelabcolombia.com</t>
  </si>
  <si>
    <t>110012046201</t>
  </si>
  <si>
    <t>BIOGENETICA DIAGNOSTICA SAS</t>
  </si>
  <si>
    <t>Z</t>
  </si>
  <si>
    <t>CARRERA 19A#85-11, EDIFICIO IBERIA, PISO 2, INTERIOR 1</t>
  </si>
  <si>
    <t>3472335</t>
  </si>
  <si>
    <t>biogeneticasas@yahoo.es</t>
  </si>
  <si>
    <t>110012165701</t>
  </si>
  <si>
    <t>BIOMAB I P S SAS SIGLA BIOMAB I P S</t>
  </si>
  <si>
    <t>Hugo Alejandro Jaimes Trespalacios</t>
  </si>
  <si>
    <t>CALLE 48 N°13-86</t>
  </si>
  <si>
    <t>7447440</t>
  </si>
  <si>
    <t>notificaciones@biomab.co</t>
  </si>
  <si>
    <t>1100112503</t>
  </si>
  <si>
    <t>BIOMERTLAB LTDA</t>
  </si>
  <si>
    <t>ELIANA TURRINI B</t>
  </si>
  <si>
    <t>AV CALLE 127 No 20-78 CONSULTORIO 205</t>
  </si>
  <si>
    <t>6154711</t>
  </si>
  <si>
    <t>biomertlab416@gmail.com</t>
  </si>
  <si>
    <t>110011723801</t>
  </si>
  <si>
    <t>BIOMOLECULAR DIAGNOSTICA S.A.S</t>
  </si>
  <si>
    <t>ZULMA LILIANA MENDEZ</t>
  </si>
  <si>
    <t>CARRERA 19 A # 85 - 11 PISO 1 OFICINA 102, PISO 3, PISO 4 OFICINA 403, 404 y 405</t>
  </si>
  <si>
    <t>3002664, 3002915</t>
  </si>
  <si>
    <t>calidad@bio-molecular.com</t>
  </si>
  <si>
    <t>1100117238</t>
  </si>
  <si>
    <t>BIOMOLECULAR DIAGNOSTICA S.A.S.</t>
  </si>
  <si>
    <t>CRA 19A NO. 85-11 Piso 1 Of 102, Piso 3, Piso 4 Of 403, 404 Y 405</t>
  </si>
  <si>
    <t>gerencia@bio-molecular.com</t>
  </si>
  <si>
    <t>110010035601</t>
  </si>
  <si>
    <t>BIONUCLEAR</t>
  </si>
  <si>
    <t>ARIEL MORENO CACERES</t>
  </si>
  <si>
    <t>AK 45 # 106 30PI 2</t>
  </si>
  <si>
    <t>3044350519 - 3008589820</t>
  </si>
  <si>
    <t>bionuclearsas@gmail.com</t>
  </si>
  <si>
    <t>1100100356</t>
  </si>
  <si>
    <t>BIONUCLEAR S.A.S</t>
  </si>
  <si>
    <t>MERCEDES CHINOME</t>
  </si>
  <si>
    <t>AK 45 # 106 30 OFICINA 204, CONSULTORIO 201 Y 209</t>
  </si>
  <si>
    <t>110011769601</t>
  </si>
  <si>
    <t>BIOTECGEN LABORATORIO CLINICO</t>
  </si>
  <si>
    <t>Yenny Milena Del Pilar Gomez Parrando</t>
  </si>
  <si>
    <t>Ac 9 62 84 Piso 2 Local - 2-20 Nivel 1 Centro Comercial Outlet Factory</t>
  </si>
  <si>
    <t>3104293855</t>
  </si>
  <si>
    <t>gerenciageneral@biotecgen.com.co</t>
  </si>
  <si>
    <t>110011769604</t>
  </si>
  <si>
    <t>BIOTECGEN LABORATORIO CLINICO CALLE 119</t>
  </si>
  <si>
    <t>Yenny Milena Del Pilar Gomez Parrado</t>
  </si>
  <si>
    <t>Calle 119 No 49-26 Piso 1</t>
  </si>
  <si>
    <t>3113206099</t>
  </si>
  <si>
    <t>garantiadelacalidad@biotecgen.com.co</t>
  </si>
  <si>
    <t>1100117696</t>
  </si>
  <si>
    <t>BIOTECNOLOGIA Y GENETICA S.A.S BIOTECGEN S.A.S</t>
  </si>
  <si>
    <t>MILENA DEL PILAR GOMEZ PARRADO</t>
  </si>
  <si>
    <t>CL 119 49 26 Piso 1</t>
  </si>
  <si>
    <t>https://biotecgen.com.co</t>
  </si>
  <si>
    <t>110012901501</t>
  </si>
  <si>
    <t>BIP IPS SAS</t>
  </si>
  <si>
    <t>Duvan Leonardo Porras Ortiz</t>
  </si>
  <si>
    <t>AK 45 N°93-39 Oficina 101</t>
  </si>
  <si>
    <t>7042621 - 3228576146</t>
  </si>
  <si>
    <t>ymorales@bienestarprimero.com</t>
  </si>
  <si>
    <t>110013114401</t>
  </si>
  <si>
    <t>BLACK FITNESS CENTRO MEDICO DEPORTIVO Y ACONDICIONAMIENTO FISICO</t>
  </si>
  <si>
    <t>JUAN CAMILO BETANCUR MENDOZA</t>
  </si>
  <si>
    <t>CALLE 119 Nº 12- 55 PISO 3 CS 1</t>
  </si>
  <si>
    <t>6456166/3105869372</t>
  </si>
  <si>
    <t>ecorganicos@gmail.com</t>
  </si>
  <si>
    <t>110011931101</t>
  </si>
  <si>
    <t>BLESSEDENT CLINICAS ODONTOLOGICAS</t>
  </si>
  <si>
    <t>CLAUDIA PATRICIA SANCHEZ ORDOÑEZ</t>
  </si>
  <si>
    <t>5337725 5331248</t>
  </si>
  <si>
    <t>110011931102</t>
  </si>
  <si>
    <t>BLESSEDENT SEDE SHAIO</t>
  </si>
  <si>
    <t>DG 115A NO 70C-75 CS 21</t>
  </si>
  <si>
    <t>3013057933</t>
  </si>
  <si>
    <t>110012347408</t>
  </si>
  <si>
    <t>BLUECARE SERVICIOS DOMICILIARIOS</t>
  </si>
  <si>
    <t>JUAN GUILLERMO SALGADO ARIAS</t>
  </si>
  <si>
    <t>Carrera 51 No. 79-51</t>
  </si>
  <si>
    <t>8056098</t>
  </si>
  <si>
    <t>habilitacionCM@bluecare.com.co</t>
  </si>
  <si>
    <t>110012050101</t>
  </si>
  <si>
    <t>BMGC BOGOTA</t>
  </si>
  <si>
    <t>LUIS ALBERTO BARON MOGOLLON</t>
  </si>
  <si>
    <t>KR 10 # 97 A 13 OF 303 TO A</t>
  </si>
  <si>
    <t>3009126897</t>
  </si>
  <si>
    <t>notificaciones@bostonmedical.com.co</t>
  </si>
  <si>
    <t>110012050102</t>
  </si>
  <si>
    <t>BMGC EL DORADO</t>
  </si>
  <si>
    <t>AC 26 No. 69 63 of 314</t>
  </si>
  <si>
    <t>110014201701</t>
  </si>
  <si>
    <t>BOCA VITALE GROUP S.A.S.</t>
  </si>
  <si>
    <t>GINA PAOLA RAMIREZ VELEZ</t>
  </si>
  <si>
    <t>Cr 13 #32 98 Lc 1</t>
  </si>
  <si>
    <t>3125856715</t>
  </si>
  <si>
    <t>gerenciabocavitale@gmail.com</t>
  </si>
  <si>
    <t>110012214604</t>
  </si>
  <si>
    <t>BOCANOVA CENTRO COMERCIAL PLAZA DE LAS AMÉRICAS</t>
  </si>
  <si>
    <t>JENNY ALEXANDRA ARIAS MARTINEZ</t>
  </si>
  <si>
    <t>Carrera 71 D # 6 - 94 Sur Cc Plaza de las Américas Local 1815</t>
  </si>
  <si>
    <t>3244540774 - 3244640839</t>
  </si>
  <si>
    <t>gerencia@bocanova.com.co</t>
  </si>
  <si>
    <t>110012214605</t>
  </si>
  <si>
    <t>BOCANOVA GALERIAS</t>
  </si>
  <si>
    <t>CALLE 52 N° 27 - 22 PISO 1</t>
  </si>
  <si>
    <t>3168770341</t>
  </si>
  <si>
    <t>auditoria@bocanova.com.co</t>
  </si>
  <si>
    <t>110012214603</t>
  </si>
  <si>
    <t>BOCANOVA SUBA</t>
  </si>
  <si>
    <t>TV 60 Nº 128 -46</t>
  </si>
  <si>
    <t>4570134-3015014862</t>
  </si>
  <si>
    <t>110013976501</t>
  </si>
  <si>
    <t>BODYINSTITUTE</t>
  </si>
  <si>
    <t>MARTHA LILIANA CASTELLANOS VARGAS</t>
  </si>
  <si>
    <t>CALLE 95 # 11A - 27 PISO 1 , 3 Y 4</t>
  </si>
  <si>
    <t>3196796327</t>
  </si>
  <si>
    <t>GERENCIA@BODYINSTITUTE.CO</t>
  </si>
  <si>
    <t>1100110152</t>
  </si>
  <si>
    <t>BOGOTA LASER OCULAR SURGERY CENTER S.A</t>
  </si>
  <si>
    <t>TAMAYO HERNANDEZ GUSTAVO ENRIQUE</t>
  </si>
  <si>
    <t>CL 113 # 7 45 TO B OF 1410 - 613 - 1418 - 611</t>
  </si>
  <si>
    <t>6294919-3105851582</t>
  </si>
  <si>
    <t>calidad@bogotalaser.com</t>
  </si>
  <si>
    <t>www.bogotalaser.com</t>
  </si>
  <si>
    <t>110013693901</t>
  </si>
  <si>
    <t>BOGOTÁ NEUROMEDICA SAS</t>
  </si>
  <si>
    <t>Sandra Patricia Gutierrez Hernández</t>
  </si>
  <si>
    <t>CRA 65#11 - 50 CC PLAZA CENTRAL LC 3-09</t>
  </si>
  <si>
    <t>018000413646</t>
  </si>
  <si>
    <t>calidad@neuromedica.com.co</t>
  </si>
  <si>
    <t>110013494101</t>
  </si>
  <si>
    <t>BOLIVAR SALUD IPS S.A.S</t>
  </si>
  <si>
    <t>Luzdary Mercedes López Marsiglia</t>
  </si>
  <si>
    <t>AV EL DORADO # 68 C 61 OFICINA 704 - 733</t>
  </si>
  <si>
    <t>4270500 4270501</t>
  </si>
  <si>
    <t>notificacionesips@saludbolivar.com</t>
  </si>
  <si>
    <t>110013494102</t>
  </si>
  <si>
    <t>BOLIVAR SALUD IPS S.A.S SEDE CALLE 134</t>
  </si>
  <si>
    <t>CALLE 134 # 7B-83 CONS 513</t>
  </si>
  <si>
    <t>3571680</t>
  </si>
  <si>
    <t>110013494103</t>
  </si>
  <si>
    <t>BOLIVAR SALUD IPS S.A.S SEDE CARRERA 10</t>
  </si>
  <si>
    <t>Carrera 10 # 16 -39 Mezzanine 106</t>
  </si>
  <si>
    <t>3410077 ext 98079</t>
  </si>
  <si>
    <t>110013494104</t>
  </si>
  <si>
    <t>BOLIVAR SALUD IPS S.A.S SEDE METRÓPOLIS</t>
  </si>
  <si>
    <t>LUZDARY MERCEDES LÓPEZ MARSIGLIA</t>
  </si>
  <si>
    <t>AK 68 No. 75A 50 Locales 110A, 111A, 112A, 113A, 114A.</t>
  </si>
  <si>
    <t>3208438460</t>
  </si>
  <si>
    <t>lnotificacionesips@saludbolivar.com</t>
  </si>
  <si>
    <t>110011969401</t>
  </si>
  <si>
    <t>BOTELLDENT ODONTOLOGIA ESPECIALIZADA</t>
  </si>
  <si>
    <t>JORGE ELIECER BOTELLO OCAMPO</t>
  </si>
  <si>
    <t>CR 19 C NO. 86 30 OF 305</t>
  </si>
  <si>
    <t>6108877</t>
  </si>
  <si>
    <t>botedent@hotmail.com</t>
  </si>
  <si>
    <t>1100119694</t>
  </si>
  <si>
    <t>BOTELLO ALHIPPIO SAS</t>
  </si>
  <si>
    <t>OLGA TERESA ALHIPPIO CHAVARRO</t>
  </si>
  <si>
    <t>110014009003</t>
  </si>
  <si>
    <t>BOTOSHOP SEDE CALLE 100</t>
  </si>
  <si>
    <t>MARIA ISABEL RODRIGUEZ RUBIO</t>
  </si>
  <si>
    <t>CL 100 11B 01 Local 102</t>
  </si>
  <si>
    <t>3045913697</t>
  </si>
  <si>
    <t>info@botoshop.com</t>
  </si>
  <si>
    <t>110014009005</t>
  </si>
  <si>
    <t>BOTOSHOP SEDE HOSPITALIZACION</t>
  </si>
  <si>
    <t>Valeria Muñoz</t>
  </si>
  <si>
    <t>Cr 19 No 89 36 Piso 3 Zona B</t>
  </si>
  <si>
    <t>110014009002</t>
  </si>
  <si>
    <t>BOTOSHOP SEDE MULTIPLAZA</t>
  </si>
  <si>
    <t>Cl 19A # 72-57 Local C130</t>
  </si>
  <si>
    <t>110014009001</t>
  </si>
  <si>
    <t>BOTOSHOP SEDE SANTAFE</t>
  </si>
  <si>
    <t>CALLE 185 45 03 LOCAL 2-35 CENTRO COMERCIAL SANTAFE</t>
  </si>
  <si>
    <t>6013002834</t>
  </si>
  <si>
    <t>110014009004</t>
  </si>
  <si>
    <t>BOTOSHOP SEDE VIRREY</t>
  </si>
  <si>
    <t>VALERIA CATERINA GUADALUPE MUÑOZ DI ROCCO</t>
  </si>
  <si>
    <t>Cl 90 No. 18 59</t>
  </si>
  <si>
    <t>304 5913697</t>
  </si>
  <si>
    <t>110013867201</t>
  </si>
  <si>
    <t>BRAIN COGNITIVA</t>
  </si>
  <si>
    <t>MARÍA IVONNE JOZAME RUBIO</t>
  </si>
  <si>
    <t>AVENIDA CALLE 127 # 20-78 LOCAL 1 - 203 EDIFICIO HORIZONTE</t>
  </si>
  <si>
    <t>6012800653</t>
  </si>
  <si>
    <t>fbcneurologiasas@gmail.com</t>
  </si>
  <si>
    <t>110013867202</t>
  </si>
  <si>
    <t>BRAIN COGNITIVA DOS</t>
  </si>
  <si>
    <t>María Ivonne Jozame Rubio</t>
  </si>
  <si>
    <t>Av, Calle 127 # 20-16 Consultorio 501</t>
  </si>
  <si>
    <t>110014002801</t>
  </si>
  <si>
    <t>BUKURE</t>
  </si>
  <si>
    <t>OSCAR IVAN LOZANO NAVARRETE</t>
  </si>
  <si>
    <t>CALLE 114 6 A 92 LOCAL D222</t>
  </si>
  <si>
    <t>3202742703</t>
  </si>
  <si>
    <t>IVESTMEDICALCENTER@GMAIL.COM</t>
  </si>
  <si>
    <t>110012347111</t>
  </si>
  <si>
    <t>BULEVAR CLINICOS</t>
  </si>
  <si>
    <t>JOAQUIN CEPEDA FACUSEH</t>
  </si>
  <si>
    <t>AK 58 # 127-59 Locales 2-81, 2-82,2-83,2-84,2-85, 2-86, 2-87,S2-126</t>
  </si>
  <si>
    <t>7460885 - 3188011197</t>
  </si>
  <si>
    <t>javanegas@clinicos.com.co</t>
  </si>
  <si>
    <t>110014284601</t>
  </si>
  <si>
    <t>BURBANO DENTAL STUDIO IPS SAS</t>
  </si>
  <si>
    <t>DIANA MARIA BURBANO CORAL</t>
  </si>
  <si>
    <t>CARRERA 17 No. 89 - 31 EDIFICIO GAIA CS 706 707</t>
  </si>
  <si>
    <t>3163161067</t>
  </si>
  <si>
    <t>admonburbano@gmail.com</t>
  </si>
  <si>
    <t>110014096601</t>
  </si>
  <si>
    <t>Belaser Medicina Estetica Avanzada SAS</t>
  </si>
  <si>
    <t>Andrea Liliana Baez Colorado</t>
  </si>
  <si>
    <t>Ak 19 No 95 - 31 Ak 19 No 95 - 55 Of 610 - 611</t>
  </si>
  <si>
    <t>3114405160</t>
  </si>
  <si>
    <t>belasermed@gmail.com</t>
  </si>
  <si>
    <t>110012214601</t>
  </si>
  <si>
    <t>Bocanova Grupo Dental</t>
  </si>
  <si>
    <t>Cra. 11A # 93 - 52 (402)</t>
  </si>
  <si>
    <t>6017468046 - 3045259392</t>
  </si>
  <si>
    <t>110013857302</t>
  </si>
  <si>
    <t>C-MEDI 1012</t>
  </si>
  <si>
    <t>WILSON RENE CORREA GARZON</t>
  </si>
  <si>
    <t>CLL 99 49 38 CS 1012</t>
  </si>
  <si>
    <t>3006090217</t>
  </si>
  <si>
    <t>dirgeneral@clinicasmedicasintegrales.com</t>
  </si>
  <si>
    <t>1100108171</t>
  </si>
  <si>
    <t>CAJA COLOMBIANA DE SUBSIDIO FAMILIAR COLSUBSIDIO</t>
  </si>
  <si>
    <t>FERNANDO PINILLA MOYA</t>
  </si>
  <si>
    <t>CL 26 # 25-50 Piso 6 Oficina Gerencia IPS</t>
  </si>
  <si>
    <t>7420100 Ext 1546</t>
  </si>
  <si>
    <t>calidad.colsubsidio@colsubsidio.com</t>
  </si>
  <si>
    <t>https://www.colsubsidio.com/</t>
  </si>
  <si>
    <t>110010733526</t>
  </si>
  <si>
    <t>CAJA DE COMPENSACION FAMILIAR / CONSULTORIO EMPRESARIAL SUPERINTENDENCIA DE SOCIEDADES</t>
  </si>
  <si>
    <t>ADRIANA BAREÑO RODRIGUEZ</t>
  </si>
  <si>
    <t>AC 26 No. 51-80 PI 1 CS MEDICO</t>
  </si>
  <si>
    <t>601 4285088</t>
  </si>
  <si>
    <t>gdentescontrolbogota@compensarsalud.com</t>
  </si>
  <si>
    <t>110010733578</t>
  </si>
  <si>
    <t>CAJA DE COMPENSACION FAMILIAR / CONSULTORIO EMPRESARIAL SUPERINTENDENCIA FINANCIERA DE COLOMBIA</t>
  </si>
  <si>
    <t>CL 7 N 4 - 49 PISO 1 ZONA B</t>
  </si>
  <si>
    <t>1100107335</t>
  </si>
  <si>
    <t>CAJA DE COMPENSACION FAMILIAR COMPENSAR</t>
  </si>
  <si>
    <t>HERNAN CASTELLANOS RAMIREZ</t>
  </si>
  <si>
    <t>AV. CL 26 No. 66 A - 48</t>
  </si>
  <si>
    <t>www.compensar.com</t>
  </si>
  <si>
    <t>110010733534</t>
  </si>
  <si>
    <t>CAJA DE COMPENSACION FAMILIAR COMPENSAR UNIDAD DE SERVICIOS DE SALUD EAAAB USAQUEN</t>
  </si>
  <si>
    <t>CL 110 N. 9 - 80</t>
  </si>
  <si>
    <t>1100105597</t>
  </si>
  <si>
    <t>CAJA DE COMPENSACIÓN FAMILIAR CAFAM</t>
  </si>
  <si>
    <t>QUIÑONEZ SUAREZ GABRIEL</t>
  </si>
  <si>
    <t>CRA 15 # 51 35</t>
  </si>
  <si>
    <t>5550700 ext 12017-12015</t>
  </si>
  <si>
    <t>calidadsalud@cafam.com.co</t>
  </si>
  <si>
    <t>110011909506</t>
  </si>
  <si>
    <t>CALLE 106</t>
  </si>
  <si>
    <t>JAMES TROY VALENCIA VARGAS</t>
  </si>
  <si>
    <t>CALLE 106 # 58-41</t>
  </si>
  <si>
    <t>3106692692 /3508063029</t>
  </si>
  <si>
    <t>fundasuvicol@gmail.com notificacionesfundasuvicol@gmail.com</t>
  </si>
  <si>
    <t>110010735741</t>
  </si>
  <si>
    <t>CALLE 67 VITAL</t>
  </si>
  <si>
    <t>LUIS CARLOS IVAN GARCIA MONZON</t>
  </si>
  <si>
    <t>Calle 67 # 10 - 27</t>
  </si>
  <si>
    <t>6013258025</t>
  </si>
  <si>
    <t>gina.sanchez@opticentro.com.co</t>
  </si>
  <si>
    <t>110010231727</t>
  </si>
  <si>
    <t>CALLE 75 TORRE B SALUD VISUAL</t>
  </si>
  <si>
    <t>JUAN ELISEO MACHADO RODRIGUEZ</t>
  </si>
  <si>
    <t>CALLE 75A NO. 20C - 55</t>
  </si>
  <si>
    <t>3155776677</t>
  </si>
  <si>
    <t>servicios.habilitacion@imevisas.co</t>
  </si>
  <si>
    <t>110010917809</t>
  </si>
  <si>
    <t>CALLE 98</t>
  </si>
  <si>
    <t>ZAYDA IBET RODRIGUEZ RENGIFO</t>
  </si>
  <si>
    <t>KR 49 # 98 A 18 COSULTORIOS 217 Y 312 4 PISO</t>
  </si>
  <si>
    <t>3612888</t>
  </si>
  <si>
    <t>zayda.rodriguez@cpolaya.com.co</t>
  </si>
  <si>
    <t>110014237501</t>
  </si>
  <si>
    <t>CALMA2 IPS S.A.S</t>
  </si>
  <si>
    <t>LORENA MARIA GONZALEZ TORRES</t>
  </si>
  <si>
    <t>CALLE 126 N. 7-26 CON. 411</t>
  </si>
  <si>
    <t>3249047777</t>
  </si>
  <si>
    <t>calma.sedaciones@gmail.com</t>
  </si>
  <si>
    <t>110014323701</t>
  </si>
  <si>
    <t>CAMILA NOVOA DENTAL GROUP SAS</t>
  </si>
  <si>
    <t>MARIA CAMILA NOVOA CADENA</t>
  </si>
  <si>
    <t>CR 16 NO. 88 - 81 OF 201 OF 202</t>
  </si>
  <si>
    <t>3228988630</t>
  </si>
  <si>
    <t>admon@dracamilanovoa.com</t>
  </si>
  <si>
    <t>110012516201</t>
  </si>
  <si>
    <t>CAMPO ELIAS PAEZ IPS SAS</t>
  </si>
  <si>
    <t>CAMPO ELIAS PAEZ RODRIGUEZ</t>
  </si>
  <si>
    <t>CRA 18 No. 84 - 11 CS 802</t>
  </si>
  <si>
    <t>2960561/3102722788</t>
  </si>
  <si>
    <t>campoeliaspaezips@outlook.com</t>
  </si>
  <si>
    <t>110013965002</t>
  </si>
  <si>
    <t>CANTIK CEDRITOS</t>
  </si>
  <si>
    <t>YORK MARY FLOREZ</t>
  </si>
  <si>
    <t>CALLE 140 No. 11-45 CONS 603</t>
  </si>
  <si>
    <t>3244484848</t>
  </si>
  <si>
    <t>CANTIKCOLOMBIA@GMAIL.COM</t>
  </si>
  <si>
    <t>110013965003</t>
  </si>
  <si>
    <t>CANTIK CENTRO MAYOR</t>
  </si>
  <si>
    <t>york mary florez florez</t>
  </si>
  <si>
    <t>CALLE 38A SUR 34D 51 CENTRO COMERCIAL CENTRO MAYOR LOCAL LM01</t>
  </si>
  <si>
    <t>cantikcolombia@gmail.com</t>
  </si>
  <si>
    <t>110013965001</t>
  </si>
  <si>
    <t>CANTIK COLOMBIA SAS</t>
  </si>
  <si>
    <t>RAMIRO ALVAREZ URIBE</t>
  </si>
  <si>
    <t>CALLE 26 No. 69 D- 91 TORRE 2 CONS. 707</t>
  </si>
  <si>
    <t>3209535256</t>
  </si>
  <si>
    <t>110011886201</t>
  </si>
  <si>
    <t>CAPELLA ODONTOLOGIA ESPECIALIZADA</t>
  </si>
  <si>
    <t>julio cesar capella cobos</t>
  </si>
  <si>
    <t>AV 15 No. 104-76 OF 308</t>
  </si>
  <si>
    <t>2154560</t>
  </si>
  <si>
    <t>juliocapella@hotmail.com</t>
  </si>
  <si>
    <t>1100118862</t>
  </si>
  <si>
    <t>CAPELLA ODONTOLOGIA ESPECIALIZADA LTDA.</t>
  </si>
  <si>
    <t>1100120679</t>
  </si>
  <si>
    <t>CARDIO COLOMBIA S.A.S</t>
  </si>
  <si>
    <t>MANUEL JHON DEL FRANCISCO LIEVANO TRIANA</t>
  </si>
  <si>
    <t>Carrera 46 No. 95-56, CONSULTORIOS: 102,301,302,305,307,401,402,403,404,406 Y 407</t>
  </si>
  <si>
    <t>7422316</t>
  </si>
  <si>
    <t>cardiocolombia@cardiocolombia.com.co</t>
  </si>
  <si>
    <t>www.cardiocolombia.com.co</t>
  </si>
  <si>
    <t>110012067901</t>
  </si>
  <si>
    <t>CARDIO COLOMBIA SEDE PRINCIPAL</t>
  </si>
  <si>
    <t>110013146301</t>
  </si>
  <si>
    <t>CARDIO COUNTRY S A S</t>
  </si>
  <si>
    <t>CARLOS JOSE ARCINIEGAS PINTO</t>
  </si>
  <si>
    <t>CARRERA 19A NO 82-85 CS 819-820</t>
  </si>
  <si>
    <t>7953130 EXT 8190-8200</t>
  </si>
  <si>
    <t>ipscardiocountry@gmail.com</t>
  </si>
  <si>
    <t>110013605201</t>
  </si>
  <si>
    <t>CARDIOIB S.A.S</t>
  </si>
  <si>
    <t>CRISTINA ARGENIS SANABRIA MONTILLA</t>
  </si>
  <si>
    <t>CALLE 86 B # 49 D - 28 Oficina 205-203 - 202</t>
  </si>
  <si>
    <t>3164916178</t>
  </si>
  <si>
    <t>administrativo@cardioib.com</t>
  </si>
  <si>
    <t>110013677101</t>
  </si>
  <si>
    <t>CARDIOLAB LIMITADA</t>
  </si>
  <si>
    <t>SOLON NAVARRETE HURTADO</t>
  </si>
  <si>
    <t>Avenida Calle 26 68 C 61 Oficina 3-32</t>
  </si>
  <si>
    <t>3178535621</t>
  </si>
  <si>
    <t>cardiolab.limitada@gmail.com</t>
  </si>
  <si>
    <t>1100101600</t>
  </si>
  <si>
    <t>CARDIOLOG LABORATORIO DE CARDIOLOGIA INTEGRAL LIMITADA</t>
  </si>
  <si>
    <t>ACUÑA OLMOS JAIRO</t>
  </si>
  <si>
    <t>AC 127 # 20 78 CS 409 y 411</t>
  </si>
  <si>
    <t>2593531-6156908</t>
  </si>
  <si>
    <t>cardiologltda@gmail.com</t>
  </si>
  <si>
    <t>1100109642</t>
  </si>
  <si>
    <t>CARDIONET LTDA</t>
  </si>
  <si>
    <t>SALTARIN BILBAO ANTONIO SOLER</t>
  </si>
  <si>
    <t>CALLE 97 No 23-37 consultorio 604</t>
  </si>
  <si>
    <t>6010606</t>
  </si>
  <si>
    <t>cardionet_ltda@hotmail.com</t>
  </si>
  <si>
    <t>1100110306</t>
  </si>
  <si>
    <t>CARDIOPEDIATRAS LTDA</t>
  </si>
  <si>
    <t>NUÑEZ CEBALLOS DIANA MARGARITA</t>
  </si>
  <si>
    <t>KR 16 # 82 74 CS 605</t>
  </si>
  <si>
    <t>6919248</t>
  </si>
  <si>
    <t>CARDIOPEDIATRAS@YAHOO.COM</t>
  </si>
  <si>
    <t>110012151201</t>
  </si>
  <si>
    <t>CARLOS EDUARDO RANGEL GALVIS S.A.S</t>
  </si>
  <si>
    <t>PATRICIA QUESSEP</t>
  </si>
  <si>
    <t>Calle 134 No 7-83 Torre 1 Piso 2 y piso 3</t>
  </si>
  <si>
    <t>7456047-3102799676</t>
  </si>
  <si>
    <t>edugalvis@yahoo.es</t>
  </si>
  <si>
    <t>110014113001</t>
  </si>
  <si>
    <t>CASA VIOLETA IPS SAS Sigla CV&amp;SB</t>
  </si>
  <si>
    <t>FERNANDO MALLUNGO SANTOS</t>
  </si>
  <si>
    <t>CALLE 19 No. 5 - 30 OFICINA 806</t>
  </si>
  <si>
    <t>3113476542</t>
  </si>
  <si>
    <t>casavioletaips@gmail.com</t>
  </si>
  <si>
    <t>110010917807</t>
  </si>
  <si>
    <t>CASTELLANA CPO</t>
  </si>
  <si>
    <t>CRA 48 N° 98-81 Segundo Piso</t>
  </si>
  <si>
    <t>1100105239</t>
  </si>
  <si>
    <t>CAYO ALONSO DUARTE SUAREZ Y COMPAÑIA S EN C</t>
  </si>
  <si>
    <t>DUARTE SUAREZ CAYO ALONSO</t>
  </si>
  <si>
    <t>CALLE 93 B # 13 92 CONS 101</t>
  </si>
  <si>
    <t>6227835</t>
  </si>
  <si>
    <t>CAYOALONSO@YAHOO.COM</t>
  </si>
  <si>
    <t>110011243705</t>
  </si>
  <si>
    <t>CAYRE SEDE AMERICAS</t>
  </si>
  <si>
    <t>DANIEL ISIDORO BLANCO SANTAMARIA</t>
  </si>
  <si>
    <t>CR 56 NO. 9 - 91 LOCAL 18</t>
  </si>
  <si>
    <t>3102423837</t>
  </si>
  <si>
    <t>calidad2@cayre.co</t>
  </si>
  <si>
    <t>110011243707</t>
  </si>
  <si>
    <t>CAYRE SEDE CHICO</t>
  </si>
  <si>
    <t>Carrera 12 98 16</t>
  </si>
  <si>
    <t>110011243706</t>
  </si>
  <si>
    <t>CAYRE SEDE PONTEVEDRA</t>
  </si>
  <si>
    <t>CL 116 NO. 70 D - 65</t>
  </si>
  <si>
    <t>110014318801</t>
  </si>
  <si>
    <t>CB VISION S.A.S</t>
  </si>
  <si>
    <t>YENNY LILLIAN HERRERA RODRIGUEZ</t>
  </si>
  <si>
    <t>CR 14 # 99 - 55 OF 403</t>
  </si>
  <si>
    <t>3108036648</t>
  </si>
  <si>
    <t>cbvisionoftalmo@gmail.com</t>
  </si>
  <si>
    <t>110014000102</t>
  </si>
  <si>
    <t>CEDISST IPS</t>
  </si>
  <si>
    <t>Calle 125 #21A-18 Piso 2 Oficina 203</t>
  </si>
  <si>
    <t>110010672501</t>
  </si>
  <si>
    <t>CEDIT SAS</t>
  </si>
  <si>
    <t>LIBARDO CORDON ASTROZ</t>
  </si>
  <si>
    <t>CALLE 40 SUR No 73D-12</t>
  </si>
  <si>
    <t>unidadrenalk@ceditltda.com</t>
  </si>
  <si>
    <t>110013854401</t>
  </si>
  <si>
    <t>CEIPAS SAS</t>
  </si>
  <si>
    <t>GERMAN LEONARDO TRUJILLO FLORIAN</t>
  </si>
  <si>
    <t>TRANSVERSAL 77 # 7 A 10</t>
  </si>
  <si>
    <t>3124592435</t>
  </si>
  <si>
    <t>ceipassas@gmail.com</t>
  </si>
  <si>
    <t>110013372101</t>
  </si>
  <si>
    <t>CELAGEM BOGOTÁ</t>
  </si>
  <si>
    <t>JUAN JOSE MARTINEZ DIAZ</t>
  </si>
  <si>
    <t>CR 7 B BIS N. 132 - 38 P 8</t>
  </si>
  <si>
    <t>7456614</t>
  </si>
  <si>
    <t>repronat.colombia@gmail.com</t>
  </si>
  <si>
    <t>110013853201</t>
  </si>
  <si>
    <t>CELEBRITY AESTHETIC CENTER</t>
  </si>
  <si>
    <t>HENDER ALVAREZ GUERRERO</t>
  </si>
  <si>
    <t>carrera 10 #64-21 /27 LOCAL 3 Y 4</t>
  </si>
  <si>
    <t>4687738</t>
  </si>
  <si>
    <t>Celebritybeautycenter@gmail.com</t>
  </si>
  <si>
    <t>110012685901</t>
  </si>
  <si>
    <t>CEMAE SAS</t>
  </si>
  <si>
    <t>JOSE ALEJANDRO GONZALEZ SIERRA</t>
  </si>
  <si>
    <t>calle 116 n 9-72 consultorio 401 y 419</t>
  </si>
  <si>
    <t>3138965830 - 4672286</t>
  </si>
  <si>
    <t>administracion@cemae.co</t>
  </si>
  <si>
    <t>110014284501</t>
  </si>
  <si>
    <t>CEMLA SEDE NUEVA MARSELLA</t>
  </si>
  <si>
    <t>Raul Nuñez Cocunubo</t>
  </si>
  <si>
    <t>AC 6 N° 69 B 93 Piso 1, 2 y 3</t>
  </si>
  <si>
    <t>3103029989</t>
  </si>
  <si>
    <t>GERENCIA.CEMLA@GMAIL.COM</t>
  </si>
  <si>
    <t>110014284502</t>
  </si>
  <si>
    <t>CEMLA SEDE SALITRE GRECO</t>
  </si>
  <si>
    <t>Kr 66 A 44- 07</t>
  </si>
  <si>
    <t>1100105715</t>
  </si>
  <si>
    <t>CEMPAI SAS</t>
  </si>
  <si>
    <t>MARIA TERESA VARGAS JIMENEZ</t>
  </si>
  <si>
    <t>Calle 134 # 7B 83 Consultorio 813 - 814 Edificio El Bosque</t>
  </si>
  <si>
    <t>3212092628- 3108176600</t>
  </si>
  <si>
    <t>gerencia@cempai.com</t>
  </si>
  <si>
    <t>110013802201</t>
  </si>
  <si>
    <t>CENASIP S.A.S.</t>
  </si>
  <si>
    <t>ÓSCAR JAVIER SANDOVAL VILLALOBOS</t>
  </si>
  <si>
    <t>Avenida calle 68 No.56 B-08</t>
  </si>
  <si>
    <t>3028322336</t>
  </si>
  <si>
    <t>Gerencia@cenasip.com</t>
  </si>
  <si>
    <t>110011104802</t>
  </si>
  <si>
    <t>CENDIATRA CENTRO</t>
  </si>
  <si>
    <t>MANUEL ENRIQUE CASTELLANOS BUENDIA</t>
  </si>
  <si>
    <t>CRA 5 No. 19-08</t>
  </si>
  <si>
    <t>6017443001 Ext 1130-1126-1172 / 3132330205 - 3108740594</t>
  </si>
  <si>
    <t>habilitacion@cendiatra.com</t>
  </si>
  <si>
    <t>110011104813</t>
  </si>
  <si>
    <t>CENDIATRA CENTRO 2</t>
  </si>
  <si>
    <t>Manuel Enrique Castellanos Buendia</t>
  </si>
  <si>
    <t>Carrera 5 # 19 04</t>
  </si>
  <si>
    <t>3132330205</t>
  </si>
  <si>
    <t>110011104812</t>
  </si>
  <si>
    <t>CENDIATRA CONNECTA VIP</t>
  </si>
  <si>
    <t>Francisco Andres Castellanos Pineda</t>
  </si>
  <si>
    <t>AC 26 N.92-32 ED GOLD 12 L 01</t>
  </si>
  <si>
    <t>7443001</t>
  </si>
  <si>
    <t>110011104803</t>
  </si>
  <si>
    <t>CENDIATRA NORTE</t>
  </si>
  <si>
    <t>AVENIDA CARRERA 45 NO. 106-93</t>
  </si>
  <si>
    <t>6017443001 Ext 1130-1126-1172 /3132330205 - 3108740594</t>
  </si>
  <si>
    <t>habilitacion@cendiatra.com- coordinadorsst@cendiatra.com</t>
  </si>
  <si>
    <t>110011104804</t>
  </si>
  <si>
    <t>CENDIATRA OCCIDENTE</t>
  </si>
  <si>
    <t>AV. CRA 68 NO. 17-82</t>
  </si>
  <si>
    <t>110011104806</t>
  </si>
  <si>
    <t>CENDIATRA OCCIDENTE 2</t>
  </si>
  <si>
    <t>CR 68 NO. 17 96</t>
  </si>
  <si>
    <t>110011104801</t>
  </si>
  <si>
    <t>CENDIATRA PRINCIPAL</t>
  </si>
  <si>
    <t>Calle 19 # 3 - 50 /16 Piso 12 Local 115</t>
  </si>
  <si>
    <t>110011104805</t>
  </si>
  <si>
    <t>CENDIATRA SUR</t>
  </si>
  <si>
    <t>Transversal 35 # 32 B 42 / 40 Sur</t>
  </si>
  <si>
    <t>110011104810</t>
  </si>
  <si>
    <t>CENDIATRA SUR 2</t>
  </si>
  <si>
    <t>MANUEL ENRIQUE CASTELLANOS</t>
  </si>
  <si>
    <t>Transversal 35 # 36 - 40 / 48 Sur</t>
  </si>
  <si>
    <t>110011104808</t>
  </si>
  <si>
    <t>CENDIATRA ZONA FRANCA</t>
  </si>
  <si>
    <t>HISELA MARIA DIAZ RAMIREZ</t>
  </si>
  <si>
    <t>Carrera 106 # 15 A - 25 Mz 24 In 141 Oficina 408/411</t>
  </si>
  <si>
    <t>110013074001</t>
  </si>
  <si>
    <t>CENRED BARRIOS UNIDOS</t>
  </si>
  <si>
    <t>MERCEDES ALVAREZ ROBLES</t>
  </si>
  <si>
    <t>CARRERA 49 # 93- 40</t>
  </si>
  <si>
    <t>3102394211</t>
  </si>
  <si>
    <t>cenredcolombia@gmail.com</t>
  </si>
  <si>
    <t>110010918673</t>
  </si>
  <si>
    <t>CENTRAL DE PATOLOGÍA</t>
  </si>
  <si>
    <t>Fabio Andres Rojas Aguirre</t>
  </si>
  <si>
    <t>CR 70 C NO 115 A 15</t>
  </si>
  <si>
    <t>(57 1 ) 5895482</t>
  </si>
  <si>
    <t>diamalfonso@colsanitas.com</t>
  </si>
  <si>
    <t>110013630032</t>
  </si>
  <si>
    <t>CENTRAL DE URGENCIAS NORTE</t>
  </si>
  <si>
    <t>Juan Carlos García Masquita</t>
  </si>
  <si>
    <t>Calle 163 A 22 22</t>
  </si>
  <si>
    <t>6466060 Ext 5719469</t>
  </si>
  <si>
    <t>mnempeque@epssanitas.com</t>
  </si>
  <si>
    <t>110010733577</t>
  </si>
  <si>
    <t>CENTRAL ESPECIALIZADA DE PROCESAMIENTO BOGOTA CEP BOGOTA</t>
  </si>
  <si>
    <t>CLL 63B N 28 - 44</t>
  </si>
  <si>
    <t>110010793902</t>
  </si>
  <si>
    <t>CENTRO ADMINISTRATIVO Y ASISTENCIAL CM</t>
  </si>
  <si>
    <t>Mónica Alexandra Cuevas Eslava</t>
  </si>
  <si>
    <t>CRA. 19C No. 91-08</t>
  </si>
  <si>
    <t>6161799 EXT. 129</t>
  </si>
  <si>
    <t>Elizabeth.Parada@QuironSalud.com</t>
  </si>
  <si>
    <t>110010773701</t>
  </si>
  <si>
    <t>CENTRO ASISTENCIAL MADRE BERNARDA</t>
  </si>
  <si>
    <t>HNA. MARIA LUCILA ARISTIZABAL ARIAS</t>
  </si>
  <si>
    <t>CALLE 18 No 106-48</t>
  </si>
  <si>
    <t>2671538</t>
  </si>
  <si>
    <t>cmmbernarda@hotmail.com</t>
  </si>
  <si>
    <t>1100119799</t>
  </si>
  <si>
    <t>CENTRO AUDIOLOGICO ESPECIALIZADO C.A.E S.A.S</t>
  </si>
  <si>
    <t>LUIS JESUS AMARILLO CENTENO</t>
  </si>
  <si>
    <t>CRA 19C # 86 - 30 OFC 206 -207 - 208 -401</t>
  </si>
  <si>
    <t>7457055 - 3214686825</t>
  </si>
  <si>
    <t>cae@daudio.co</t>
  </si>
  <si>
    <t>110011979902</t>
  </si>
  <si>
    <t>CENTRO AUDIOLOGICO ESPECIALIZADO CAE - PHILIPS</t>
  </si>
  <si>
    <t>DAVID SANTIAGO AMARILLO TRIVIÑO</t>
  </si>
  <si>
    <t>AK 15 #124 - 30 LC 2-092</t>
  </si>
  <si>
    <t>3214686825</t>
  </si>
  <si>
    <t>LEGAL@DAUDIO.CO</t>
  </si>
  <si>
    <t>1100107646</t>
  </si>
  <si>
    <t>CENTRO AUDIOLOGICO Y QUIRURGICO DEL COUNTRY SAS</t>
  </si>
  <si>
    <t>CORVACHO AROCA MARTHA LUCIA</t>
  </si>
  <si>
    <t>Calle 98 21-50 oficina 504</t>
  </si>
  <si>
    <t>6160502</t>
  </si>
  <si>
    <t>administracion@caqc.co</t>
  </si>
  <si>
    <t>110010764602</t>
  </si>
  <si>
    <t>CENTRO AUDIOLOGICO Y QUIRURGICO DEL COUNTRY SAS SEDE CHAPINERO</t>
  </si>
  <si>
    <t>JUAN CAMILO PARRA CORVACHO</t>
  </si>
  <si>
    <t>CL 99 # 49 38 CS 1301</t>
  </si>
  <si>
    <t>2185242-3138935320</t>
  </si>
  <si>
    <t>110010764603</t>
  </si>
  <si>
    <t>CENTRO AUDIOLÒGICO Y QUIRÙRGICO DEL COUNTRY</t>
  </si>
  <si>
    <t>Avenida Calle 127 # 19A-10 CS 604</t>
  </si>
  <si>
    <t>2644776</t>
  </si>
  <si>
    <t>110010744002</t>
  </si>
  <si>
    <t>CENTRO CAMPOALEGRE</t>
  </si>
  <si>
    <t>OMAR ANTONIO CUELLAR ALVARADO</t>
  </si>
  <si>
    <t>KILOMETRO 6 VIA SUBA-COTA PISO 1</t>
  </si>
  <si>
    <t>6815696</t>
  </si>
  <si>
    <t>direccion@clinicamontserrat.com</t>
  </si>
  <si>
    <t>110010431101</t>
  </si>
  <si>
    <t>CENTRO CARDIOLOGICO DE BOGOTA S.A.S</t>
  </si>
  <si>
    <t>GABRIEL ALBERTO ROBLEDO KAISER</t>
  </si>
  <si>
    <t>KR 16 # 82 36 piso 1</t>
  </si>
  <si>
    <t>6104522--5314346--6164816</t>
  </si>
  <si>
    <t>ccdbogota@gmail.com</t>
  </si>
  <si>
    <t>1100116439</t>
  </si>
  <si>
    <t>CENTRO CIENTIFICO INTERNACIONAL DE MEDICINA BIOLOGICA SAS</t>
  </si>
  <si>
    <t>MIGUEL ARTURO ARDILA VELANDIA</t>
  </si>
  <si>
    <t>KR 24 # 45 A 33</t>
  </si>
  <si>
    <t>2878211</t>
  </si>
  <si>
    <t>centrobiologico@yahoo.com</t>
  </si>
  <si>
    <t>110010877301</t>
  </si>
  <si>
    <t>CENTRO COLOMBIANO DE FERTILIDAD Y ESTERILIDAD CECOLFES</t>
  </si>
  <si>
    <t>Carmen Beatriz Pérez de Lucena</t>
  </si>
  <si>
    <t>Calle 102 No. 14A 15</t>
  </si>
  <si>
    <t>7420505</t>
  </si>
  <si>
    <t>cecolfes@cecolfes.com</t>
  </si>
  <si>
    <t>1100108773</t>
  </si>
  <si>
    <t>CENTRO COLOMBIANO DE FERTILIDAD Y ESTERILIDAD CECOLFES SAS SIGLA CECOLFES</t>
  </si>
  <si>
    <t>PEREZ DE LUCENA CARMEN BEATRIZ</t>
  </si>
  <si>
    <t>Calle 102 N0 14 A. 15</t>
  </si>
  <si>
    <t>110011415002</t>
  </si>
  <si>
    <t>CENTRO CONTROL DE CANCER COUNTRY</t>
  </si>
  <si>
    <t>ARMANDO GAITAN GAITAN</t>
  </si>
  <si>
    <t>CRA. 16 A No. 83 A -11 SOTANO</t>
  </si>
  <si>
    <t>6012366927</t>
  </si>
  <si>
    <t>camarino@centrodecontroldecancer.com</t>
  </si>
  <si>
    <t>110010733574</t>
  </si>
  <si>
    <t>CENTRO DE ACONDICIONAMIENTO Y PREPARACION FISICA CAPF - CUR</t>
  </si>
  <si>
    <t>KR 69 # 49A - 73 BQ H P2 CONSULTORIO MEDICO</t>
  </si>
  <si>
    <t>110010143501</t>
  </si>
  <si>
    <t>CENTRO DE ANGIOLOGIA Y CIRUGIA VASCULAR LTDA</t>
  </si>
  <si>
    <t>IGNACIO UCROS DIAZ</t>
  </si>
  <si>
    <t>KR 13 # 49 40 OF 425</t>
  </si>
  <si>
    <t>2320052</t>
  </si>
  <si>
    <t>gerencia@centrodeangiologia.com</t>
  </si>
  <si>
    <t>110010143502</t>
  </si>
  <si>
    <t>CENTRO DE ANGIOLOGIA Y CIRUGIA VASCULAR LTDA SEDE SANTANA</t>
  </si>
  <si>
    <t>CALLE 119 N 7 14 CONS 316</t>
  </si>
  <si>
    <t>2152633</t>
  </si>
  <si>
    <t>110010919916</t>
  </si>
  <si>
    <t>CENTRO DE ASESORÍA PSICOLÓGICA Y SALUD CAPS-JAVESALUD</t>
  </si>
  <si>
    <t>SERGIO ANDRES NAVARRETE TURRIAGO</t>
  </si>
  <si>
    <t>Carrera 7 # 40-62, edificio Emilio Arango S.J, piso 2 costado noroccidental</t>
  </si>
  <si>
    <t>3144705570</t>
  </si>
  <si>
    <t>direccion@javesalud.com.co</t>
  </si>
  <si>
    <t>1100117566</t>
  </si>
  <si>
    <t>CENTRO DE ATENCION INTEGRAL DE HERIDAS CRÓNICAS COMPLEJAS S.A. "CAIHCRON"</t>
  </si>
  <si>
    <t>GABRIEL ERNESTO RIVEROS DUEÑAS</t>
  </si>
  <si>
    <t>AK 45 No. 103-19</t>
  </si>
  <si>
    <t>6017369493 - 6013003605- 6017040758</t>
  </si>
  <si>
    <t>caihcron@gmail.com</t>
  </si>
  <si>
    <t>1100118641</t>
  </si>
  <si>
    <t>CENTRO DE ATENCIÓN E INVESTIGACIÓN MÉDICA S.A.S. - CAIMED S.A.S</t>
  </si>
  <si>
    <t>GUISSELLE TATIANA SIERRA VILLALBA</t>
  </si>
  <si>
    <t>KR 42 A No. 17-50</t>
  </si>
  <si>
    <t>(57-1) 2441444</t>
  </si>
  <si>
    <t>gerencia@caimed.com</t>
  </si>
  <si>
    <t>www.caimed.com</t>
  </si>
  <si>
    <t>110011864101</t>
  </si>
  <si>
    <t>CENTRO DE ATENCIÓN E INVESTIGACIÓN MÉDICA S.A.S. - CAIMED S.A.S.</t>
  </si>
  <si>
    <t>HUMBERTO REYNALES LONDOÑO</t>
  </si>
  <si>
    <t>3168321309</t>
  </si>
  <si>
    <t>110013630037</t>
  </si>
  <si>
    <t>CENTRO DE ATENCIÓN EXCLUSIVO</t>
  </si>
  <si>
    <t>Carolina Caballero Navarro</t>
  </si>
  <si>
    <t>Avenida Carrera 45 108 A - 50 Piso 3, Interior 3</t>
  </si>
  <si>
    <t>6466060</t>
  </si>
  <si>
    <t>dccubillos@colsanitas.com</t>
  </si>
  <si>
    <t>110011756601</t>
  </si>
  <si>
    <t>CENTRO DE ATENCIÓN INTEGRAL DE HERIDAS CRÓNICAS COMPLEJAS S.A. "CAIHCRON"</t>
  </si>
  <si>
    <t>2364461 2164344</t>
  </si>
  <si>
    <t>110010945609</t>
  </si>
  <si>
    <t>CENTRO DE ATENCIÓN INTEGRAL EN CUIDADOS PALIATIVOS</t>
  </si>
  <si>
    <t>REINALDO GRUESO ANGULO</t>
  </si>
  <si>
    <t>DIAGONAL 40 A No 14 - 92</t>
  </si>
  <si>
    <t>5946161</t>
  </si>
  <si>
    <t>calidad@husi.org.co</t>
  </si>
  <si>
    <t>1100115780</t>
  </si>
  <si>
    <t>CENTRO DE AVIVAMIENTO PARA LAS NACIONES</t>
  </si>
  <si>
    <t>JUAN PABLO VELANDIA MORENO</t>
  </si>
  <si>
    <t>KR 66 # 14 95</t>
  </si>
  <si>
    <t>5794428 2603079</t>
  </si>
  <si>
    <t>CENTRO_MEDICO@AVIVAMIENTO.COM</t>
  </si>
  <si>
    <t>110013634702</t>
  </si>
  <si>
    <t>CENTRO DE AYUDAS DIAGNOSTICAS ALLIANZ</t>
  </si>
  <si>
    <t>JUAN CARLOS HIDALGO SALAZAR</t>
  </si>
  <si>
    <t>AK 19 # 102 31 LC 4</t>
  </si>
  <si>
    <t>7562349-3102409383</t>
  </si>
  <si>
    <t>murazan@jchimagenes.com.co</t>
  </si>
  <si>
    <t>110010733579</t>
  </si>
  <si>
    <t>CENTRO DE BIENESTAR INTEGRAL CARRERA 60</t>
  </si>
  <si>
    <t>CRA 60 N 66 B 05 - TO A - PI 10 CONS DEP - PI 11 CONS 1101 al 1105 y Terapia Física - PI 12 - PI 13- TO B PI 1 LOCAL 1</t>
  </si>
  <si>
    <t>110010733575</t>
  </si>
  <si>
    <t>CENTRO DE BIENESTAR INTEGRAL CENTRO MAYOR</t>
  </si>
  <si>
    <t>CL 38 A SUR # 34 D - 51 LC 1-134 PI 1 CS 101 AL 108 P2 CS 201 AL 226 PI 3 CS 301</t>
  </si>
  <si>
    <t>1100111775</t>
  </si>
  <si>
    <t>CENTRO DE CIRUGIA AMBULATORIA IPS LTDA</t>
  </si>
  <si>
    <t>MOORE PEREA JHON HENRY</t>
  </si>
  <si>
    <t>CL 89 A # 20 57</t>
  </si>
  <si>
    <t>5185019</t>
  </si>
  <si>
    <t>ccaipsltda@gmail.com</t>
  </si>
  <si>
    <t>1100108626</t>
  </si>
  <si>
    <t>CENTRO DE CIRUGIA MINIMA INVASIVA S.A.S CECIMIN S.A.S</t>
  </si>
  <si>
    <t>MARTINEZ GIRALDO VICTORIA EUGENIA</t>
  </si>
  <si>
    <t>AK 45 104 76 PISO 1, PISO 4, PISO 5 Y PISO 6</t>
  </si>
  <si>
    <t>3125508004-6002555 ext.172</t>
  </si>
  <si>
    <t>scolas@colsanitas.com</t>
  </si>
  <si>
    <t>110012493401</t>
  </si>
  <si>
    <t>CENTRO DE COLOPROCTOLOGIA Y ENDOSCOPIA S A S</t>
  </si>
  <si>
    <t>JAVIER ALEJANDRO CARRERA SIACHOQUE</t>
  </si>
  <si>
    <t>CL 119 NO. 07 14 CN 614 Y 616</t>
  </si>
  <si>
    <t>2143700</t>
  </si>
  <si>
    <t>centrodecoloproctologia@gmail.com</t>
  </si>
  <si>
    <t>110011415003</t>
  </si>
  <si>
    <t>CENTRO DE CONTROL DE CANCER ANTIGUO COUNTRY</t>
  </si>
  <si>
    <t>JUAN CARLOS ARBELAEZ ECHEVERRY</t>
  </si>
  <si>
    <t>CRA 16 A # 85 92</t>
  </si>
  <si>
    <t>3232308728</t>
  </si>
  <si>
    <t>1100114150</t>
  </si>
  <si>
    <t>CENTRO DE CONTROL DE CÁNCER SAS</t>
  </si>
  <si>
    <t>KR 16 A # 84 - 19</t>
  </si>
  <si>
    <t>2366927</t>
  </si>
  <si>
    <t>administracion@centrodecontroldecancer.com</t>
  </si>
  <si>
    <t>www.centrodecontroldecancer.com</t>
  </si>
  <si>
    <t>110010315503</t>
  </si>
  <si>
    <t>CENTRO DE CUIDADO INTERMEDIO</t>
  </si>
  <si>
    <t>GINNA GARCIA PARRA</t>
  </si>
  <si>
    <t>CALLE 33 BIS NO 15-50</t>
  </si>
  <si>
    <t>110011606901</t>
  </si>
  <si>
    <t>CENTRO DE DERMATOLOGIA Y CIRUGIA PLASTICA DEL COUNTRY S.A.S.</t>
  </si>
  <si>
    <t>HUMBERTO FERREIRA GUZMAN</t>
  </si>
  <si>
    <t>Calle 83 # 19 - 36 Cons 705</t>
  </si>
  <si>
    <t>3134995687-3134994475</t>
  </si>
  <si>
    <t>cmedica@cdc.com.co</t>
  </si>
  <si>
    <t>110011475701</t>
  </si>
  <si>
    <t>CENTRO DE DESARROLLO INTEGRAL DE SALUD FAMILIAR JUAN PABLO II IPS SAS</t>
  </si>
  <si>
    <t>PEDRO LEON CIFUENTES RODRIGUEZ</t>
  </si>
  <si>
    <t>CL 27 SUR # 18C 02</t>
  </si>
  <si>
    <t>3108545751</t>
  </si>
  <si>
    <t>administracion@juanpabloiiips.com</t>
  </si>
  <si>
    <t>1100117988</t>
  </si>
  <si>
    <t>CENTRO DE DIAGNOSTICO DERMATOLOGICO SAS</t>
  </si>
  <si>
    <t>EVELYNE HALPERT ZISKIEND</t>
  </si>
  <si>
    <t>AV 9 116 20 CS 718</t>
  </si>
  <si>
    <t>6378325</t>
  </si>
  <si>
    <t>centrodiagnosticodermatologico@gmail.com</t>
  </si>
  <si>
    <t>110010403511</t>
  </si>
  <si>
    <t>CENTRO DE DIAGNOSTICO ESPECIALIZADO BELLA SUIZA</t>
  </si>
  <si>
    <t>EDUARDO PLATA FORERO</t>
  </si>
  <si>
    <t>CL 127 A No. 7-19 LOCAL 101</t>
  </si>
  <si>
    <t>3176551904 - 3212535796</t>
  </si>
  <si>
    <t>NotificacionesJudiciales@umd.com.co</t>
  </si>
  <si>
    <t>110010403510</t>
  </si>
  <si>
    <t>CENTRO DE DIAGNOSTICO ESPECIALIZADO COLMEDICA</t>
  </si>
  <si>
    <t>Carrera 18 No. 84-06 Piso 8</t>
  </si>
  <si>
    <t>110010403522</t>
  </si>
  <si>
    <t>CENTRO DE DIAGNOSTICO ESPECIALIZADO SEDE TORRE COLMEDICA SANTA BARBARA</t>
  </si>
  <si>
    <t>AK CRA 45 NO. 122 - 96 PISO 3</t>
  </si>
  <si>
    <t>110013712201</t>
  </si>
  <si>
    <t>CENTRO DE DIAGNOSTICO OCUPACIONAL BOGOTÁ</t>
  </si>
  <si>
    <t>LINA MAYERLY TORRES VARGAS</t>
  </si>
  <si>
    <t>CARRERA 47 NO. 93 - 14</t>
  </si>
  <si>
    <t>3015772645</t>
  </si>
  <si>
    <t>direccionadministrativa@sgi.com.co</t>
  </si>
  <si>
    <t>110012621301</t>
  </si>
  <si>
    <t>CENTRO DE DIAGNOSTICO PSICOCENSOMETRICO GUIAR SALUD IPS</t>
  </si>
  <si>
    <t>HERCILIA GALEANO HERNANDEZ</t>
  </si>
  <si>
    <t>CRR 27 Nº 13 39</t>
  </si>
  <si>
    <t>3057371030 /3607402</t>
  </si>
  <si>
    <t>crcguiarsalud@gmail.com</t>
  </si>
  <si>
    <t>110012814401</t>
  </si>
  <si>
    <t>CENTRO DE DIAGNOSTICO SAN ROQUE SEDE BOGOTA</t>
  </si>
  <si>
    <t>SIMON BAENA POSADA</t>
  </si>
  <si>
    <t>CARRERA 18 # 80 - 32 CONSULTORIOS 404 - 405 - 406 - 407</t>
  </si>
  <si>
    <t>2174239 Ext.133 3173644873</t>
  </si>
  <si>
    <t>calidad@sanroqueips.com</t>
  </si>
  <si>
    <t>1100111048</t>
  </si>
  <si>
    <t>CENTRO DE DIAGNOSTICO Y TRATAMIENTO CENDIATRA SOCIEDAD POR ACCIONES SIMPLIFICADAS CENDIATRA SAS</t>
  </si>
  <si>
    <t>CASTELLANOS BUENDIA MANUEL ENRIQUE</t>
  </si>
  <si>
    <t>CALLE 19 NO. 3-50 PISO 12</t>
  </si>
  <si>
    <t>www.cendiatra.com</t>
  </si>
  <si>
    <t>1100101640</t>
  </si>
  <si>
    <t>CENTRO DE ENDOCRINOLOGIA Y ENFERMEDADES METABOLICAS LTDA</t>
  </si>
  <si>
    <t>MONTOYA LOPEZ BLANCA LUCY</t>
  </si>
  <si>
    <t>CRA. 16 No. 84A - 09 Cons. 712</t>
  </si>
  <si>
    <t>6228762</t>
  </si>
  <si>
    <t>luzs08@hotmail.com</t>
  </si>
  <si>
    <t>1100100616</t>
  </si>
  <si>
    <t>CENTRO DE ENFERMEDADES DIGESTIVAS SAS</t>
  </si>
  <si>
    <t>PINEDA OVALLE LUIS FERNANDO</t>
  </si>
  <si>
    <t>CL 97 # 23 37 LOCAL 104</t>
  </si>
  <si>
    <t>6427200</t>
  </si>
  <si>
    <t>abonilla@gutmedica.com</t>
  </si>
  <si>
    <t>110012890801</t>
  </si>
  <si>
    <t>CENTRO DE ENFERMEDADES HEPÁTICAS Y DIGESTIVAS SAS - CEHYD SAS</t>
  </si>
  <si>
    <t>Jhon Edison Prieto Ortiz</t>
  </si>
  <si>
    <t>AC 127 No. 19A-28 Edificio Acomedica I Consultorio 412 - 413 - 417</t>
  </si>
  <si>
    <t>2582881</t>
  </si>
  <si>
    <t>gerenciamedica@cehyd.com.co</t>
  </si>
  <si>
    <t>1100101814</t>
  </si>
  <si>
    <t>CENTRO DE ENFERMEDADES MAMARIAS LTDA</t>
  </si>
  <si>
    <t>GUTIERREZ MARTINEZ RAFAEL ANDRES</t>
  </si>
  <si>
    <t>Carrera 16 82 47 Consultorio 502A, 601A, 601B, 602, 702B</t>
  </si>
  <si>
    <t>6019158390 3214950722</t>
  </si>
  <si>
    <t>administracion@cenfma.com</t>
  </si>
  <si>
    <t>www.cenfma.com</t>
  </si>
  <si>
    <t>1100106725</t>
  </si>
  <si>
    <t>CENTRO DE ESPECIALISTAS DIAGNOSTICO TRATAMIENTOS CEDIT SAS</t>
  </si>
  <si>
    <t>CORDON ASTROZ LIBARDO</t>
  </si>
  <si>
    <t>4505560</t>
  </si>
  <si>
    <t>administradork@ceditltda.com</t>
  </si>
  <si>
    <t>110013055801</t>
  </si>
  <si>
    <t>CENTRO DE ESPECIALISTAS IPS LOGROS SAS</t>
  </si>
  <si>
    <t>LEYDY ANDREA PLATA MANZANO</t>
  </si>
  <si>
    <t>Avenida Carrera 14 No. 39 - 18 Edificio SOHO la 39 Local 2 y 3</t>
  </si>
  <si>
    <t>3232313630 / 3188833701</t>
  </si>
  <si>
    <t>coordinadornacionalcalidad@gmail.com</t>
  </si>
  <si>
    <t>110012337107</t>
  </si>
  <si>
    <t>CENTRO DE ESPECIALISTAS MÉDICOS AXA COLPATRIA ALSACIA</t>
  </si>
  <si>
    <t>VICTOR ALEXANDER SAENZ CASTRO</t>
  </si>
  <si>
    <t>Carrera 72 12 B 48 L2-101</t>
  </si>
  <si>
    <t>6015111</t>
  </si>
  <si>
    <t>calidad.vip@axacolpatria.co</t>
  </si>
  <si>
    <t>1100120727</t>
  </si>
  <si>
    <t>CENTRO DE ESTETICA SALUD CUERPO Y BELLEZA LTDA</t>
  </si>
  <si>
    <t>ARAGON</t>
  </si>
  <si>
    <t>CARRERA 78 G No. 37-21 SUR</t>
  </si>
  <si>
    <t>4062899</t>
  </si>
  <si>
    <t>jenny042@hotmail.com</t>
  </si>
  <si>
    <t>110012454803</t>
  </si>
  <si>
    <t>CENTRO DE ESTIMULACION REHABILITACION Y APRENDIZAJE SEMILLAS DE ESPERANZA</t>
  </si>
  <si>
    <t>Elsy del Carmen Delgado Prada</t>
  </si>
  <si>
    <t>Diagonal 49 sur 53 59</t>
  </si>
  <si>
    <t>3045694667</t>
  </si>
  <si>
    <t>elsydelgado11078@hotmail.com</t>
  </si>
  <si>
    <t>110012454802</t>
  </si>
  <si>
    <t>CENTRO DE ESTIMULACION, REHABILITACION Y APRENDIZAJE SEMILLAS DE ESPERANZA</t>
  </si>
  <si>
    <t>ELSY DEL CARMEN DELGADO PRADA</t>
  </si>
  <si>
    <t>CARRERA 64 A NUMERO 4 G - 40</t>
  </si>
  <si>
    <t>7023755-7023768</t>
  </si>
  <si>
    <t>ELSYDELGADO11078@HOTMAIL.COM</t>
  </si>
  <si>
    <t>110012454801</t>
  </si>
  <si>
    <t>CENTRO DE ESTIMULACION, REHABILITACION Y APRENDIZAJE SEMILLAS DE ESPERANZA S.A.S SIGLAS: CERASES S.A.S</t>
  </si>
  <si>
    <t>ELSY DELGADO PRADA</t>
  </si>
  <si>
    <t>CL 140B # 96 - 72</t>
  </si>
  <si>
    <t>3175156113</t>
  </si>
  <si>
    <t>1100103020</t>
  </si>
  <si>
    <t>CENTRO DE EVALUACION MEDICA PORVIDA LIMITADA La sociedad podra usar la sigla CEM PORVIDA</t>
  </si>
  <si>
    <t>HERNANDEZ HERNANDEZ MARIA HELNA</t>
  </si>
  <si>
    <t>Av. Calle 9 # 50 15 Local C1060</t>
  </si>
  <si>
    <t>5640026 - 3125890196</t>
  </si>
  <si>
    <t>umedica@porvida.com.co asistenteadministrativa@porvida.com.co</t>
  </si>
  <si>
    <t>110011931703</t>
  </si>
  <si>
    <t>CENTRO DE EXCELENCIA EN REHABILITACION Y MEDICINA DEL TRABAJO</t>
  </si>
  <si>
    <t>CAROLINA COLMENARES TOVAR</t>
  </si>
  <si>
    <t>KRA. 45 No. 94-83 AUT NORTE</t>
  </si>
  <si>
    <t>3152582777</t>
  </si>
  <si>
    <t>notificacionescuidarte@cuidartetusalud.com</t>
  </si>
  <si>
    <t>110011992003</t>
  </si>
  <si>
    <t>CENTRO DE EXCELENCIA PARA EL MANEJO DE LA DIABETES S.A.S</t>
  </si>
  <si>
    <t>OSCAR RINCON COVELLI</t>
  </si>
  <si>
    <t>CALLE 100 NO. 61 - 18</t>
  </si>
  <si>
    <t>3902449</t>
  </si>
  <si>
    <t>gerencia@cemdi.net.co</t>
  </si>
  <si>
    <t>110011992004</t>
  </si>
  <si>
    <t>CENTRO DE EXCELENCIA PARA EL MANEJO DE LA DIABETES S.A.S SEDE SUBA</t>
  </si>
  <si>
    <t>Nestor Raimundo Chavez Martinez</t>
  </si>
  <si>
    <t>Transversal 60 No. 127 D 39</t>
  </si>
  <si>
    <t>3102464222</t>
  </si>
  <si>
    <t>110011992005</t>
  </si>
  <si>
    <t>CENTRO DE EXCELENCIA PARA EL MANEJO DE LA DIABETES S.A.S SEDE SUR</t>
  </si>
  <si>
    <t>CARRERA 83 A BIS No. 59 A 12 SUR</t>
  </si>
  <si>
    <t>1100119920</t>
  </si>
  <si>
    <t>CENTRO DE EXCELENCIA PARA EL MANEJO DE LA DIABETES S.A.S. SIGLA CEMDI SAS</t>
  </si>
  <si>
    <t>ANA ISABEL ECHEVERRI VIVARES</t>
  </si>
  <si>
    <t>AV CALLE 100 No. 61 - 18</t>
  </si>
  <si>
    <t>6299524</t>
  </si>
  <si>
    <t>www.cemdi.net.co</t>
  </si>
  <si>
    <t>110010634201</t>
  </si>
  <si>
    <t>CENTRO DE GASTROENTEROLOGIA Y ENDOSCOPIA LIMITADA</t>
  </si>
  <si>
    <t>WILLIAM ALBERTO OTERO REGINO</t>
  </si>
  <si>
    <t>CALLE 117 #6A-60 CONSULTORIO 603A</t>
  </si>
  <si>
    <t>3160516260</t>
  </si>
  <si>
    <t>centrodegastrocalidad@gmail.com</t>
  </si>
  <si>
    <t>1100108754</t>
  </si>
  <si>
    <t>CENTRO DE INVESTIGACIONES DEL SISTEMA NERVIOSO S.A.S. SIGLA GRUPO CISNE S.A.S.</t>
  </si>
  <si>
    <t>DR. RODRIGO NEL CORDOBA ROJAS</t>
  </si>
  <si>
    <t>Calle 173 A N° 65-75</t>
  </si>
  <si>
    <t>(601) 8052358 ext 602 - 624 o 3181824021</t>
  </si>
  <si>
    <t>info@grupocisne.org</t>
  </si>
  <si>
    <t>https://grupocisne.org/</t>
  </si>
  <si>
    <t>110012023302</t>
  </si>
  <si>
    <t>CENTRO DE INVESTIGACIONES EN EPILEPSIA</t>
  </si>
  <si>
    <t>JUAN GABRIEL VERGARA PALMA</t>
  </si>
  <si>
    <t>TV 74 F No 40 B -54 SUR CS 610</t>
  </si>
  <si>
    <t>4480700</t>
  </si>
  <si>
    <t>juanverpal@gmail.com</t>
  </si>
  <si>
    <t>1100120233</t>
  </si>
  <si>
    <t>CENTRO DE INVESTIGACIONES EN EPILEPSIA LTDA.</t>
  </si>
  <si>
    <t>AV. CRA.9 No.103A-36 CONS 304 - 1</t>
  </si>
  <si>
    <t>6290900 - 3125219117</t>
  </si>
  <si>
    <t>110012023301</t>
  </si>
  <si>
    <t>CENTRO DE INVESTIGACIONES EN EPILEPSIA.</t>
  </si>
  <si>
    <t>AV CRA.9 No. 103A-36 CONS 304 - 1</t>
  </si>
  <si>
    <t>110012667401</t>
  </si>
  <si>
    <t>CENTRO DE INVESTIGACIÓN EN REUMATOLOGÍA Y ESPECIALIDADES MÉDICAS SAS "CIREEM SAS"</t>
  </si>
  <si>
    <t>PATRICIA JULIETA VELEZ SANCHEZ</t>
  </si>
  <si>
    <t>CARRERA 12 N0. 97 - 32 Oficina 201 Oficina 203 Consultorio 203-2 Consultorio 203-3 Oficina 301 Oficina 302 Oficina 303 Oficina 401 Oficina 403 Oficina 404 Deposito No 3</t>
  </si>
  <si>
    <t>4853675 - 4326305 - 3213564627</t>
  </si>
  <si>
    <t>administracion@cireem.com.co</t>
  </si>
  <si>
    <t>110012281601</t>
  </si>
  <si>
    <t>CENTRO DE MEDICINA BIOLOGICA Y ESTÉTICA GILMA E. GARRIDO</t>
  </si>
  <si>
    <t>GILMA ESTHER GARRIDO VILLARREAL</t>
  </si>
  <si>
    <t>CL 121 No. 7 A 07 Piso 2</t>
  </si>
  <si>
    <t>6290391</t>
  </si>
  <si>
    <t>contacto@gilmaegarrido.com</t>
  </si>
  <si>
    <t>110011779201</t>
  </si>
  <si>
    <t>CENTRO DE MEDICINA PREDICTIVA</t>
  </si>
  <si>
    <t>HELGA MILENA RODRIGUEZ HERRERA</t>
  </si>
  <si>
    <t>CL 77 # 11 19 OF 601-605</t>
  </si>
  <si>
    <t>3187996751</t>
  </si>
  <si>
    <t>calidad@genetix.com.co</t>
  </si>
  <si>
    <t>110012292101</t>
  </si>
  <si>
    <t>CENTRO DE NEUROPSICOLOGIA Y PSICOPEDAGOGIA APLICADA IPS LTDA</t>
  </si>
  <si>
    <t>SANDRA DEL PILAR CASTRILLON SUAREZ</t>
  </si>
  <si>
    <t>CARRERA 23 NUMERO 87-10/14</t>
  </si>
  <si>
    <t>5334929-5334928</t>
  </si>
  <si>
    <t>cenpaipsltda@gmail.com</t>
  </si>
  <si>
    <t>110010959905</t>
  </si>
  <si>
    <t>CENTRO DE ONCOLOGIA CLINICA DEL COUNTRY</t>
  </si>
  <si>
    <t>Cl 83 No. 16 A 10 P 1 P 2 P 3 Cons 302 Cub 2 Cons 303 Y 306 P 4 P 5 Cons 502 503 505 506 P 6</t>
  </si>
  <si>
    <t>1100117894</t>
  </si>
  <si>
    <t>CENTRO DE ORTOPEDIA Y TRAUMATOLOGIA UNICENTRO LTDA</t>
  </si>
  <si>
    <t>NESTOR ELIAS SANCHEZ DICELIS</t>
  </si>
  <si>
    <t>AK 15 # 124 - 47 OF 201-202-203-204-205-206-301-302-303-304-309-310-412-501-508-602</t>
  </si>
  <si>
    <t>2140230</t>
  </si>
  <si>
    <t>centro-ortopedia@hotmail.com</t>
  </si>
  <si>
    <t>1100116754</t>
  </si>
  <si>
    <t>CENTRO DE RECONOCIMIENTO DE CONDUCTORES ATENTO IPS LTDA</t>
  </si>
  <si>
    <t>LUIS GABRIEL OSSA ARBELAEZ</t>
  </si>
  <si>
    <t>TV 60 # 124 - 20 LC 6 9 y 10</t>
  </si>
  <si>
    <t>6176139</t>
  </si>
  <si>
    <t>ipsatento@yahoo.es</t>
  </si>
  <si>
    <t>110013146001</t>
  </si>
  <si>
    <t>CENTRO DE RECONOCIMIENTO DE CONDUCTORES DE COLOMBIA 2 SAS</t>
  </si>
  <si>
    <t>ANGELA PAOLA ZEA POVEDA</t>
  </si>
  <si>
    <t>CL 19 B # 16 43 SUR PISO 1</t>
  </si>
  <si>
    <t>3127898655</t>
  </si>
  <si>
    <t>crcdecolombia@hotmail.com</t>
  </si>
  <si>
    <t>110014140101</t>
  </si>
  <si>
    <t>CENTRO DE RECONOCIMIENTO DE CONDUCTORES IPS LARSALUD S.A.S</t>
  </si>
  <si>
    <t>JENNIFER CAROLINA SILVA FIAGA</t>
  </si>
  <si>
    <t>AK 58 # 137 A 10 Lc 309</t>
  </si>
  <si>
    <t>3006401910</t>
  </si>
  <si>
    <t>larsaludbogota@gmail.com</t>
  </si>
  <si>
    <t>110012490701</t>
  </si>
  <si>
    <t>CENTRO DE RECONOCIMIENTO DE CONDUCTORES LA PRIMERA</t>
  </si>
  <si>
    <t>CAMILO JAIME JARAMILLO CARDOSO</t>
  </si>
  <si>
    <t>CR 69 B No. 25 SUR - 01 AP BG 101</t>
  </si>
  <si>
    <t>7440575 - 3144344148 - 3005691326</t>
  </si>
  <si>
    <t>crclaprimera@hotmail.com</t>
  </si>
  <si>
    <t>110013769201</t>
  </si>
  <si>
    <t>CENTRO DE RECONOCIMIENTO DE CONDUCTORES MEDICONDUZCA S.A.S</t>
  </si>
  <si>
    <t>NELSON JAVIER HERRERA GARCIA</t>
  </si>
  <si>
    <t>Dg 23 No. 69 60 Lc 103</t>
  </si>
  <si>
    <t>3163333333</t>
  </si>
  <si>
    <t>crcmediconduzca@gmail.com</t>
  </si>
  <si>
    <t>1100106913</t>
  </si>
  <si>
    <t>CENTRO DE REHABILITACION PARA ADULTOS CIEGOS CRAC</t>
  </si>
  <si>
    <t>LOPERA RESTREPO GLADYS DE LAS MERCEDES</t>
  </si>
  <si>
    <t>AC 8 SUR # 31 A 31</t>
  </si>
  <si>
    <t>7209040</t>
  </si>
  <si>
    <t>direccion@cracolombia.org.co</t>
  </si>
  <si>
    <t>1100107768</t>
  </si>
  <si>
    <t>CENTRO DE REHABILITACION PARA NIÑOS CON LABIO Y PALADAR FISURADO - FISULAB</t>
  </si>
  <si>
    <t>ECEHVERRY BRANDO MARIA DEL PILAR</t>
  </si>
  <si>
    <t>Calle 161 A N. 21-35 - Barrio:Orquideas</t>
  </si>
  <si>
    <t>3146426</t>
  </si>
  <si>
    <t>gerencia@fisulab.org</t>
  </si>
  <si>
    <t>www.fisulab.org</t>
  </si>
  <si>
    <t>1100110054</t>
  </si>
  <si>
    <t>CENTRO DE SALUD JUAN BONAL</t>
  </si>
  <si>
    <t>SABOGAL PRIETO MARTHA FABIOLA</t>
  </si>
  <si>
    <t>KR 5 # 94 71 SUR</t>
  </si>
  <si>
    <t>6014672956</t>
  </si>
  <si>
    <t>csjbonal@yahoo.com</t>
  </si>
  <si>
    <t>110012507002</t>
  </si>
  <si>
    <t>CENTRO DE SERVICIOS AMBULATORIOS - CLINICA LA COLINA</t>
  </si>
  <si>
    <t>Carrera 67 # 167 61 Local 8,9,10,11,12,13 Consultorio 211,504, 505, 510-3, 515, 516, 517</t>
  </si>
  <si>
    <t>110010959907</t>
  </si>
  <si>
    <t>CENTRO DE SERVICIOS AMBULATORIOS DEL COUNTRY</t>
  </si>
  <si>
    <t>CARRERA 16 No 84A - 09 Cons 321 y 322</t>
  </si>
  <si>
    <t>1100102545</t>
  </si>
  <si>
    <t>CENTRO DE TECNOLOGIA OFTALMICA S.A.S. Y PODRÁ UTILIZAR LA SIGLA CTO S.A.S</t>
  </si>
  <si>
    <t>GARCIA PAVA ALVARO</t>
  </si>
  <si>
    <t>CRA 16 N° 97 - 46 ED TORRE 97 LOCAL 5</t>
  </si>
  <si>
    <t>3144582408</t>
  </si>
  <si>
    <t>centrodetecnologia@ctoltda.com</t>
  </si>
  <si>
    <t>1100106016</t>
  </si>
  <si>
    <t>CENTRO DE TERAPIAS OCUFILEN LTDA</t>
  </si>
  <si>
    <t>ORDOÑEZ SUSANA</t>
  </si>
  <si>
    <t>CALLE 117 # 6 A 83 CONS 503-504</t>
  </si>
  <si>
    <t>2154844</t>
  </si>
  <si>
    <t>ocufilen@gmail.com</t>
  </si>
  <si>
    <t>110013775101</t>
  </si>
  <si>
    <t>CENTRO DERMATOLOGICO CAROLINA MARTINEZ</t>
  </si>
  <si>
    <t>CAROLINA MARTINEZ TORRADO</t>
  </si>
  <si>
    <t>CL 83 No. 16A - 44 Cs 201, 202, 203 , 207</t>
  </si>
  <si>
    <t>3175604392</t>
  </si>
  <si>
    <t>notificaciones@dracarolinamartinez.com</t>
  </si>
  <si>
    <t>110011883601</t>
  </si>
  <si>
    <t>CENTRO DERMATOLOGICO GIOVANNI BOJANINI S.A.S</t>
  </si>
  <si>
    <t>GIOVANNI JOSE BOJANINI MORRON</t>
  </si>
  <si>
    <t>CR 11 No. 94 A-34 Local 6,7,8,9</t>
  </si>
  <si>
    <t>6157820 - 3112032860</t>
  </si>
  <si>
    <t>calidad@giovannibojanini.co</t>
  </si>
  <si>
    <t>1100118836</t>
  </si>
  <si>
    <t>CENTRO DERMATOLOGICO GIOVANNI BOJANINI S.A.S.</t>
  </si>
  <si>
    <t>http://giovannibojanini.co/</t>
  </si>
  <si>
    <t>1100115024</t>
  </si>
  <si>
    <t>CENTRO ELECTRO AUDITIVO NACIONAL AL SERVICIO DE LA REHABILITACION SAS</t>
  </si>
  <si>
    <t>CARLOS ARTURO COPETE DOMINGUEZ</t>
  </si>
  <si>
    <t>CR 7 N° 41 - 21 AP 202</t>
  </si>
  <si>
    <t>3152694584</t>
  </si>
  <si>
    <t>clinicaauditivaescucha@ipsceansas.com</t>
  </si>
  <si>
    <t>WWW.AYUDASAUDITIVAS.COM</t>
  </si>
  <si>
    <t>110014093401</t>
  </si>
  <si>
    <t>CENTRO ESPECIALIZADO DE RETINA Y VITREO SAS</t>
  </si>
  <si>
    <t>ANGELA MARIA CORDOBA PAEZ</t>
  </si>
  <si>
    <t>KR 19#84-17 CONSULTORIO 502</t>
  </si>
  <si>
    <t>3183546095</t>
  </si>
  <si>
    <t>administracion@orlandoustariz.com</t>
  </si>
  <si>
    <t>110012585901</t>
  </si>
  <si>
    <t>CENTRO ESPECIALIZADO EN NEURODESARROLLO TERAPIAS INTEGRALES Y RE HABILITACIÓN SAS SIGLA CEENTIR SAS</t>
  </si>
  <si>
    <t>MARISOL CIFUENTES DIAZ</t>
  </si>
  <si>
    <t>CLL 147 N 17 78 EDIFICIOF SOKO 307-308</t>
  </si>
  <si>
    <t>2329857-3229457056</t>
  </si>
  <si>
    <t>ceentir@gmail.com</t>
  </si>
  <si>
    <t>110014176301</t>
  </si>
  <si>
    <t>CENTRO ESPECIALIZADO EN UROGINECOLOGIA, PISO PELVICO, SEXOLOGIA Y VPH SAS SIGLA GINESSENCE</t>
  </si>
  <si>
    <t>DIANA CAROLINA LEZCANO CARDENAS</t>
  </si>
  <si>
    <t>CR 19 A NO 82 85 CS 807</t>
  </si>
  <si>
    <t>3104414961</t>
  </si>
  <si>
    <t>dianalezcanoster@gmail.com</t>
  </si>
  <si>
    <t>110012427906</t>
  </si>
  <si>
    <t>CENTRO HOSPITALARIO SAN NICOLAS</t>
  </si>
  <si>
    <t>CARLOS AUGUSTO SANCHEZ HERNANDEZ</t>
  </si>
  <si>
    <t>CARRERA 28 # 74 - 10 / 24</t>
  </si>
  <si>
    <t>311 266 80 13</t>
  </si>
  <si>
    <t>CALIDAD.IPS@OUTLOOK.COM</t>
  </si>
  <si>
    <t>110013225301</t>
  </si>
  <si>
    <t>CENTRO INFANTIL PARA EL NEURODESARROLLO EN FAMILIA SAS</t>
  </si>
  <si>
    <t>Julio Omana</t>
  </si>
  <si>
    <t>Calle 134 #7B 83, Consultorio 305</t>
  </si>
  <si>
    <t>3165084737</t>
  </si>
  <si>
    <t>secretaria@neurofamilia.com</t>
  </si>
  <si>
    <t>110014159701</t>
  </si>
  <si>
    <t>CENTRO INTEGRAL DE CIRUGIA PLASTICA Y DERMATOPATOLOGIA IPS SAS</t>
  </si>
  <si>
    <t>JUAN EDUARDO ROCHA AGUIRRE</t>
  </si>
  <si>
    <t>Avenida Carrera 9 116 20 Consultorio 618</t>
  </si>
  <si>
    <t>3505935237</t>
  </si>
  <si>
    <t>md.juanrocha@gmail.com</t>
  </si>
  <si>
    <t>110010817149</t>
  </si>
  <si>
    <t>CENTRO INTEGRAL DE DIAGNOSTICO COLSUBSIDIO</t>
  </si>
  <si>
    <t>ERNESTINA ORTEGA JUTINICO</t>
  </si>
  <si>
    <t>KR 43 # 13 66/70</t>
  </si>
  <si>
    <t>6017420100 ext 73000-73001</t>
  </si>
  <si>
    <t>1100109056</t>
  </si>
  <si>
    <t>CENTRO INTEGRAL DE INNOVACIÓN Y TECNOLOGÍA CLÍNICA ONKOS S.A.S</t>
  </si>
  <si>
    <t>OTALORA GONZALEZ ALVARO</t>
  </si>
  <si>
    <t>Diagonal 33 Bis A # 14 37</t>
  </si>
  <si>
    <t>3208400 ext 290 - 3203037398</t>
  </si>
  <si>
    <t>Notificaciones@clinicaonkos.com.co - calidad@clinicaonkos.com.co</t>
  </si>
  <si>
    <t>1100104166</t>
  </si>
  <si>
    <t>CENTRO INTEGRAL DE REHABILITACION COLOMBIA - CIREC</t>
  </si>
  <si>
    <t>GONZALEZ CHAVEZ LILIAN</t>
  </si>
  <si>
    <t>KR 54 # 65 25</t>
  </si>
  <si>
    <t>7953600- 3118542905</t>
  </si>
  <si>
    <t>gloria.pinilla@cirec.org</t>
  </si>
  <si>
    <t>110014331001</t>
  </si>
  <si>
    <t>CENTRO INTEGRAL EN SALUD MENTAL Y EMOCIONAL S.A.S SIGLA CIESME S.A.S</t>
  </si>
  <si>
    <t>ANGIE ROCIO GONZALEZ AHUMADA</t>
  </si>
  <si>
    <t>CARRERA 49A # 94-32 PISO 1 CONSULTORIO 1</t>
  </si>
  <si>
    <t>3017140134</t>
  </si>
  <si>
    <t>angie.gonzalez@saludmentalsanamente.com.co</t>
  </si>
  <si>
    <t>110012533901</t>
  </si>
  <si>
    <t>CENTRO INTEGRAL PARA MANEJO DEL DOLOR-CINDOLORS.A.S</t>
  </si>
  <si>
    <t>JUAN VICENTE TORRES PABON</t>
  </si>
  <si>
    <t>CARRERA 16A NO 82-46 CONSULTORIO 502/503</t>
  </si>
  <si>
    <t>2960547</t>
  </si>
  <si>
    <t>jvtptorres@gmail.com</t>
  </si>
  <si>
    <t>110011636602</t>
  </si>
  <si>
    <t>CENTRO INTEGRAL TERAPEUTICO DE MANO CITMA</t>
  </si>
  <si>
    <t>MONICA AMAYA DURAN</t>
  </si>
  <si>
    <t>CARRERA 70A No.5B-61</t>
  </si>
  <si>
    <t>7503316</t>
  </si>
  <si>
    <t>citmaeu@gmail.com</t>
  </si>
  <si>
    <t>110010870601</t>
  </si>
  <si>
    <t>CENTRO INTERNACIONAL DE MEDICINAS ALTERNATIVAS VAN UDEN IPS</t>
  </si>
  <si>
    <t>EMELYN VAN UDEN MANJARRES</t>
  </si>
  <si>
    <t>AV SUBA # 100 33</t>
  </si>
  <si>
    <t>5333800</t>
  </si>
  <si>
    <t>cimaips@gmail.com</t>
  </si>
  <si>
    <t>110013630022</t>
  </si>
  <si>
    <t>CENTRO MEDICO CALLE 100</t>
  </si>
  <si>
    <t>Carrera 19 # 98 - 57</t>
  </si>
  <si>
    <t>110013630017</t>
  </si>
  <si>
    <t>CENTRO MEDICO CALLE 80 PISO 3</t>
  </si>
  <si>
    <t>Carrera 89 A # 79 -51 Piso 3</t>
  </si>
  <si>
    <t>110013630021</t>
  </si>
  <si>
    <t>CENTRO MEDICO CALLE 80 PISO 4</t>
  </si>
  <si>
    <t>Carrera 89 A 79 51 Piso 4</t>
  </si>
  <si>
    <t>110013630015</t>
  </si>
  <si>
    <t>CENTRO MEDICO CHICO NAVARRA</t>
  </si>
  <si>
    <t>Calle 106 19 19</t>
  </si>
  <si>
    <t>6466060 - 5895394</t>
  </si>
  <si>
    <t>110010817106</t>
  </si>
  <si>
    <t>CENTRO MEDICO CIUDADELA COLSUBSIDIO</t>
  </si>
  <si>
    <t>ROCIO MIREYA REYES FORERO</t>
  </si>
  <si>
    <t>CRA 111 A # 82 36</t>
  </si>
  <si>
    <t>7421122 - 7461120</t>
  </si>
  <si>
    <t>110013630035</t>
  </si>
  <si>
    <t>CENTRO MEDICO CLINICA COLOMBIA CONSULTORIO 1224</t>
  </si>
  <si>
    <t>Calle 23 # 66 -46 Smll - 6 Consultorio 1224</t>
  </si>
  <si>
    <t>6016466060</t>
  </si>
  <si>
    <t>110013630034</t>
  </si>
  <si>
    <t>CENTRO MEDICO CLINICA COLOMBIA PISO 10</t>
  </si>
  <si>
    <t>Cl 23 # 66 46 Smll-6 Piso 10</t>
  </si>
  <si>
    <t>110010403517</t>
  </si>
  <si>
    <t>CENTRO MEDICO COLMEDICA BULEVAR NIZA</t>
  </si>
  <si>
    <t>AK 58 No. 127 - 59 LC 258-259-260 Piso 2 CC Bulevar Niza</t>
  </si>
  <si>
    <t>110010403519</t>
  </si>
  <si>
    <t>CENTRO MEDICO COLMEDICA CALLE 185</t>
  </si>
  <si>
    <t>CALLE 185 No. 45-03 LOCAL 2-154, 2-155, 2-156 PISO 2 CC SANTAFE</t>
  </si>
  <si>
    <t>110010403513</t>
  </si>
  <si>
    <t>CENTRO MEDICO COLMEDICA SEDE BELAIRE</t>
  </si>
  <si>
    <t>CALLE 153 NO. 6-65 LOCAL L07 LC201 CC BELAIRE PLAZA ET II</t>
  </si>
  <si>
    <t>110010403505</t>
  </si>
  <si>
    <t>CENTRO MEDICO COLMEDICA SEDE CEDRITOS</t>
  </si>
  <si>
    <t>Cll 140 No. 11-45 Piso 9 Ofc 901 a la 921</t>
  </si>
  <si>
    <t>110010403512</t>
  </si>
  <si>
    <t>CENTRO MEDICO COLMEDICA SEDE CHAPINERO</t>
  </si>
  <si>
    <t>CR 7 No. 52-53</t>
  </si>
  <si>
    <t>110010403506</t>
  </si>
  <si>
    <t>CENTRO MEDICO COLMEDICA SEDE COLINA CAMPESTRE</t>
  </si>
  <si>
    <t>CALLE 151 N 54 - 15 ET II LC 21</t>
  </si>
  <si>
    <t>110010403504</t>
  </si>
  <si>
    <t>CENTRO MEDICO COLMEDICA SEDE COUNTRY PARK</t>
  </si>
  <si>
    <t>KR 18 N° 84 - 11 PISO 2 Y 3</t>
  </si>
  <si>
    <t>110010403516</t>
  </si>
  <si>
    <t>CENTRO MEDICO COLMEDICA SEDE METROPOLIS</t>
  </si>
  <si>
    <t>AK 68 No. 75 A 50 LC 262 A</t>
  </si>
  <si>
    <t>110010403524</t>
  </si>
  <si>
    <t>CENTRO MEDICO COLMEDICA SEDE MULTIPLAZA</t>
  </si>
  <si>
    <t>Calle 19A No 72-57 Locales C-124 y C-125 Centro Comercial Multiplaza</t>
  </si>
  <si>
    <t>notificacionesjudiciales@umd.com.co</t>
  </si>
  <si>
    <t>110010403515</t>
  </si>
  <si>
    <t>CENTRO MEDICO COLMEDICA SEDE PLAZA CENTRAL</t>
  </si>
  <si>
    <t>CR 65 No. 11-90 LC 4-27 A CC PLAZA CENTRAL</t>
  </si>
  <si>
    <t>110010403509</t>
  </si>
  <si>
    <t>CENTRO MEDICO COLMEDICA SEDE SALITRE CAPITAL</t>
  </si>
  <si>
    <t>AC 26 No. 69C-03 T. A y T. B Ofc. 3-01 y 5-01</t>
  </si>
  <si>
    <t>110010403514</t>
  </si>
  <si>
    <t>CENTRO MEDICO COLMEDICA SEDE SUBA</t>
  </si>
  <si>
    <t>CL 145 No 103B-69 CENTRO EMPRESARIAL ALPASO PLAZA LOCAL 501</t>
  </si>
  <si>
    <t>110010403518</t>
  </si>
  <si>
    <t>CENTRO MEDICO COLMEDICA UNICENTRO DE OCCIDENTE</t>
  </si>
  <si>
    <t>Cr 111 C No. 86-05 Lc 251 P 2 CC Unicentro de Occidente</t>
  </si>
  <si>
    <t>110010403523</t>
  </si>
  <si>
    <t>CENTRO MEDICO COLMEDICA ZAFIRO USAQUEN</t>
  </si>
  <si>
    <t>CARRERA 7 120-20 LC 2-01 2-02 2-03</t>
  </si>
  <si>
    <t>110010918666</t>
  </si>
  <si>
    <t>CENTRO MEDICO COLSANITAS EL DORADO</t>
  </si>
  <si>
    <t>Adrian Gustavo Torres Pizarro</t>
  </si>
  <si>
    <t>AVENIDA CALLE 26 # 113 - 90</t>
  </si>
  <si>
    <t>calidadclinica@colsanitas.com</t>
  </si>
  <si>
    <t>110010918643</t>
  </si>
  <si>
    <t>CENTRO MEDICO COLSANITAS HORIZONTE</t>
  </si>
  <si>
    <t>Julio Cesar Castellanos Ramirez</t>
  </si>
  <si>
    <t>AC 127 20 78 LC 206, 207, LB, UN RAD</t>
  </si>
  <si>
    <t>5940460</t>
  </si>
  <si>
    <t>110013630003</t>
  </si>
  <si>
    <t>CENTRO MEDICO COLSANITAS PREMIUM 108</t>
  </si>
  <si>
    <t>AK 45 #108A-50 ED BOSH P2</t>
  </si>
  <si>
    <t>6466060 ext 5712052</t>
  </si>
  <si>
    <t>110013630008</t>
  </si>
  <si>
    <t>CENTRO MEDICO COLSANITAS PREMIUM CALLE 96</t>
  </si>
  <si>
    <t>KR 14 96 22 / KR 14 96 08 P1, P2 INT 202,203 Y 204, P3, P4.</t>
  </si>
  <si>
    <t>110013630009</t>
  </si>
  <si>
    <t>CENTRO MEDICO COLSANITAS PREMIUM CEDRO BOLIVAR</t>
  </si>
  <si>
    <t>CALLE 152 19 28 PISO 1- PISO 2 INT. 201 - PISO 3 INT 301</t>
  </si>
  <si>
    <t>110013630004</t>
  </si>
  <si>
    <t>CENTRO MEDICO COLSANITAS PREMIUM COLINA CAMPESTRE</t>
  </si>
  <si>
    <t>CARRERA 59 # 152- 19</t>
  </si>
  <si>
    <t>110013630007</t>
  </si>
  <si>
    <t>CENTRO MEDICO COLSANITAS PREMIUM ILARCO</t>
  </si>
  <si>
    <t>Transversal 60 115 58 Torre C Lc 104</t>
  </si>
  <si>
    <t>110013630002</t>
  </si>
  <si>
    <t>CENTRO MEDICO COLSANITAS PREMIUM LA CALLEJA</t>
  </si>
  <si>
    <t>CL 127 # 20 16 PI 6 IN 2, IN 3, IN 4</t>
  </si>
  <si>
    <t>110013630027</t>
  </si>
  <si>
    <t>CENTRO MEDICO COLSANITAS PREMIUM MEDICINA PREVENTIVA</t>
  </si>
  <si>
    <t>Calle 114 6 A 92 Lc del 213 al 235</t>
  </si>
  <si>
    <t>110013630005</t>
  </si>
  <si>
    <t>CENTRO MEDICO COLSANITAS PREMIUM SALITRE</t>
  </si>
  <si>
    <t>Kr 68A 24B 10 T0 2 Pi 4</t>
  </si>
  <si>
    <t>5895303</t>
  </si>
  <si>
    <t>110010918663</t>
  </si>
  <si>
    <t>CENTRO MEDICO COLSANITAS SANTA ANA</t>
  </si>
  <si>
    <t>María del Pilar Suarez Ramos</t>
  </si>
  <si>
    <t>ED TO EMPRESARIAL PACIFIC CL 110 9 - 25 PI 1 IN1 PI 2 BODEGA 1</t>
  </si>
  <si>
    <t>6466060 EXT 5711495</t>
  </si>
  <si>
    <t>110013630038</t>
  </si>
  <si>
    <t>CENTRO MEDICO COLSANITAS VIRTUAL</t>
  </si>
  <si>
    <t>CARRERA 6 115 65 LOCAL 117</t>
  </si>
  <si>
    <t>110010817163</t>
  </si>
  <si>
    <t>CENTRO MEDICO COLSUBSIDIO 20 DE JULIO</t>
  </si>
  <si>
    <t>DIANA MILENA VILLAMIL ROJAS</t>
  </si>
  <si>
    <t>Calle 25B Sur # 5B - 87 Piso 3</t>
  </si>
  <si>
    <t>7441316</t>
  </si>
  <si>
    <t>110010817105</t>
  </si>
  <si>
    <t>CENTRO MEDICO COLSUBSIDIO CALLE 26</t>
  </si>
  <si>
    <t>JULIO CESAR MALDONADO SANCHEZ</t>
  </si>
  <si>
    <t>Calle 27 # 24-87 PI 2 Y 3</t>
  </si>
  <si>
    <t>7420100 ext. 71783, 7563646</t>
  </si>
  <si>
    <t>110010817107</t>
  </si>
  <si>
    <t>CENTRO MEDICO COLSUBSIDIO CALLE 63</t>
  </si>
  <si>
    <t>TERESA VIVIANA GARCIA SANCHEZ</t>
  </si>
  <si>
    <t>KR 24 # 62 50 PI 2 al 6</t>
  </si>
  <si>
    <t>7565500</t>
  </si>
  <si>
    <t>110010817133</t>
  </si>
  <si>
    <t>CENTRO MEDICO COLSUBSIDIO CHICALA</t>
  </si>
  <si>
    <t>KR 85 C# 53 21 SUR</t>
  </si>
  <si>
    <t>7455223</t>
  </si>
  <si>
    <t>110010817117</t>
  </si>
  <si>
    <t>CENTRO MEDICO COLSUBSIDIO FONTIBON</t>
  </si>
  <si>
    <t>CL 17 # 114 12 LC 18</t>
  </si>
  <si>
    <t>7455288</t>
  </si>
  <si>
    <t>110010817144</t>
  </si>
  <si>
    <t>CENTRO MEDICO COLSUBSIDIO IPANEMA</t>
  </si>
  <si>
    <t>CLAUDIA ALEJANDRA DIAZ NUÑEZ</t>
  </si>
  <si>
    <t>CL 26 SUR # 93 D 12</t>
  </si>
  <si>
    <t>7420100 ext. 14237</t>
  </si>
  <si>
    <t>110010817118</t>
  </si>
  <si>
    <t>CENTRO MEDICO COLSUBSIDIO PORTAL DEL NORTE</t>
  </si>
  <si>
    <t>AK 45 # 176 31 PI 2</t>
  </si>
  <si>
    <t>7452078 /79-80-84-85</t>
  </si>
  <si>
    <t>110010817150</t>
  </si>
  <si>
    <t>CENTRO MEDICO COLSUBSIDIO PORVENIR</t>
  </si>
  <si>
    <t>Cl 54 F Sur # 93 C 18 LC 251</t>
  </si>
  <si>
    <t>7434383 Ext 73422/26/28</t>
  </si>
  <si>
    <t>110010817132</t>
  </si>
  <si>
    <t>CENTRO MEDICO COLSUBSIDIO PRIMERO DE MAYO</t>
  </si>
  <si>
    <t>TV 78 H # 42 C 10 SUR PI 2</t>
  </si>
  <si>
    <t>7450284 ext. 200</t>
  </si>
  <si>
    <t>110010817136</t>
  </si>
  <si>
    <t>CENTRO MEDICO COLSUBSIDIO QUIROGA</t>
  </si>
  <si>
    <t>CL 38 SUR # 18 30</t>
  </si>
  <si>
    <t>7607461 Ext. 101</t>
  </si>
  <si>
    <t>110010817134</t>
  </si>
  <si>
    <t>CENTRO MEDICO COLSUBSIDIO RESTREPO</t>
  </si>
  <si>
    <t>CL 19 SUR # 21-32 PI 3 y 4</t>
  </si>
  <si>
    <t>7420100 EXT: 78093 - 78065</t>
  </si>
  <si>
    <t>110010817108</t>
  </si>
  <si>
    <t>CENTRO MEDICO COLSUBSIDIO SANTA LIBRADA</t>
  </si>
  <si>
    <t>AK 1 # 76 A 04 SUR PI 2 y 3</t>
  </si>
  <si>
    <t>7420100 ext. 11039 y 11034</t>
  </si>
  <si>
    <t>110010817143</t>
  </si>
  <si>
    <t>CENTRO MEDICO COLSUBSIDIO SUBA</t>
  </si>
  <si>
    <t>calle 145 # 92 - 30 LC 2-1</t>
  </si>
  <si>
    <t>7420393</t>
  </si>
  <si>
    <t>110010817116</t>
  </si>
  <si>
    <t>CENTRO MEDICO COLSUBSIDIO TIERRA GRATA</t>
  </si>
  <si>
    <t>KR 101 # 69 - 67</t>
  </si>
  <si>
    <t>7420100 ext. 75464</t>
  </si>
  <si>
    <t>110010817104</t>
  </si>
  <si>
    <t>CENTRO MEDICO COLSUBSIDIO USAQUEN</t>
  </si>
  <si>
    <t>AK7 # 123 65 PI 3 - 4 - 5</t>
  </si>
  <si>
    <t>6017420100</t>
  </si>
  <si>
    <t>110014366501</t>
  </si>
  <si>
    <t>CENTRO MEDICO COMUNITARIO RED SOMOS IPS S.A.S</t>
  </si>
  <si>
    <t>JHON FREDY RAMIREZ CORREA</t>
  </si>
  <si>
    <t>AK 19 # 37 36 P 1</t>
  </si>
  <si>
    <t>3223579925</t>
  </si>
  <si>
    <t>administracion@redsomos.org</t>
  </si>
  <si>
    <t>1100106352</t>
  </si>
  <si>
    <t>CENTRO MEDICO COMUNITARIO VILLA AMALIA</t>
  </si>
  <si>
    <t>AMAYA PACHON ALBERTO</t>
  </si>
  <si>
    <t>AC 72 # 110 13 PI 2</t>
  </si>
  <si>
    <t>4422206</t>
  </si>
  <si>
    <t>JACPVA@HOTMAIL.COM</t>
  </si>
  <si>
    <t>110011040004</t>
  </si>
  <si>
    <t>CENTRO MEDICO COOMEVA MEDICINA PREPAGADA</t>
  </si>
  <si>
    <t>Nelson Infante Riaño</t>
  </si>
  <si>
    <t>Cl 102 # 14A - 70 P1 - P2 y P3</t>
  </si>
  <si>
    <t>3175872790</t>
  </si>
  <si>
    <t>nelson_infante@coomeva.com.co dianap_ospina@coomeva.com.co lauran_medina@coomeva.com.co</t>
  </si>
  <si>
    <t>110013947301</t>
  </si>
  <si>
    <t>CENTRO MEDICO DE ESPECIALISTAS NOGAL IPS SAS C.ME.N. IPS SAS</t>
  </si>
  <si>
    <t>CRISTIAN CAMILO CORREDOR GARCIA</t>
  </si>
  <si>
    <t>CARRERA 15 # 88 - 64 CONSULTORIO 224</t>
  </si>
  <si>
    <t>3014904827</t>
  </si>
  <si>
    <t>ccorredor@somosnogalips.com</t>
  </si>
  <si>
    <t>1100103071</t>
  </si>
  <si>
    <t>CENTRO MEDICO DE ORIENTACION LA GLORIA S.A.S SIGLA IPS LA GLORIA S.A.S</t>
  </si>
  <si>
    <t>MUÑOZ CORREA LUZ DAICY</t>
  </si>
  <si>
    <t>CALLE 34 # 15 51</t>
  </si>
  <si>
    <t>3402120</t>
  </si>
  <si>
    <t>lagloriaipssas@hotmail.com</t>
  </si>
  <si>
    <t>110014201601</t>
  </si>
  <si>
    <t>CENTRO MEDICO DE REPRODUCCION HUMANA ASISTIDA FERTILITY DREAMS SAS</t>
  </si>
  <si>
    <t>Juan Pablo Giraldo Mojica</t>
  </si>
  <si>
    <t>calle 110 # 9-25 consultorio 811-812</t>
  </si>
  <si>
    <t>3505147207</t>
  </si>
  <si>
    <t>info@fertilitydreams.co</t>
  </si>
  <si>
    <t>1100115117</t>
  </si>
  <si>
    <t>CENTRO MEDICO DEPORTIVO MET SAS</t>
  </si>
  <si>
    <t>CARLOS ALBERTO ULLOA CASTRO</t>
  </si>
  <si>
    <t>Calle 106 N° 23 61 Piso 8</t>
  </si>
  <si>
    <t>6349200-2368230</t>
  </si>
  <si>
    <t>clinicamet@gmail.com</t>
  </si>
  <si>
    <t>110010918634</t>
  </si>
  <si>
    <t>CENTRO MEDICO DIAGNOSTICO CALLE 80</t>
  </si>
  <si>
    <t>CRA 89A NO 79-03 PI 4 COSTADO NOR-OCCIDENTAL</t>
  </si>
  <si>
    <t>2 524911</t>
  </si>
  <si>
    <t>110010918676</t>
  </si>
  <si>
    <t>CENTRO MEDICO DIAGNÓSTICO TOBERIN</t>
  </si>
  <si>
    <t>TOMÁS ESCALLÓN PÁEZ</t>
  </si>
  <si>
    <t>CALLE 163 A 22 36 Piso 3 Costado Oriental</t>
  </si>
  <si>
    <t>1100117704</t>
  </si>
  <si>
    <t>CENTRO MEDICO ECOMEDICA E.U.</t>
  </si>
  <si>
    <t>CLAUDIA PATRICIA BAHAMON TOVAR</t>
  </si>
  <si>
    <t>CALLE 34 No 14-33</t>
  </si>
  <si>
    <t>3202045</t>
  </si>
  <si>
    <t>CBAHAMON@HOTMAIL.COM</t>
  </si>
  <si>
    <t>1100105776</t>
  </si>
  <si>
    <t>CENTRO MEDICO ENDOCENTRO LTDA</t>
  </si>
  <si>
    <t>MOLANO VILLA JUAN CARLOS</t>
  </si>
  <si>
    <t>TV 60 # 115 58 T B OF 403, 407,409,410,413,206</t>
  </si>
  <si>
    <t>7424172</t>
  </si>
  <si>
    <t>endocentroltda@yahoo.com</t>
  </si>
  <si>
    <t>www.endocentroltda.com</t>
  </si>
  <si>
    <t>110013630024</t>
  </si>
  <si>
    <t>CENTRO MEDICO ESPECIALISTAS</t>
  </si>
  <si>
    <t>AK 45 # 100 - 74</t>
  </si>
  <si>
    <t>110013630016</t>
  </si>
  <si>
    <t>CENTRO MEDICO FONTIBON</t>
  </si>
  <si>
    <t>Carrera 96 H 16 J 04</t>
  </si>
  <si>
    <t>5895363</t>
  </si>
  <si>
    <t>110013630018</t>
  </si>
  <si>
    <t>CENTRO MEDICO GALERIAS</t>
  </si>
  <si>
    <t>Carrera 24 50 47</t>
  </si>
  <si>
    <t>110012347407</t>
  </si>
  <si>
    <t>CENTRO MEDICO INTEGRAL BLUECARE AZUL</t>
  </si>
  <si>
    <t>Ricardo Uriel Herrera Rojas</t>
  </si>
  <si>
    <t>Carrera 49D #91-33, Piso 2, Ala Sur.</t>
  </si>
  <si>
    <t>5924501</t>
  </si>
  <si>
    <t>1100103975</t>
  </si>
  <si>
    <t>CENTRO MEDICO LA FACULTAD SAS</t>
  </si>
  <si>
    <t>ESPITIA GALINDO LUIS EDUARDO</t>
  </si>
  <si>
    <t>CRA 18 sur No. 56A-50</t>
  </si>
  <si>
    <t>7608414 - 2059235 - 3132416725</t>
  </si>
  <si>
    <t>i.p.s.lafacultad@hotmail.com</t>
  </si>
  <si>
    <t>www.cmlafacultad.com</t>
  </si>
  <si>
    <t>110011775101</t>
  </si>
  <si>
    <t>CENTRO MEDICO LABORATORIO CLINICO OLAYA</t>
  </si>
  <si>
    <t>ROSALIA MORENO CHAPARRO</t>
  </si>
  <si>
    <t>KR 21 26 52 SUR PISO 1</t>
  </si>
  <si>
    <t>2397687 3025454106</t>
  </si>
  <si>
    <t>centromedicoolaya@gmail.com</t>
  </si>
  <si>
    <t>1100117751</t>
  </si>
  <si>
    <t>CENTRO MEDICO LABORATORIO CLINICO OLAYA SAS</t>
  </si>
  <si>
    <t>CR 21 No. 23 - 38 sur PISO 1 2 3 - Barrio:OLAYA</t>
  </si>
  <si>
    <t>6012397687 3025454106</t>
  </si>
  <si>
    <t>110013630011</t>
  </si>
  <si>
    <t>CENTRO MEDICO NARIÑO</t>
  </si>
  <si>
    <t>Carrera 17 Sur 16 51</t>
  </si>
  <si>
    <t>6466060 - 7428383</t>
  </si>
  <si>
    <t>1100105711</t>
  </si>
  <si>
    <t>CENTRO MEDICO OFTALMOLOGICO Y LABORATORIO CLINICO ANDRADE NARVAEZ SOCIEDAD POR ACCIONES SIMPLIFICADA SIGLA COLCAN S.A.S.</t>
  </si>
  <si>
    <t>ANDRADE CHAVEZ ABDON MARCELO</t>
  </si>
  <si>
    <t>CALLE 49 # 13-60</t>
  </si>
  <si>
    <t>6017437777 / 3168775766</t>
  </si>
  <si>
    <t>direccioncalidad@laboratoriocolcan.com</t>
  </si>
  <si>
    <t>https://laboratoriocolcan.com/</t>
  </si>
  <si>
    <t>110013630028</t>
  </si>
  <si>
    <t>CENTRO MEDICO PARALELA 103</t>
  </si>
  <si>
    <t>Avenida Carrera 45 103 B 03</t>
  </si>
  <si>
    <t>110013630031</t>
  </si>
  <si>
    <t>CENTRO MEDICO PLAZA CENTRAL</t>
  </si>
  <si>
    <t>Cr 65 # 11 - 50 Lc 2-47</t>
  </si>
  <si>
    <t>110013630010</t>
  </si>
  <si>
    <t>CENTRO MEDICO PLAZA DE LAS AMERICAS</t>
  </si>
  <si>
    <t>Juan Carlos Garcia Masquita</t>
  </si>
  <si>
    <t>Carrera 71 D Sur 6 94 Local 3003 - 4002 Cc Plaza De Las Americas</t>
  </si>
  <si>
    <t>110010918654</t>
  </si>
  <si>
    <t>CENTRO MEDICO PUENTE ARANDA</t>
  </si>
  <si>
    <t>Nidia Alexandra Turmequé Gómez</t>
  </si>
  <si>
    <t>CALLE 14 No 62 - 04, Interior 1, Interior 2</t>
  </si>
  <si>
    <t>110013630029</t>
  </si>
  <si>
    <t>CENTRO MEDICO RESTREPO</t>
  </si>
  <si>
    <t>Cr 18 # 16 - 46/56 S</t>
  </si>
  <si>
    <t>110013630030</t>
  </si>
  <si>
    <t>CENTRO MEDICO SUBA AL PASO</t>
  </si>
  <si>
    <t>Av Calle 145 Nº 103 B - 65 Piso 3</t>
  </si>
  <si>
    <t>5895466</t>
  </si>
  <si>
    <t>110013630020</t>
  </si>
  <si>
    <t>CENTRO MEDICO SUBA CENTRO</t>
  </si>
  <si>
    <t>Calle 145 88 76</t>
  </si>
  <si>
    <t>110010817165</t>
  </si>
  <si>
    <t>CENTRO MEDICO SURA PLAZA CENTRAL</t>
  </si>
  <si>
    <t>KR 65 # 11 50 LC 247 A</t>
  </si>
  <si>
    <t>7420100 EXT 71301</t>
  </si>
  <si>
    <t>110013630014</t>
  </si>
  <si>
    <t>CENTRO MEDICO TEUSAQUILLO</t>
  </si>
  <si>
    <t>Cl 31 B Nº 14 - 26</t>
  </si>
  <si>
    <t>110013630012</t>
  </si>
  <si>
    <t>CENTRO MEDICO TUNAL</t>
  </si>
  <si>
    <t>Diagonal 52 A Sur 25 16</t>
  </si>
  <si>
    <t>110013326701</t>
  </si>
  <si>
    <t>CENTRO MEDICO U-FIT</t>
  </si>
  <si>
    <t>CARLOS ANDRES MONTES DURAN</t>
  </si>
  <si>
    <t>CALLE 129 NO. 51 - 38 CONS 1</t>
  </si>
  <si>
    <t>7560107 - 3188044198</t>
  </si>
  <si>
    <t>carlos.gutierrez@u-fit.com.co</t>
  </si>
  <si>
    <t>110013630019</t>
  </si>
  <si>
    <t>CENTRO MEDICO ZONA IN LOCAL 100</t>
  </si>
  <si>
    <t>Calle 13 65 21 Local 100 C.C. Zona In</t>
  </si>
  <si>
    <t>1100109247</t>
  </si>
  <si>
    <t>CENTRO MYA</t>
  </si>
  <si>
    <t>RAMIREZ DE CUBILLOS BEATRIZ</t>
  </si>
  <si>
    <t>KR 67 # 180 15</t>
  </si>
  <si>
    <t>6711237</t>
  </si>
  <si>
    <t>CENTRONYA@HOTMAIL.COM</t>
  </si>
  <si>
    <t>110010918646</t>
  </si>
  <si>
    <t>CENTRO MÉDICO COLSANITAS CALLE 96</t>
  </si>
  <si>
    <t>KR 14 96 22 / KR14 96 08 P2 INT 201</t>
  </si>
  <si>
    <t>5895455</t>
  </si>
  <si>
    <t>110010918651</t>
  </si>
  <si>
    <t>CENTRO MÉDICO COLSANITAS COLINA CAMPESTRE</t>
  </si>
  <si>
    <t>CR 59 152-25 OFICINA 301 INTERIOR 1</t>
  </si>
  <si>
    <t>5895433</t>
  </si>
  <si>
    <t>110010918624</t>
  </si>
  <si>
    <t>CENTRO MÉDICO COLSANITAS ILARCO</t>
  </si>
  <si>
    <t>TV 60 115 - 58 TO C LC 103</t>
  </si>
  <si>
    <t>6 247240 6 247247</t>
  </si>
  <si>
    <t>110013630001</t>
  </si>
  <si>
    <t>CENTRO MÉDICO COLSANITAS PREMIUM SANTA ANA</t>
  </si>
  <si>
    <t>ED TO EMPRESARIAL PACIFIC - CLL 110 No. 9 - 25. Pi 1 costado oriental, Pi 2</t>
  </si>
  <si>
    <t>6466060 EXT: 5711495</t>
  </si>
  <si>
    <t>110010817168</t>
  </si>
  <si>
    <t>CENTRO MÉDICO COLSUBSIDIO PLAZA DE LAS AMÉRICAS</t>
  </si>
  <si>
    <t>Kr 71 D # 6-94 S Locales 1828 y 2818</t>
  </si>
  <si>
    <t>7420100 ext. 76100</t>
  </si>
  <si>
    <t>110010817158</t>
  </si>
  <si>
    <t>CENTRO MÉDICO COLSUBSIDIO UNICENTRO DE OCCIDENTE</t>
  </si>
  <si>
    <t>KR 111C # 86 - 05 PI 2 LC 2-05/2-06 Centro comercial Unicentro de Occidente</t>
  </si>
  <si>
    <t>7431806, 7431803, 7431809,7431811, 7437695</t>
  </si>
  <si>
    <t>110012347405</t>
  </si>
  <si>
    <t>CENTRO MÉDICO EMPRESARIAL BLUECARE</t>
  </si>
  <si>
    <t>CL 73 No. 8 - 13 TO B - P1</t>
  </si>
  <si>
    <t>3136600</t>
  </si>
  <si>
    <t>110012347402</t>
  </si>
  <si>
    <t>CENTRO MÉDICO INTEGRAL BLUECARE 104</t>
  </si>
  <si>
    <t>CALLE 104 A # 45 - 15</t>
  </si>
  <si>
    <t>7457660</t>
  </si>
  <si>
    <t>110012347401</t>
  </si>
  <si>
    <t>CENTRO MÉDICO INTEGRAL BLUECARE CASTELLANA</t>
  </si>
  <si>
    <t>AVENIDA CARRERA 50 NO. 91-38/46 piso 1,2,4,5 y 6</t>
  </si>
  <si>
    <t>7424943</t>
  </si>
  <si>
    <t>110012347404</t>
  </si>
  <si>
    <t>CENTRO MÉDICO INTEGRAL BLUECARE PALERMO</t>
  </si>
  <si>
    <t>CL 45C No. 22-59</t>
  </si>
  <si>
    <t>3233750 EXT.116</t>
  </si>
  <si>
    <t>110014271701</t>
  </si>
  <si>
    <t>CENTRO MÉDICO IVLU SOCIEDAD POR ACCIONES SIMPLIFICADAS SIGLA: CENTRO MÉDICO IVLU S.A.S.</t>
  </si>
  <si>
    <t>IVONNE VANESSA CAMACHO VIANCHA</t>
  </si>
  <si>
    <t>Cl 127 A No. 7 19 CS 513</t>
  </si>
  <si>
    <t>3228351465</t>
  </si>
  <si>
    <t>centromedicoivlu@gmail.com</t>
  </si>
  <si>
    <t>110013630013</t>
  </si>
  <si>
    <t>CENTRO MÉDICO KENNEDY BOMBEROS</t>
  </si>
  <si>
    <t>Calle 42 Sur 78 K 30</t>
  </si>
  <si>
    <t>5895478 EXT 5718746</t>
  </si>
  <si>
    <t>110010403521</t>
  </si>
  <si>
    <t>CENTRO MÉDICO SEDE TORRE COLMÉDICA SANTA BÁRBARA</t>
  </si>
  <si>
    <t>AK 45 NO. 122 - 96 Piso 1 Excepto Consultorios A y B - Piso 2 - Piso 4 - Piso 6 - Piso 7</t>
  </si>
  <si>
    <t>110010817166</t>
  </si>
  <si>
    <t>CENTRO MÉDICO SURA NUESTRO BOGOTÁ</t>
  </si>
  <si>
    <t>AK 86 N°55A -75 Local 2-5 CC Nuestro Bogotá</t>
  </si>
  <si>
    <t>7420100 EXT 75019</t>
  </si>
  <si>
    <t>110010357901</t>
  </si>
  <si>
    <t>CENTRO OCULAR DE MIOPIA DR RINCON</t>
  </si>
  <si>
    <t>Teresa Sanchéz Cifuentes</t>
  </si>
  <si>
    <t>AV CR 19 103 21</t>
  </si>
  <si>
    <t>CENTROOCULARDEMIOPIA@HOTMAIL.COM</t>
  </si>
  <si>
    <t>110010357902</t>
  </si>
  <si>
    <t>CENTRO OCULAR DE MIOPIA DR RINCON SEDE CLL 93</t>
  </si>
  <si>
    <t>Teresa Sanchez Cifuentes</t>
  </si>
  <si>
    <t>Ak 45 N 93 - 45</t>
  </si>
  <si>
    <t>7458988</t>
  </si>
  <si>
    <t>1100103579</t>
  </si>
  <si>
    <t>CENTRO OCULAR DE MIOPIA DR. RINCON SOCIEDAD POR ACCIONES SIMPLIFICADAS S A S</t>
  </si>
  <si>
    <t>SANCHEZ CIFUENTES TERESA</t>
  </si>
  <si>
    <t>6016107177</t>
  </si>
  <si>
    <t>calidad@centrooculardrrincon.co</t>
  </si>
  <si>
    <t>110010403508</t>
  </si>
  <si>
    <t>CENTRO ODONTOLOGICO COLMEDICA CALLE 84</t>
  </si>
  <si>
    <t>CARRERA 18 # 84-06 PISO 7 CONSULTORIO 702</t>
  </si>
  <si>
    <t>110012316302</t>
  </si>
  <si>
    <t>CENTRO ODONTOLOGICO COLOMBIANO 3</t>
  </si>
  <si>
    <t>MYRIAM FELISA GOMEZ GONZALEZ</t>
  </si>
  <si>
    <t>KR 78 K # 35 A 73 SUR</t>
  </si>
  <si>
    <t>2730169</t>
  </si>
  <si>
    <t>inversionesokelsas@hotmail.com</t>
  </si>
  <si>
    <t>110012867802</t>
  </si>
  <si>
    <t>CENTRO ODONTOLOGICO ORAL EXPERT SEDE NORTE</t>
  </si>
  <si>
    <t>Nydia Estefan Jassir</t>
  </si>
  <si>
    <t>CALLE 120 A # 7-36 OF 903- 904</t>
  </si>
  <si>
    <t>601 2566123 - 3002310031</t>
  </si>
  <si>
    <t>oralexpertcentroodontologico@gmail.com</t>
  </si>
  <si>
    <t>110010918672</t>
  </si>
  <si>
    <t>CENTRO ODONTOLOGICO Y DIAGNOSTICO ESPECIALIZADO NORTE</t>
  </si>
  <si>
    <t>AUT NORTE 122 78 PI 1,PI 2,PI 3 IN 2</t>
  </si>
  <si>
    <t>4486575</t>
  </si>
  <si>
    <t>110010918670</t>
  </si>
  <si>
    <t>CENTRO ODONTOLÓGICO Y DIAGNÓSTICO ESPECIALIZADO LAS AMÉRICAS</t>
  </si>
  <si>
    <t>AV AMÉRICAS 62 84 P2 LOC L2 27 L2 28</t>
  </si>
  <si>
    <t>5895480</t>
  </si>
  <si>
    <t>110010757001</t>
  </si>
  <si>
    <t>CENTRO OFTALMOLOGICO COLOMBIANO</t>
  </si>
  <si>
    <t>Cristina Ruiz Brugman</t>
  </si>
  <si>
    <t>KR. 19A Nº 85-11 OFICINA 401, 402, 406, 407, 408, 409 PISO 5 Y 6</t>
  </si>
  <si>
    <t>(57-1) 2360000</t>
  </si>
  <si>
    <t>nrodriguezcoc@hotmail.com</t>
  </si>
  <si>
    <t>1100107570</t>
  </si>
  <si>
    <t>CENTRO OFTALMOLOGICO COLOMBIANO LTAD</t>
  </si>
  <si>
    <t>RUEDA MONTENEGRO CLARA INES</t>
  </si>
  <si>
    <t>KR. 19A Nº 85-11 OFICINA 401 402 406 407 408 409 PISO 5 Y 6</t>
  </si>
  <si>
    <t>2360000</t>
  </si>
  <si>
    <t>110010253901</t>
  </si>
  <si>
    <t>CENTRO OFTALMOLOGICO DE LASER</t>
  </si>
  <si>
    <t>MARIA ISABEL CARBONELL CASTILLO</t>
  </si>
  <si>
    <t>CL 93 # 15 51 OF 310 y 206-1</t>
  </si>
  <si>
    <t>6185414</t>
  </si>
  <si>
    <t>colaserltda@hotmail.com</t>
  </si>
  <si>
    <t>1100102539</t>
  </si>
  <si>
    <t>CENTRO OFTALMOLOGICO DE LASER SAS SIGLA COLASER SAS</t>
  </si>
  <si>
    <t>MARIO ENRIQUE ORTIZ GOMEZ</t>
  </si>
  <si>
    <t>6185414-3144743441</t>
  </si>
  <si>
    <t>110011624501</t>
  </si>
  <si>
    <t>CENTRO OFTALMOLOGICO GUSTAVO E TAMAYO</t>
  </si>
  <si>
    <t>GUSTAVO ENRIQUE TAMAYO FERNANDEZ</t>
  </si>
  <si>
    <t>CL 113 # 7 - 45 OF 906 TO B</t>
  </si>
  <si>
    <t>6292882</t>
  </si>
  <si>
    <t>consultoriogustavotamayo@gmail.com</t>
  </si>
  <si>
    <t>1100116245</t>
  </si>
  <si>
    <t>CENTRO OFTALMOLOGICO GUSTAVO TAMAYO FERNANDEZ SA</t>
  </si>
  <si>
    <t>110012050601</t>
  </si>
  <si>
    <t>CENTRO OFTALMOLOGICO MICROCIRUGIA DEL OJO SAS</t>
  </si>
  <si>
    <t>JAIRO ARENAS RODRIGUEZ</t>
  </si>
  <si>
    <t>CL 93 B #16 66 CS 102,103,106,108</t>
  </si>
  <si>
    <t>6221086</t>
  </si>
  <si>
    <t>centrooftalmologicomicrocirugiadelojo@hotmail.com</t>
  </si>
  <si>
    <t>1100107567</t>
  </si>
  <si>
    <t>CENTRO OFTALMOLOGICO OLSABE S.A.S</t>
  </si>
  <si>
    <t>LOZANO BLOG MONICA</t>
  </si>
  <si>
    <t>CALLE 120 # 7 38</t>
  </si>
  <si>
    <t>6191669</t>
  </si>
  <si>
    <t>admin@ojoslasercenter.com</t>
  </si>
  <si>
    <t>www.ojoslasercenter.com</t>
  </si>
  <si>
    <t>110011623701</t>
  </si>
  <si>
    <t>CENTRO OPTICO KERALTY REINA SOFIA</t>
  </si>
  <si>
    <t>ANA PAOLA GARCIA ZULUAGA</t>
  </si>
  <si>
    <t>AC 127 21 -60 LC 102</t>
  </si>
  <si>
    <t>6159432-3153059897</t>
  </si>
  <si>
    <t>oflechas@keralty.com</t>
  </si>
  <si>
    <t>110012028001</t>
  </si>
  <si>
    <t>CENTRO OPTICO MAVER</t>
  </si>
  <si>
    <t>ERIKA JACQUELINE CASTILLO DIAZ</t>
  </si>
  <si>
    <t>AV CARACAS # 1 13 consultorio 115</t>
  </si>
  <si>
    <t>6019260154</t>
  </si>
  <si>
    <t>sammaver11@hotmail.com</t>
  </si>
  <si>
    <t>1100120280</t>
  </si>
  <si>
    <t>CENTRO OPTICO MAVER E U</t>
  </si>
  <si>
    <t>MAGDALENA BONILLA USECHE</t>
  </si>
  <si>
    <t>110011713901</t>
  </si>
  <si>
    <t>CENTRO OPTICO OPTIMO B</t>
  </si>
  <si>
    <t>MARIA ADEILA VELASCO DIAZ</t>
  </si>
  <si>
    <t>CL 19 No 13 33</t>
  </si>
  <si>
    <t>2836569</t>
  </si>
  <si>
    <t>centropticoptimo@hotmail.com</t>
  </si>
  <si>
    <t>1100117139</t>
  </si>
  <si>
    <t>CENTRO OPTICO OPTIMO LTDA</t>
  </si>
  <si>
    <t>CALLE 19 13 33</t>
  </si>
  <si>
    <t>2836559</t>
  </si>
  <si>
    <t>110011623720</t>
  </si>
  <si>
    <t>CENTRO OPTICO TORRE KERALTY</t>
  </si>
  <si>
    <t>Ana Paola Garcia Zuluaga</t>
  </si>
  <si>
    <t>CALLE 125 21 A -61 PISO 1 INTERIOR 1</t>
  </si>
  <si>
    <t>110014199001</t>
  </si>
  <si>
    <t>CENTRO PARA EL MANEJO INTEGRAL ENDOMETRIOSIS ENDOMED IPS SAS</t>
  </si>
  <si>
    <t>HENRY OCTAVIO RODRIGUEZ DAZA</t>
  </si>
  <si>
    <t>Avenida Carrera 9 116 20 Consultorio 312 B</t>
  </si>
  <si>
    <t>3193448924</t>
  </si>
  <si>
    <t>endomedcolombia@gmail.com</t>
  </si>
  <si>
    <t>110011731201</t>
  </si>
  <si>
    <t>CENTRO PARA LA INTEGRACION GRUPO 1</t>
  </si>
  <si>
    <t>CLAUDIA PATRICIA CARRILLO</t>
  </si>
  <si>
    <t>CALLE 71 Nº 95 -31</t>
  </si>
  <si>
    <t>4344234</t>
  </si>
  <si>
    <t>asociacionproactiva@yahoo.es</t>
  </si>
  <si>
    <t>110011731202</t>
  </si>
  <si>
    <t>CENTRO PARA LA INTEGRACION GRUPO 2</t>
  </si>
  <si>
    <t>GLORIA BEATRIZ PIEDRAHITA</t>
  </si>
  <si>
    <t>CRA 23 Nº 4 - 25 SUR</t>
  </si>
  <si>
    <t>2332893</t>
  </si>
  <si>
    <t>110011731203</t>
  </si>
  <si>
    <t>CENTRO PARA LA INTEGRACION GRUPO 3</t>
  </si>
  <si>
    <t>GLENDA KARINA REINOSO</t>
  </si>
  <si>
    <t>CRA 13 Nº 10 - 20</t>
  </si>
  <si>
    <t>2801332</t>
  </si>
  <si>
    <t>110011731204</t>
  </si>
  <si>
    <t>CENTRO PARA LA INTEGRACION GRUPO 4</t>
  </si>
  <si>
    <t>MARCELA PARRA</t>
  </si>
  <si>
    <t>CRA 89 A Nº 68A -24 SUR</t>
  </si>
  <si>
    <t>7808402</t>
  </si>
  <si>
    <t>110011731206</t>
  </si>
  <si>
    <t>CENTRO PARA LA INTEGRACION GRUPO 6</t>
  </si>
  <si>
    <t>YANETH PADILLA</t>
  </si>
  <si>
    <t>CL 71 # 54 95</t>
  </si>
  <si>
    <t>6301478</t>
  </si>
  <si>
    <t>110011731207</t>
  </si>
  <si>
    <t>CENTRO PARA LA INTEGRACION GRUPO 7</t>
  </si>
  <si>
    <t>CRA 89 A Nº 68 A - 24 SUR</t>
  </si>
  <si>
    <t>110011731205</t>
  </si>
  <si>
    <t>CENTRO PARA LA INTEGRACION GRUPO5</t>
  </si>
  <si>
    <t>ELOISA GAITAN OROZCO</t>
  </si>
  <si>
    <t>CLL 70Nº 55 - 18</t>
  </si>
  <si>
    <t>3110696</t>
  </si>
  <si>
    <t>110010917802</t>
  </si>
  <si>
    <t>CENTRO POLICLINICO DEL OLAYA</t>
  </si>
  <si>
    <t>KR 20 23 23 SUR</t>
  </si>
  <si>
    <t>1100106780</t>
  </si>
  <si>
    <t>CENTRO QUIRURGICO DE LA SABANA S.A - CIRUSABANA S.A</t>
  </si>
  <si>
    <t>ÑAÑES LOPEZ CLAUDIA ISABEL</t>
  </si>
  <si>
    <t>AK 7 # 119 14 CS 107, 213 AL 218, 329, 330, 425</t>
  </si>
  <si>
    <t>2147420-3143954496</t>
  </si>
  <si>
    <t>cirusabana@yahoo.com</t>
  </si>
  <si>
    <t>110011530804</t>
  </si>
  <si>
    <t>CENTRO RADIOLOGICO CALLE 53</t>
  </si>
  <si>
    <t>SANDRA PATRICIA BARRIENTOS ESPITIA</t>
  </si>
  <si>
    <t>AC 53 # 28-40 LC 1</t>
  </si>
  <si>
    <t>3142197657</t>
  </si>
  <si>
    <t>clinistetic1@hotmail.con</t>
  </si>
  <si>
    <t>110011530801</t>
  </si>
  <si>
    <t>CENTRO RADIOLOGICO CALLE 57</t>
  </si>
  <si>
    <t>OMAR ROMERO BECERRA</t>
  </si>
  <si>
    <t>CALLE 57 No 16 A 03</t>
  </si>
  <si>
    <t>3478514 - 2494920</t>
  </si>
  <si>
    <t>clinistetic1@hotmail.com</t>
  </si>
  <si>
    <t>110010128801</t>
  </si>
  <si>
    <t>CENTRO SAN CAMILO JUAN REY</t>
  </si>
  <si>
    <t>FRANK JHORDANO CASTRO GUZMAN</t>
  </si>
  <si>
    <t>CARRERA 15 ESTE No. 69 - 60 SUR</t>
  </si>
  <si>
    <t>3001275</t>
  </si>
  <si>
    <t>cmsancamilo@gmail.com</t>
  </si>
  <si>
    <t>110013630036</t>
  </si>
  <si>
    <t>CENTRO SERVICIO MEDICO EMPRESARIAL</t>
  </si>
  <si>
    <t>CARRERA 5 20 89 LOCAL 103 INTERIOR B</t>
  </si>
  <si>
    <t>1100116239</t>
  </si>
  <si>
    <t>CENTRO VASCULAR DEL LAGO S.A.S.</t>
  </si>
  <si>
    <t>RAUL JOSE MEJIA HENAO</t>
  </si>
  <si>
    <t>AC 116 # 9 - 72 CONSULTORIOS 602, 603</t>
  </si>
  <si>
    <t>3002568255 - 3052983443</t>
  </si>
  <si>
    <t>info@centrovasculardellago.com</t>
  </si>
  <si>
    <t>110013763201</t>
  </si>
  <si>
    <t>CENTRODONCIA KENNEDY</t>
  </si>
  <si>
    <t>JOSE DAVID RAMIREZ QUINTERO</t>
  </si>
  <si>
    <t>KR 78 # 26 13 SUR</t>
  </si>
  <si>
    <t>3218060147</t>
  </si>
  <si>
    <t>centrodonciabogota@gmail.com</t>
  </si>
  <si>
    <t>110013630039</t>
  </si>
  <si>
    <t>CENTROS MEDICOS COLSANITAS PREMIUM EL NOGAL</t>
  </si>
  <si>
    <t>Calle 74 6 65 Piso 1, Piso 2 Int1, Piso 3</t>
  </si>
  <si>
    <t>1100117606</t>
  </si>
  <si>
    <t>CENTROS OPTICOS VARCAMYS EU</t>
  </si>
  <si>
    <t>VARGAS CALDERON MYRIAM STELLA</t>
  </si>
  <si>
    <t>CL 19 # 13A - 25</t>
  </si>
  <si>
    <t>2827375</t>
  </si>
  <si>
    <t>varcamys.eu@hotmail.com</t>
  </si>
  <si>
    <t>110011944002</t>
  </si>
  <si>
    <t>CERTIFICAR ORG SALITRE</t>
  </si>
  <si>
    <t>CARLOS ADELMO GUTIERREZ PASTOR</t>
  </si>
  <si>
    <t>Av carrera 68 # 45-62 piso 1 local 101</t>
  </si>
  <si>
    <t>6013150906 - 3142973838</t>
  </si>
  <si>
    <t>certificar.adm@gmail.com</t>
  </si>
  <si>
    <t>1100114836</t>
  </si>
  <si>
    <t>CERTIFICAR SALUD S.A.S.</t>
  </si>
  <si>
    <t>OSCAR DARIO SASTOQUE SUAREZ</t>
  </si>
  <si>
    <t>Calle 125 # 19-89 oficina 404</t>
  </si>
  <si>
    <t>3203999288- 6017326309</t>
  </si>
  <si>
    <t>certificarsalud@gmail.com</t>
  </si>
  <si>
    <t>110013765802</t>
  </si>
  <si>
    <t>CESAR GONZALEZ DERMATOLOGIA CLINICA Y ESTETICA</t>
  </si>
  <si>
    <t>CLAUDIA PATRICIA HOLGUIN MOLINA</t>
  </si>
  <si>
    <t>Ac 26 #68 C-61 Of 805 Edificio Torre Central</t>
  </si>
  <si>
    <t>3165295870</t>
  </si>
  <si>
    <t>angie.lafrancol@hotmail.com</t>
  </si>
  <si>
    <t>110013765801</t>
  </si>
  <si>
    <t>CESAR GONZALEZ DERMATOLOGIA CLINICA Y ESTETICA 3</t>
  </si>
  <si>
    <t>CESAR FERNANDO GONZALEZ</t>
  </si>
  <si>
    <t>Cl 38 A Sur # 34 D - 51 lOCAL 3054</t>
  </si>
  <si>
    <t>3132743468</t>
  </si>
  <si>
    <t>110013765803</t>
  </si>
  <si>
    <t>CESAR GONZALEZ DERMATOLOGIA CLINICA Y ESTETICA 6-CLIPP</t>
  </si>
  <si>
    <t>Claudia Patricia Holguin Molina</t>
  </si>
  <si>
    <t>Ac 26 #68 C-61 Lc 128 Edificio Torre Central</t>
  </si>
  <si>
    <t>3156328629-3132743468</t>
  </si>
  <si>
    <t>contactenos@drcesargonzalez.com.co</t>
  </si>
  <si>
    <t>110013765804</t>
  </si>
  <si>
    <t>CESAR GONZALEZ DERMATOLOGIA CLINICA Y ESTETICA 7-DOCTOR MANCHAS</t>
  </si>
  <si>
    <t>Ac 26 # 68 C 61 Of 813-814</t>
  </si>
  <si>
    <t>1100100733</t>
  </si>
  <si>
    <t>CEUSA CENTRO DE ESPECIALISTAS EN UROLOGIA S A</t>
  </si>
  <si>
    <t>VARGAS CABRERA CARLOS ENRIQUE</t>
  </si>
  <si>
    <t>CARRERA 16 NO. 84A - 09 OFICINA 419</t>
  </si>
  <si>
    <t>6217017- 3166929389</t>
  </si>
  <si>
    <t>ceusa1@outlook.com</t>
  </si>
  <si>
    <t>1100119668</t>
  </si>
  <si>
    <t>CFZ MEDICINA ESTETICA SAS</t>
  </si>
  <si>
    <t>ANA CAROLINA FELIZZOLA ZALABATA</t>
  </si>
  <si>
    <t>CARRERA 16 # 88 - 81 Ofi 706</t>
  </si>
  <si>
    <t>3175161902</t>
  </si>
  <si>
    <t>bogota@carolinafelizzola.com</t>
  </si>
  <si>
    <t>110012763601</t>
  </si>
  <si>
    <t>CGR ODONTOLOGOS ASOCIADOS S.A.S</t>
  </si>
  <si>
    <t>OSCAR FREDY ROSALES NIETO</t>
  </si>
  <si>
    <t>CL 19 NO. 100 50 LC 301</t>
  </si>
  <si>
    <t>3167861441/3124488398/3046598877/3053545120</t>
  </si>
  <si>
    <t>presidencia@creditsalud.com</t>
  </si>
  <si>
    <t>110012522302</t>
  </si>
  <si>
    <t>CGS CENTRO DE REHABILITACION SANTA BARBARA</t>
  </si>
  <si>
    <t>CONSTANZA GONZALEZ SANCHEZ</t>
  </si>
  <si>
    <t>CRA 21A # 124 -55 CS 403</t>
  </si>
  <si>
    <t>3153899348 3143310817</t>
  </si>
  <si>
    <t>cgsterapiasbta@gmail.com</t>
  </si>
  <si>
    <t>110010917814</t>
  </si>
  <si>
    <t>CHAPINERO CPO</t>
  </si>
  <si>
    <t>Avenida Caracas No. 49-83 P 1 CS 113 -107</t>
  </si>
  <si>
    <t>110012400401</t>
  </si>
  <si>
    <t>CHRISTUS SINERGIA BOGOTA TORRE 102</t>
  </si>
  <si>
    <t>Diana Carolina Gonzalez Perez</t>
  </si>
  <si>
    <t>Dirección:Cl 102 Nº 14 A - 70 Mezanine Oficina 01</t>
  </si>
  <si>
    <t>3116428403</t>
  </si>
  <si>
    <t>christushabilitacion@christus.co,fannyj_leon@coomeva.com.co dianap_ospina@coomeva.com.co</t>
  </si>
  <si>
    <t>110013343701</t>
  </si>
  <si>
    <t>CIDEGEN COLOMBIA SAS</t>
  </si>
  <si>
    <t>ESTHER ALICIA TAMAMES JUANES</t>
  </si>
  <si>
    <t>CRA 19 A 90 13 CONSULTORIO 403 B</t>
  </si>
  <si>
    <t>3185325328//3162346414</t>
  </si>
  <si>
    <t>calidadcidegen@gmail.com</t>
  </si>
  <si>
    <t>110010631901</t>
  </si>
  <si>
    <t>CIENCIA Y ESTETICA CIRUGIA PLASTICA</t>
  </si>
  <si>
    <t>LUIS ANSELMO PAVAJEAU MUÑOZ</t>
  </si>
  <si>
    <t>AK 45 # 118 86 PI 7</t>
  </si>
  <si>
    <t>6473777</t>
  </si>
  <si>
    <t>contadorcienciayestetica@hotmail.com</t>
  </si>
  <si>
    <t>1100106319</t>
  </si>
  <si>
    <t>CIENCIA Y ESTETICA CIRUGIA PLASTIKA MD SAS</t>
  </si>
  <si>
    <t>TURRIAGO PRIETO CLAUDIA PATRICIA</t>
  </si>
  <si>
    <t>1100117255</t>
  </si>
  <si>
    <t>CIFEL CENTRO DE INVESTIGACION EN FISIATRIA Y ELECTRODIAGNOSTICO S.A.S. Sigla: CIFEL S.A.S</t>
  </si>
  <si>
    <t>JORGE ARTURO DIAZ RUIZ</t>
  </si>
  <si>
    <t>AC 26 69 C 03 TO B OF 601</t>
  </si>
  <si>
    <t>7447107 - 3175759331</t>
  </si>
  <si>
    <t>claudia.valencia@cifel.co</t>
  </si>
  <si>
    <t>www.cifel.co</t>
  </si>
  <si>
    <t>110011725501</t>
  </si>
  <si>
    <t>CIFEL CENTRO DE INVESTIGACION EN FISIATRIA Y ELECTRODIAGNOSTICO S.A.S. sigla CIFEL SAS</t>
  </si>
  <si>
    <t>CLAUDIA LILIANA VALENCIA VIDALES</t>
  </si>
  <si>
    <t>AC 26 69C 03 TO B OF 601</t>
  </si>
  <si>
    <t>601 7328487 - 3175759331</t>
  </si>
  <si>
    <t>110011725503</t>
  </si>
  <si>
    <t>CIFEL Centro de Investigación en Fisiatria y Electrodiagnostico S.A.S</t>
  </si>
  <si>
    <t>AV 19 #102 53 CONS 612</t>
  </si>
  <si>
    <t>3175759331</t>
  </si>
  <si>
    <t>110014128101</t>
  </si>
  <si>
    <t>CIMEDICS GROUP IPS CONSULTORIO 406</t>
  </si>
  <si>
    <t>MARÍA NATALIE BENAVIDES SALAZAR</t>
  </si>
  <si>
    <t>CARRERA 23 N 124 - 87 CONSULTORIO 406 TORRE 1 EDIFICIO ZENTAI Ph</t>
  </si>
  <si>
    <t>3144438802</t>
  </si>
  <si>
    <t>cimedicscolombia@gmail.com</t>
  </si>
  <si>
    <t>110014128102</t>
  </si>
  <si>
    <t>CIMEDICS GROUP IPS S.A.S CONSULTORIO 404</t>
  </si>
  <si>
    <t>MARIA NATALIE BENAVIDES SALAZAR</t>
  </si>
  <si>
    <t>Carrera 23 # 124-87 Consultorio 404 Torre 1 Edificio Zentai Ph</t>
  </si>
  <si>
    <t>110012533902</t>
  </si>
  <si>
    <t>CINDOLOR 403</t>
  </si>
  <si>
    <t>CARRERA 16 No. 82-29 Consultorio 403</t>
  </si>
  <si>
    <t>2960540</t>
  </si>
  <si>
    <t>110014261201</t>
  </si>
  <si>
    <t>CIRCLE DENTAL S.A.S</t>
  </si>
  <si>
    <t>MARIA MERCEDES JARAMILLO PIZANO</t>
  </si>
  <si>
    <t>Calle 90 11 A 34 Oficina 206 207 Consultorio 208 209</t>
  </si>
  <si>
    <t>3123746118</t>
  </si>
  <si>
    <t>admonmjaramillo@gmail.com</t>
  </si>
  <si>
    <t>1100116275</t>
  </si>
  <si>
    <t>CIRU COUNTRY SERVICIOS MEDICOS SAS</t>
  </si>
  <si>
    <t>110012507003</t>
  </si>
  <si>
    <t>CIRUGIA AMBULATORIA LA COLINA 122</t>
  </si>
  <si>
    <t>Ak 45 # 122 - 96 Piso 5</t>
  </si>
  <si>
    <t>110012507004</t>
  </si>
  <si>
    <t>CIRUGIA AMBULATORIA LA COLINA 122 - CONSULTAS</t>
  </si>
  <si>
    <t>Avenida Carrera 45 122 96 Piso 1 Consultorio A Y B</t>
  </si>
  <si>
    <t>1100119341</t>
  </si>
  <si>
    <t>CIRUGIA PLASTICA LA CASTELLANA S.A.S</t>
  </si>
  <si>
    <t>EDGAR HERNAN PORTELA GUZMAN</t>
  </si>
  <si>
    <t>CARRERA 45 A N° 95 - 57</t>
  </si>
  <si>
    <t>3117720477</t>
  </si>
  <si>
    <t>mariacarrillo9802@hotmail.com</t>
  </si>
  <si>
    <t>110012381501</t>
  </si>
  <si>
    <t>CIRUGIA VASCULAR COLOMBIA</t>
  </si>
  <si>
    <t>DOUGLAS OMAR ORTIZ ESPINEL</t>
  </si>
  <si>
    <t>CALLE 23 Nº 66-46 interior 4 CS 910</t>
  </si>
  <si>
    <t>6706990</t>
  </si>
  <si>
    <t>cirugiavascularcolombia@gmail.com</t>
  </si>
  <si>
    <t>110012381502</t>
  </si>
  <si>
    <t>CIRUGIA VASCULAR COLOMBIA LABORATORIO VASCULAR NO INVASIVO - SEDE NORTE</t>
  </si>
  <si>
    <t>AVENIDA CALLE 127 # 20-78 CS. 530</t>
  </si>
  <si>
    <t>110011934101</t>
  </si>
  <si>
    <t>CIRUGÍA PLÁSTICA LA CASTELLANA S.A.S.</t>
  </si>
  <si>
    <t>RICARDO ENRIQUE URAZAN ARAMENDIZ</t>
  </si>
  <si>
    <t>7552894 - 3117720477</t>
  </si>
  <si>
    <t>1100102894</t>
  </si>
  <si>
    <t>CIRULASER ANDES S.A</t>
  </si>
  <si>
    <t>DEL VALLE RODRIGUEZ ARMANDO JOSE</t>
  </si>
  <si>
    <t>Avenida Carrera 9 # 116 20 Local 108 Cs 301, 301 A, 301 B, 301 C</t>
  </si>
  <si>
    <t>3202336309 - 6017420571</t>
  </si>
  <si>
    <t>gerenciacirulaser@gmail.com</t>
  </si>
  <si>
    <t>110014092801</t>
  </si>
  <si>
    <t>CIRUPLASTIA - DRS. MONROY I.P.S. S.A.S.</t>
  </si>
  <si>
    <t>JUAN CARLOS MONROY MEJIA</t>
  </si>
  <si>
    <t>AK 15 92 29 OF 802 PI 1</t>
  </si>
  <si>
    <t>3142997288</t>
  </si>
  <si>
    <t>doctormonroy@ciruplastia.com</t>
  </si>
  <si>
    <t>110014314901</t>
  </si>
  <si>
    <t>CISNE INVESTIGACIÓN IPS S.A.S</t>
  </si>
  <si>
    <t>Ana Fernanda Olarte Armenta</t>
  </si>
  <si>
    <t>Calle 173 A #65 - 85 Bloque A Piso 1</t>
  </si>
  <si>
    <t>3162722311</t>
  </si>
  <si>
    <t>info@cisneinvestigacion.com.co</t>
  </si>
  <si>
    <t>110010875403</t>
  </si>
  <si>
    <t>CISNE SEDE AMBULATORIA</t>
  </si>
  <si>
    <t>MARTHA PATRICIA SAAVEDRA GARCIA</t>
  </si>
  <si>
    <t>TRANSVERSAL 58# 104B -32</t>
  </si>
  <si>
    <t>2171202 - 3167430130</t>
  </si>
  <si>
    <t>sedeambulatoria@grupocisne.org</t>
  </si>
  <si>
    <t>110011770801</t>
  </si>
  <si>
    <t>CITY DENT CLINICAS DENTALES DE COLOMBIA</t>
  </si>
  <si>
    <t>ILSEN OLIVA PUERTO MORALES</t>
  </si>
  <si>
    <t>CR 80 No 55-36 SUR</t>
  </si>
  <si>
    <t>3161838</t>
  </si>
  <si>
    <t>yelopu24@hotmail.com</t>
  </si>
  <si>
    <t>110011770814</t>
  </si>
  <si>
    <t>CITY DENT CLÍNICAS DENTALES DE COLOMBIA</t>
  </si>
  <si>
    <t>CALLE 38 SUR No. 86-15</t>
  </si>
  <si>
    <t>110011898403</t>
  </si>
  <si>
    <t>CITY OPTICA MILENIO</t>
  </si>
  <si>
    <t>FAIBER LOPEZ</t>
  </si>
  <si>
    <t>CC MILENIO PLAZA LC 1-17</t>
  </si>
  <si>
    <t>7409334</t>
  </si>
  <si>
    <t>visualcare.eu@hotmail.com</t>
  </si>
  <si>
    <t>110011898401</t>
  </si>
  <si>
    <t>CITY OPTICA NIZA</t>
  </si>
  <si>
    <t>FAIBER IVAN LOPEZ RETES</t>
  </si>
  <si>
    <t>AV SUBA # 120 49 LC 2</t>
  </si>
  <si>
    <t>2261085</t>
  </si>
  <si>
    <t>110011770813</t>
  </si>
  <si>
    <t>CITYDENT CLINICAS DENTALES DE COLOMBIA</t>
  </si>
  <si>
    <t>CL 38 SUR # 86 07</t>
  </si>
  <si>
    <t>110013030302</t>
  </si>
  <si>
    <t>CIUDAD OPTICA</t>
  </si>
  <si>
    <t>JAVIER AURELIO OVIEDO PALOMA</t>
  </si>
  <si>
    <t>CALLE 109 No.17-36</t>
  </si>
  <si>
    <t>3739486</t>
  </si>
  <si>
    <t>joviedo@franjapublicaciones.com</t>
  </si>
  <si>
    <t>110013030301</t>
  </si>
  <si>
    <t>CIUDAD ÓPTICA</t>
  </si>
  <si>
    <t>JAVIER AURELIO OVIEDO PALOMÁ</t>
  </si>
  <si>
    <t>CARRERA 58 No. 127-59 C.C BULEVAR NIZA LOCAL 1-105</t>
  </si>
  <si>
    <t>(1)6240638 - 3222002218</t>
  </si>
  <si>
    <t>110012770901</t>
  </si>
  <si>
    <t>CLINICA 134 SAS</t>
  </si>
  <si>
    <t>GERMAN GUILLERMO DE JESUS PRIETO PARDO</t>
  </si>
  <si>
    <t>Av Calle 134 # 7 - 83 Cs 311 - 312 Torre 3 Piso 1 Md 2</t>
  </si>
  <si>
    <t>7456556</t>
  </si>
  <si>
    <t>administracion@clinica134.net</t>
  </si>
  <si>
    <t>110014222101</t>
  </si>
  <si>
    <t>CLINICA ANANTHA IPS</t>
  </si>
  <si>
    <t>ANDRES ANANTA FERNANDEZ TRIANA</t>
  </si>
  <si>
    <t>CL 60 # 09 84 Centro Comercial Aquarium Local 114 piso 1</t>
  </si>
  <si>
    <t>3103256627</t>
  </si>
  <si>
    <t>anantacolombia@hotmail.com</t>
  </si>
  <si>
    <t>110014045201</t>
  </si>
  <si>
    <t>CLINICA ARIAS MEDICINA REGENERATIVA Y ANTIENVEJECIMIENTO SAS</t>
  </si>
  <si>
    <t>LUIS ARTURO MURILLO ROA</t>
  </si>
  <si>
    <t>AC 127 # 14-54 Oficina 702 y 704</t>
  </si>
  <si>
    <t>6482476</t>
  </si>
  <si>
    <t>gerencia@sandrarias.com</t>
  </si>
  <si>
    <t>110011502402</t>
  </si>
  <si>
    <t>CLINICA AUDITIVA ESCUCHA</t>
  </si>
  <si>
    <t>CR 7 Nº 41 - 21 AP 202</t>
  </si>
  <si>
    <t>3336026006</t>
  </si>
  <si>
    <t>110010872001</t>
  </si>
  <si>
    <t>CLINICA AVELLANEDA HERNANDEZ S.A.S.</t>
  </si>
  <si>
    <t>MARTHA HERNANDEZ ORTIZ</t>
  </si>
  <si>
    <t>CL 106 # 17 45</t>
  </si>
  <si>
    <t>601-6293045 - 3168762929</t>
  </si>
  <si>
    <t>asisgerencia@clinicaavellaneda.com - gerencia@clinicaavellaneda.com</t>
  </si>
  <si>
    <t>110013904901</t>
  </si>
  <si>
    <t>CLINICA BARCELONA SAS</t>
  </si>
  <si>
    <t>Ana Graciela Criado Aussant</t>
  </si>
  <si>
    <t>Carrera 17 89 31 Local 202 Edificio Gaía</t>
  </si>
  <si>
    <t>3219387894</t>
  </si>
  <si>
    <t>ana@aussantpharma.com</t>
  </si>
  <si>
    <t>110010144301</t>
  </si>
  <si>
    <t>CLINICA BARRAQUER</t>
  </si>
  <si>
    <t>Néstor Darío Bustamante Ramírez</t>
  </si>
  <si>
    <t>AV 100 No. 18 A 51</t>
  </si>
  <si>
    <t>2563285</t>
  </si>
  <si>
    <t>gcalidad@barraquer.com.co</t>
  </si>
  <si>
    <t>110013479801</t>
  </si>
  <si>
    <t>CLINICA BELLA SUIZA</t>
  </si>
  <si>
    <t>WILMAR LODWING CAMACHO ALFONSO</t>
  </si>
  <si>
    <t>AK 9 # 127 B - 16 PISO 7</t>
  </si>
  <si>
    <t>3184870449</t>
  </si>
  <si>
    <t>calidadclinicabellasuiza@yahoo.com</t>
  </si>
  <si>
    <t>110014352001</t>
  </si>
  <si>
    <t>CLINICA BELLATRIZ COUNTRY</t>
  </si>
  <si>
    <t>LILIANA MEDINA CLAVIJO</t>
  </si>
  <si>
    <t>Cra 19 # 84 - 17 Piso 6 7 y 8</t>
  </si>
  <si>
    <t>3216468458</t>
  </si>
  <si>
    <t>contabilidad@bellatriz.com</t>
  </si>
  <si>
    <t>110014082102</t>
  </si>
  <si>
    <t>CLINICA BIODERMO - CLIBIDER SAS CHAPINERO</t>
  </si>
  <si>
    <t>Wilson Fabian Sanchéz Delgado</t>
  </si>
  <si>
    <t>AK 7 # 45 -10 LOCAL 8</t>
  </si>
  <si>
    <t>312 3786641</t>
  </si>
  <si>
    <t>GERENCIA@CLINICABIODERMO.COM</t>
  </si>
  <si>
    <t>110014082101</t>
  </si>
  <si>
    <t>CLINICA BIODERMO - CLIBIDER SAS SIGLA CLBD MEDICINA ESPECIALIZADA</t>
  </si>
  <si>
    <t>WILSON FABIAN SANCHEZ DELGADO</t>
  </si>
  <si>
    <t>AK 7 127 48 Of 602</t>
  </si>
  <si>
    <t>3123786641</t>
  </si>
  <si>
    <t>gerencia@clinicabiodermo.com</t>
  </si>
  <si>
    <t>110011809001</t>
  </si>
  <si>
    <t>CLINICA CAMPO ABIERTO</t>
  </si>
  <si>
    <t>Rodrigo Córdoba Rojas</t>
  </si>
  <si>
    <t>CRA 69 NRO 170 - 40 / 70</t>
  </si>
  <si>
    <t>5895396</t>
  </si>
  <si>
    <t>nomorales@colsanitas.com</t>
  </si>
  <si>
    <t>110011809002</t>
  </si>
  <si>
    <t>CLINICA CAMPO ABIERTO OCCIDENTE</t>
  </si>
  <si>
    <t>TOMÁS ESCALLÓN PAEZ</t>
  </si>
  <si>
    <t>Avenida Calle 53 71 A 13</t>
  </si>
  <si>
    <t>1100118090</t>
  </si>
  <si>
    <t>CLINICA CAMPO ABIERTO ORGANIZACION SANITAS INTERNACIONAL S.A.S.</t>
  </si>
  <si>
    <t>110012688701</t>
  </si>
  <si>
    <t>CLINICA CENTENARIO S.A.S</t>
  </si>
  <si>
    <t>VICTOR HUGO GOMEZ</t>
  </si>
  <si>
    <t>CALLE 13 17 21</t>
  </si>
  <si>
    <t>7460111 Ext 1701</t>
  </si>
  <si>
    <t>notificaciones.centenario@stewardcolombia.org, auxadministrativomedico@stewardcolombia.org</t>
  </si>
  <si>
    <t>110012376501</t>
  </si>
  <si>
    <t>CLINICA CEREN CALLE 13</t>
  </si>
  <si>
    <t>Carolina Guzmán Moreno</t>
  </si>
  <si>
    <t>KR 35 # 13 13</t>
  </si>
  <si>
    <t>3819775-3177006944</t>
  </si>
  <si>
    <t>caroguzman_ps@yahoo.com</t>
  </si>
  <si>
    <t>1100108453</t>
  </si>
  <si>
    <t>CLINICA COLOMBIANA DE OBESIDAD Y METABOLISMO SAS</t>
  </si>
  <si>
    <t>GABRIEL FERNANDO CUBILLOS VALENCIA</t>
  </si>
  <si>
    <t>CARRERA 23 # 124-87 TORRE 1 CONSULTORIO 803,804, 805,806 EDIFICIO TORRE ZENTAI</t>
  </si>
  <si>
    <t>9278731-3158739927-3183059495</t>
  </si>
  <si>
    <t>direccioncomercial@clinicaobesidad.com</t>
  </si>
  <si>
    <t>110012175702</t>
  </si>
  <si>
    <t>CLINICA COLOMBIANA DE ORTODONCIA - YABA SEDE RESTREPO</t>
  </si>
  <si>
    <t>YANINO ALFONSO BUITRAGO AVILA</t>
  </si>
  <si>
    <t>AV 1 DE MAYO No. 19-09 SUR PISO 2 local 204</t>
  </si>
  <si>
    <t>3209904602</t>
  </si>
  <si>
    <t>gerenciayaba@gmail.com</t>
  </si>
  <si>
    <t>www.ortodonciayaba.com</t>
  </si>
  <si>
    <t>110012175701</t>
  </si>
  <si>
    <t>CLINICA COLOMBIANA DE ORTODONCIA YABA S.A.S N.1</t>
  </si>
  <si>
    <t>AK 45 # 168-67 PI 1 PI 2 CS203 CS204 CS205 CS206 PI 3 CS301 CS302 CS303 CS304 CS305 CS306 PI 4 CS401 CS402 CS403</t>
  </si>
  <si>
    <t>6743737</t>
  </si>
  <si>
    <t>1100117479</t>
  </si>
  <si>
    <t>CLINICA COLOMBIANA DE PROTESIS DENTALES EU</t>
  </si>
  <si>
    <t>FAUSTO ALARCON GARCIA</t>
  </si>
  <si>
    <t>AK 58 No 127-34</t>
  </si>
  <si>
    <t>2533159 -5223457</t>
  </si>
  <si>
    <t>clinica.colombianadeprotesisdentales@hotmail.com</t>
  </si>
  <si>
    <t>110010817151</t>
  </si>
  <si>
    <t>CLINICA COLSUBSIDIO CALLE 100</t>
  </si>
  <si>
    <t>ALMA JOHANA ORTIZ VARGAS</t>
  </si>
  <si>
    <t>AC 100 # 23 - 59</t>
  </si>
  <si>
    <t>7457783 Ext 73959/73957</t>
  </si>
  <si>
    <t>110010817103</t>
  </si>
  <si>
    <t>CLINICA COLSUBSIDIO CIUDAD ROMA</t>
  </si>
  <si>
    <t>JOSE ANTONIO CHAVES GREIFF</t>
  </si>
  <si>
    <t>CALLE 53 SUR # 79 D 71</t>
  </si>
  <si>
    <t>7420100 Ext. 74439</t>
  </si>
  <si>
    <t>110011594101</t>
  </si>
  <si>
    <t>CLINICA CORPOLASER</t>
  </si>
  <si>
    <t>110013241701</t>
  </si>
  <si>
    <t>CLINICA CUABAL SAS</t>
  </si>
  <si>
    <t>Eduar Mauricio Aviles</t>
  </si>
  <si>
    <t>CALLE 71 N° 17-11 (PISO 1)</t>
  </si>
  <si>
    <t>3016199071</t>
  </si>
  <si>
    <t>clinicacuabalsas@gmail.com</t>
  </si>
  <si>
    <t>110011895801</t>
  </si>
  <si>
    <t>CLINICA DA VINCI SAS</t>
  </si>
  <si>
    <t>IRENE MARIA VICTORIA FILAURI POSTARINI</t>
  </si>
  <si>
    <t>KR 7 C # 127 07</t>
  </si>
  <si>
    <t>3164665887</t>
  </si>
  <si>
    <t>mfilauri@gmail.com</t>
  </si>
  <si>
    <t>110011926701</t>
  </si>
  <si>
    <t>CLINICA DE CIRUGIA PLASTICA DR YESID MARTINEZ LTDA</t>
  </si>
  <si>
    <t>YESID MARTINEZ DIAZ</t>
  </si>
  <si>
    <t>KR 58 # 128 04</t>
  </si>
  <si>
    <t>3157846890</t>
  </si>
  <si>
    <t>clinicadoctoryesidmartinez@hotmail.com</t>
  </si>
  <si>
    <t>110013671501</t>
  </si>
  <si>
    <t>CLINICA DE ESPECIALIDADES QUIRURGICAS S.A.S</t>
  </si>
  <si>
    <t>HAROLD FABIAN CRUZ BERMUDEZ</t>
  </si>
  <si>
    <t>CL 50 # 15 46 PI 1</t>
  </si>
  <si>
    <t>3014450158 - 3012224375</t>
  </si>
  <si>
    <t>clinicadeespecialidadesqx@gmail.com</t>
  </si>
  <si>
    <t>110010793901</t>
  </si>
  <si>
    <t>CLINICA DE LA MUJER</t>
  </si>
  <si>
    <t>MONICA ALEXANDRA CUEVAS ESLAVA</t>
  </si>
  <si>
    <t>KR 19 C # 91 17</t>
  </si>
  <si>
    <t>6161799- 3506005706</t>
  </si>
  <si>
    <t>1100107939</t>
  </si>
  <si>
    <t>CLINICA DE LA MUJER S.A.S.</t>
  </si>
  <si>
    <t>DE LARRAURI ECHEVARRIA GORKA</t>
  </si>
  <si>
    <t>110010936101</t>
  </si>
  <si>
    <t>CLINICA DE MARLY</t>
  </si>
  <si>
    <t>LUIS EDUARDO CAVELIER CASTRO</t>
  </si>
  <si>
    <t>CL 50 # 9 67</t>
  </si>
  <si>
    <t>3436600</t>
  </si>
  <si>
    <t>cmarly@clinicademarly.com.co</t>
  </si>
  <si>
    <t>110010936108</t>
  </si>
  <si>
    <t>CLINICA DE MARLY - REHABILITACION</t>
  </si>
  <si>
    <t>CARRERA 13 No. 50A-04</t>
  </si>
  <si>
    <t>3436600 EXT 1217</t>
  </si>
  <si>
    <t>110010936109</t>
  </si>
  <si>
    <t>CLINICA DE MARLY - SERVICIO PET CT</t>
  </si>
  <si>
    <t>LUIS EDUARDO CAVELIER</t>
  </si>
  <si>
    <t>CALLE 50-9-32 PISO 1</t>
  </si>
  <si>
    <t>6013436600</t>
  </si>
  <si>
    <t>1100109361</t>
  </si>
  <si>
    <t>CLINICA DE MARLY S.A</t>
  </si>
  <si>
    <t>110010572501</t>
  </si>
  <si>
    <t>CLINICA DE NUESTRA SEÑORA DE LA PAZ</t>
  </si>
  <si>
    <t>RUBEN DARIO ROBAYO RODRIGUEZ</t>
  </si>
  <si>
    <t>CARRERA 69 # 12 - 75</t>
  </si>
  <si>
    <t>2921277</t>
  </si>
  <si>
    <t>gestorcalidad@cllapaz.com.co</t>
  </si>
  <si>
    <t>1100105989</t>
  </si>
  <si>
    <t>CLINICA DE OJOS (CLINOJOS) S.A. / CLINOJOS S.A.</t>
  </si>
  <si>
    <t>EDUARDO SILVESTRE ESCANDON GARCIA</t>
  </si>
  <si>
    <t>AK 45 # 95 54</t>
  </si>
  <si>
    <t>853 1912</t>
  </si>
  <si>
    <t>calidad@clinojos.com</t>
  </si>
  <si>
    <t>110010598903</t>
  </si>
  <si>
    <t>CLINICA DE OJOS 104</t>
  </si>
  <si>
    <t>CRISTHIAN DAVID MENDEZ RODRIGUEZ</t>
  </si>
  <si>
    <t>Ak 9 No. 104 A - 58 Piso 1 al 7</t>
  </si>
  <si>
    <t>8531912 - 3107865180</t>
  </si>
  <si>
    <t>gerencia@cliniojos.com</t>
  </si>
  <si>
    <t>110013955201</t>
  </si>
  <si>
    <t>CLINICA DE ORTOPEDIA FUNCIÓN Y EDUCACIÓN</t>
  </si>
  <si>
    <t>DELIA ESPERANZA CHAPARRO LOZANO</t>
  </si>
  <si>
    <t>calle 45a#27-20</t>
  </si>
  <si>
    <t>3105509287</t>
  </si>
  <si>
    <t>calidad@ortofed.com.co</t>
  </si>
  <si>
    <t>110010843701</t>
  </si>
  <si>
    <t>CLINICA DE ORTOPEDIA Y ACCIDENTES LABORALES</t>
  </si>
  <si>
    <t>JOHN DOUGLAS CONTRERAS GUERRA</t>
  </si>
  <si>
    <t>Calle 6 A # 70 - 06</t>
  </si>
  <si>
    <t>gerenciasmo@coal.clinic</t>
  </si>
  <si>
    <t>110012281803</t>
  </si>
  <si>
    <t>CLINICA DE REHABILITACION INTEGRAL HÖWARD GÄRDNER SEDE SUR</t>
  </si>
  <si>
    <t>MAURICIO ARTURO BRIGANTE MOGOLLON</t>
  </si>
  <si>
    <t>AK 18 C # 22 - 17 SUR</t>
  </si>
  <si>
    <t>4305943</t>
  </si>
  <si>
    <t>clinicahowardgardner@gmail.com</t>
  </si>
  <si>
    <t>110014053001</t>
  </si>
  <si>
    <t>CLINICA DEL ALMA IPS SAS</t>
  </si>
  <si>
    <t>ARNOBY ALVAREZ CHARRY</t>
  </si>
  <si>
    <t>CL 18 # 77 51/67 OF 403 y 412</t>
  </si>
  <si>
    <t>3502616965</t>
  </si>
  <si>
    <t>clinicadelalma.ips.sas@gmail.com</t>
  </si>
  <si>
    <t>110012855101</t>
  </si>
  <si>
    <t>CLINICA DEL COLON S.A.</t>
  </si>
  <si>
    <t>MARTHA YOLANDA HENAO SERRANO</t>
  </si>
  <si>
    <t>CALLE 38 #29-86 CS 101, 102, 103, 202, 203</t>
  </si>
  <si>
    <t>6054849</t>
  </si>
  <si>
    <t>admonbogota@clinicadelcolon.com</t>
  </si>
  <si>
    <t>110010959913</t>
  </si>
  <si>
    <t>CLINICA DEL COUNTRY - CENTRO DE DIAGNOSTICO</t>
  </si>
  <si>
    <t>CR 18 N° 82 - 39 PI 2, 3 EXCEPTO CS 301, 4, 5, 8, 9 Y CS 604 A, 604 B Y 610</t>
  </si>
  <si>
    <t>110010959901</t>
  </si>
  <si>
    <t>CLINICA DEL COUNTRY IPS</t>
  </si>
  <si>
    <t>CRA 16 # 82 57</t>
  </si>
  <si>
    <t>1100109666</t>
  </si>
  <si>
    <t>CLINICA DEL OCCIDENTE S.A.</t>
  </si>
  <si>
    <t>RUIZ LUENGAS EDGAR ALIRIO</t>
  </si>
  <si>
    <t>AV DE LAS AMERICAS # 71 C 29</t>
  </si>
  <si>
    <t>4254620 Ext 671</t>
  </si>
  <si>
    <t>calidad@clinicadeloccidente.com</t>
  </si>
  <si>
    <t>www.clinicadeloccidente.com</t>
  </si>
  <si>
    <t>1100109177</t>
  </si>
  <si>
    <t>CLINICA DEL SENO IPS LTDA</t>
  </si>
  <si>
    <t>JIMENEZ GONZALEZ MARIA FERNANDA</t>
  </si>
  <si>
    <t>CRA 11 # 68 36</t>
  </si>
  <si>
    <t>3174954942</t>
  </si>
  <si>
    <t>notificaciones@clinicadelseno.com</t>
  </si>
  <si>
    <t>www.clinicadelseno.com</t>
  </si>
  <si>
    <t>110010917702</t>
  </si>
  <si>
    <t>CLINICA DEL SENO IPS LTDA SEDE KENEDY</t>
  </si>
  <si>
    <t>MARIA FERNANDA JIMENEZ GONZALEZ</t>
  </si>
  <si>
    <t>CL 38 C SUR # 78 P 03</t>
  </si>
  <si>
    <t>administracionkny@clinicadelseno.com</t>
  </si>
  <si>
    <t>110013749712</t>
  </si>
  <si>
    <t>CLINICA DENTAL BANCO CAE</t>
  </si>
  <si>
    <t>JENNY ELENA SEPULVEDA GRAJALES</t>
  </si>
  <si>
    <t>Avenida Carrera 45 108 A 50 Piso 3 Int 1</t>
  </si>
  <si>
    <t>6466060 Ext. 5718480</t>
  </si>
  <si>
    <t>luz.marin@colsanitas.com</t>
  </si>
  <si>
    <t>110013749702</t>
  </si>
  <si>
    <t>CLINICA DENTAL CALLE 97</t>
  </si>
  <si>
    <t>Jeny Elena Sepulveda Grajales</t>
  </si>
  <si>
    <t>Cr 16 #97-46 Torre 2 Local 1</t>
  </si>
  <si>
    <t>110013749701</t>
  </si>
  <si>
    <t>CLINICA DENTAL CEDRO BOLIVAR</t>
  </si>
  <si>
    <t>Calle 152 19 28 Piso 3 Int 302</t>
  </si>
  <si>
    <t>6466060 EXT: 5717528</t>
  </si>
  <si>
    <t>110013749706</t>
  </si>
  <si>
    <t>CLINICA DENTAL COLINA</t>
  </si>
  <si>
    <t>Cr 59 # 152-25 Of 301 Int 2</t>
  </si>
  <si>
    <t>110013749708</t>
  </si>
  <si>
    <t>CLINICA DENTAL COLSANITAS CALLE 125</t>
  </si>
  <si>
    <t>Calle 125 # 21A-61 PISO 3 Y 4</t>
  </si>
  <si>
    <t>110013749705</t>
  </si>
  <si>
    <t>CLINICA DENTAL SALITRE</t>
  </si>
  <si>
    <t>Cra 68A 24B -10 To 3 Pi 3 In 2</t>
  </si>
  <si>
    <t>3105610555</t>
  </si>
  <si>
    <t>110013749703</t>
  </si>
  <si>
    <t>CLINICA DENTAL SAN RAFAEL</t>
  </si>
  <si>
    <t>Ac 134 55 A 35 Loc 2</t>
  </si>
  <si>
    <t>110011776001</t>
  </si>
  <si>
    <t>CLINICA DENTAL SANTA BARBARA</t>
  </si>
  <si>
    <t>ADRIANA GOMEZ GELVEZ</t>
  </si>
  <si>
    <t>CL 123 7B 70</t>
  </si>
  <si>
    <t>7561822</t>
  </si>
  <si>
    <t>gerencia@clinicadentalsantabarbara.com</t>
  </si>
  <si>
    <t>110013749714</t>
  </si>
  <si>
    <t>CLINICA DENTAL SME</t>
  </si>
  <si>
    <t>Cr 5 # 20 - 89 Lc 103 In C</t>
  </si>
  <si>
    <t>110014203001</t>
  </si>
  <si>
    <t>CLINICA DENTYART "DRA LILIANA MARTINEZ"</t>
  </si>
  <si>
    <t>JUAN CARLOS JIMENEZ HOWARD</t>
  </si>
  <si>
    <t>Calle 140# 11- 45 OFICINA 1003-1</t>
  </si>
  <si>
    <t>3225096161</t>
  </si>
  <si>
    <t>gerenciadentyart@gmail.com</t>
  </si>
  <si>
    <t>110012848901</t>
  </si>
  <si>
    <t>CLINICA DERMALINE LASER SAS</t>
  </si>
  <si>
    <t>CARINA MELISA CAMELO ESQUIVEL</t>
  </si>
  <si>
    <t>CARRERA 18 80 06 CONSULTORIO 421 - 422</t>
  </si>
  <si>
    <t>6112845/6113904</t>
  </si>
  <si>
    <t>clinicadermalinelaser@gmail.com</t>
  </si>
  <si>
    <t>110014320201</t>
  </si>
  <si>
    <t>CLINICA DERMATOLOGICA 125</t>
  </si>
  <si>
    <t>Daniel Alexander Mendez Rey</t>
  </si>
  <si>
    <t>Calle 125 # 21A-61 PISO 2</t>
  </si>
  <si>
    <t>110014163201</t>
  </si>
  <si>
    <t>CLINICA DERMATOLOGICA DERMEDIC SAS</t>
  </si>
  <si>
    <t>RODRIGO ANDRES OÑATE PABON</t>
  </si>
  <si>
    <t>CL 97 NO 23 37 OF 622</t>
  </si>
  <si>
    <t>6017037969</t>
  </si>
  <si>
    <t>dermedicsgsst@gmail.com</t>
  </si>
  <si>
    <t>110013955602</t>
  </si>
  <si>
    <t>CLINICA EMCOSALUD COUNTRY</t>
  </si>
  <si>
    <t>ABEL FERNELY SEPULVEDA RAMOS</t>
  </si>
  <si>
    <t>CRA 16 A 85-29 / 31</t>
  </si>
  <si>
    <t>3219068341</t>
  </si>
  <si>
    <t>emcosalud@emcosalud.com</t>
  </si>
  <si>
    <t>110013955604</t>
  </si>
  <si>
    <t>CLINICA EMCOSALUD UPS</t>
  </si>
  <si>
    <t>AV CL 26 # 32 A 33 LC 101-102 Mirador de Takay</t>
  </si>
  <si>
    <t>3123126714</t>
  </si>
  <si>
    <t>EMCOSALUD@EMCOSALUD.COM</t>
  </si>
  <si>
    <t>110012356601</t>
  </si>
  <si>
    <t>CLINICA EUGIN</t>
  </si>
  <si>
    <t>JOSE IGNACIO MADERO CERVERA</t>
  </si>
  <si>
    <t>CL 119 # 7-14 CS 901-902-903-904-905-921A-921B-922-923-924-925</t>
  </si>
  <si>
    <t>601 4841690- 3155180955</t>
  </si>
  <si>
    <t>info@eugin.com.co</t>
  </si>
  <si>
    <t>1100115731</t>
  </si>
  <si>
    <t>CLINICA FERNANDO VANEGAS CANO LTDA.</t>
  </si>
  <si>
    <t>FERNANDO VANEGAS CANO</t>
  </si>
  <si>
    <t>KR 16 No. 96 - 64 CS 314</t>
  </si>
  <si>
    <t>6369541</t>
  </si>
  <si>
    <t>vanegas_cano@yahoo.com</t>
  </si>
  <si>
    <t>110012281804</t>
  </si>
  <si>
    <t>CLINICA HOWARD GARDNER SEDE POLO</t>
  </si>
  <si>
    <t>Mauricio Arturo Brigante Mogollón</t>
  </si>
  <si>
    <t>Calle 86a #22a-32</t>
  </si>
  <si>
    <t>6014305943</t>
  </si>
  <si>
    <t>110010817102</t>
  </si>
  <si>
    <t>CLINICA INFANTIL COLSUBSIDIO</t>
  </si>
  <si>
    <t>YOLIMA ALEXANDRA JIMENEZ CHAVES</t>
  </si>
  <si>
    <t>CALLE 66 # 10 - 48</t>
  </si>
  <si>
    <t>7467310 extensión 75210</t>
  </si>
  <si>
    <t>110014341001</t>
  </si>
  <si>
    <t>CLINICA INTEGRAL DE SALUD BOGOTA</t>
  </si>
  <si>
    <t>SEBASTIAN BOHORQUEZ CASTRO</t>
  </si>
  <si>
    <t>CARRERA 7C BIS 139 18 EDIFICIO GIA OFICINAS CONSULTORIO 905</t>
  </si>
  <si>
    <t>3161111012</t>
  </si>
  <si>
    <t>contacto@clinicaintegraldesalud.co</t>
  </si>
  <si>
    <t>110014296401</t>
  </si>
  <si>
    <t>CLINICA INTERCIRUGIAS BOGOTA</t>
  </si>
  <si>
    <t>CAMILO RAFAEL TORRES RODRIGUEZ</t>
  </si>
  <si>
    <t>Avenida Calle 127 17 A 91 PISO 1</t>
  </si>
  <si>
    <t>3143332405</t>
  </si>
  <si>
    <t>intercirugias@gmail.com</t>
  </si>
  <si>
    <t>1100109185</t>
  </si>
  <si>
    <t>CLINICA INTERNACIONAL DE CIRUGIA S.A.S</t>
  </si>
  <si>
    <t>ANA MERCEDES DIAZ MONTAÑA</t>
  </si>
  <si>
    <t>KR 17 No. 39B - 04</t>
  </si>
  <si>
    <t>3142525781 3108929899</t>
  </si>
  <si>
    <t>clinicainternacionaldecirugia@gmail.com</t>
  </si>
  <si>
    <t>110010857502</t>
  </si>
  <si>
    <t>CLINICA JOSE A RIVAS VIP</t>
  </si>
  <si>
    <t>JOSE ANTONIO RIVAS CORREA</t>
  </si>
  <si>
    <t>AK 19 N 100-28</t>
  </si>
  <si>
    <t>5803939-3174051838</t>
  </si>
  <si>
    <t>diradministrativa@clinicarivas.com</t>
  </si>
  <si>
    <t>1100109104</t>
  </si>
  <si>
    <t>CLINICA JUAN N CORPAS LTDA</t>
  </si>
  <si>
    <t>PIÑEROS RICARDO LUZ HELENA</t>
  </si>
  <si>
    <t>KR 111 # 159 A 61</t>
  </si>
  <si>
    <t>6865000 Ext.1060 - 3233103491</t>
  </si>
  <si>
    <t>dir_calidad@clinicajuanncorpas.com</t>
  </si>
  <si>
    <t>https://clinicajuanncorpas.com/</t>
  </si>
  <si>
    <t>110013994701</t>
  </si>
  <si>
    <t>CLINICA JUNISA S.A.S.</t>
  </si>
  <si>
    <t>Jose Manuel Espitia Frasser</t>
  </si>
  <si>
    <t>Avenida Calle 127 71 B 64</t>
  </si>
  <si>
    <t>3174231516</t>
  </si>
  <si>
    <t>clinicajunisa@gmail.com</t>
  </si>
  <si>
    <t>1100107683</t>
  </si>
  <si>
    <t>CLINICA LA CAROLINA S.A.S</t>
  </si>
  <si>
    <t>CORDOBA ESCAMILLA GUSTAVO ALBERTO</t>
  </si>
  <si>
    <t>KR 14 # 127 11 PI 1 LC 3, P2, P4 CS 407</t>
  </si>
  <si>
    <t>6581616</t>
  </si>
  <si>
    <t>gerencia@clinicalacarolina.com.co</t>
  </si>
  <si>
    <t>110010532201</t>
  </si>
  <si>
    <t>CLINICA LA INMACULADA</t>
  </si>
  <si>
    <t>JULIO CESAR LOPEZ PINILLA</t>
  </si>
  <si>
    <t>CRA 7 # 68 70</t>
  </si>
  <si>
    <t>5870366</t>
  </si>
  <si>
    <t>inmaculada@clinicalainmaculada.org</t>
  </si>
  <si>
    <t>1100107788</t>
  </si>
  <si>
    <t>CLINICA LA SABANA S.A</t>
  </si>
  <si>
    <t>REYES ABISAMBRA LUZ STELLA</t>
  </si>
  <si>
    <t>Avenida carrera 19 102 53 Piso 1 Interior 1 y Piso 7 Consultorio 411-511-603-604-605-606 Y 607</t>
  </si>
  <si>
    <t>6016221120</t>
  </si>
  <si>
    <t>gerencia@clinicalasabana.com</t>
  </si>
  <si>
    <t>https://clinicalasabana.com</t>
  </si>
  <si>
    <t>110012084604</t>
  </si>
  <si>
    <t>CLINICA LASER DE ACNE</t>
  </si>
  <si>
    <t>FELIPE ALZATE</t>
  </si>
  <si>
    <t>CARRERA 23 124 87 TORRE 2 CONSULTORIO 601</t>
  </si>
  <si>
    <t>3112117486</t>
  </si>
  <si>
    <t>administracion@grupofiloderm.com</t>
  </si>
  <si>
    <t>1100110380</t>
  </si>
  <si>
    <t>CLINICA LASER DE PIEL SAS</t>
  </si>
  <si>
    <t>PEREZ GONZALEZ SAZA MARIA</t>
  </si>
  <si>
    <t>Kra 13A # 98-16</t>
  </si>
  <si>
    <t>6015142019</t>
  </si>
  <si>
    <t>chico@clinicalaserdepiel.com.co</t>
  </si>
  <si>
    <t>110012529701</t>
  </si>
  <si>
    <t>CLINICA LOS NOGALES SAS</t>
  </si>
  <si>
    <t>MARIA PAZ AZULA GRANADA</t>
  </si>
  <si>
    <t>Calle 95 N° 23-61</t>
  </si>
  <si>
    <t>5937000 Ext: 2045 / 2036 Cel: 3014199316</t>
  </si>
  <si>
    <t>notificacioneslegales@clinicanogales.com</t>
  </si>
  <si>
    <t>110011086102</t>
  </si>
  <si>
    <t>CLINICA LOYOLA</t>
  </si>
  <si>
    <t>JUAN CARLOS FARRE RODRIGUEZ</t>
  </si>
  <si>
    <t>KR 19 A # 84 64</t>
  </si>
  <si>
    <t>6168152</t>
  </si>
  <si>
    <t>thcalidad@clinicaloyola.com.co</t>
  </si>
  <si>
    <t>110011086107</t>
  </si>
  <si>
    <t>CLINICA LOYOLA S.A.S</t>
  </si>
  <si>
    <t>CALLE 17 SUR No 16-82 PISO 1</t>
  </si>
  <si>
    <t>6168152 EXT 108</t>
  </si>
  <si>
    <t>1100110861</t>
  </si>
  <si>
    <t>CLINICA LOYOLA SOCIEDAD POR ACCIONES SIMPLIFICADA</t>
  </si>
  <si>
    <t>FARRE RODRIGUEZ RAMON</t>
  </si>
  <si>
    <t>6168252 ext 108</t>
  </si>
  <si>
    <t>110012877402</t>
  </si>
  <si>
    <t>CLINICA MANUELA</t>
  </si>
  <si>
    <t>JOHN EUGENIO SEPULVEDA GRAJALES</t>
  </si>
  <si>
    <t>CLL 63B 77A 08</t>
  </si>
  <si>
    <t>3166297019 - 3248216810</t>
  </si>
  <si>
    <t>gerencia@gestionmedicaensalud.com</t>
  </si>
  <si>
    <t>110011776601</t>
  </si>
  <si>
    <t>CLINICA MARCO MARTINEZ EU CLINICA SAN MIGUEL</t>
  </si>
  <si>
    <t>MARCO ANTONIO MARTINEZ BELLOSO</t>
  </si>
  <si>
    <t>CRA 7 C No. 124 - 52 primer piso</t>
  </si>
  <si>
    <t>7031426 /56/62</t>
  </si>
  <si>
    <t>info@marcomartinezestetica.com</t>
  </si>
  <si>
    <t>110010822201</t>
  </si>
  <si>
    <t>CLINICA MATERNO INFANTIL EUSALUD</t>
  </si>
  <si>
    <t>AMALIA ZAMBRANO RIAÑO</t>
  </si>
  <si>
    <t>DG 54 # 16 A 16</t>
  </si>
  <si>
    <t>4320872</t>
  </si>
  <si>
    <t>calidad.proceso@eusalud.com</t>
  </si>
  <si>
    <t>110012215001</t>
  </si>
  <si>
    <t>CLINICA MEDICAL S.A.S.</t>
  </si>
  <si>
    <t>WILLIAM JAMES ARISTIZABAL</t>
  </si>
  <si>
    <t>Calle 36 Sur No 77 - 33</t>
  </si>
  <si>
    <t>4505200 3168757999</t>
  </si>
  <si>
    <t>coor.calidad@clinicamedical.com.co</t>
  </si>
  <si>
    <t>110012215004</t>
  </si>
  <si>
    <t>CLINICA MEDICAL S.A.S. SEDE NORTE</t>
  </si>
  <si>
    <t>WILLIAM JAMES ARISTIZABAL FERNANDEZ</t>
  </si>
  <si>
    <t>AK 45 # 94 31/39</t>
  </si>
  <si>
    <t>3168757999</t>
  </si>
  <si>
    <t>110012215003</t>
  </si>
  <si>
    <t>CLINICA MEDICAL S.A.S. SEDE SANTA JULIANA</t>
  </si>
  <si>
    <t>CALLE 1D No. 17A 35</t>
  </si>
  <si>
    <t>2428440 - 316 8757999</t>
  </si>
  <si>
    <t>110012215007</t>
  </si>
  <si>
    <t>CLINICA MEDICAL SAS - SEDE TOBERIN</t>
  </si>
  <si>
    <t>Cr 21 No 169 15/25 BODEGA 2</t>
  </si>
  <si>
    <t>110012215005</t>
  </si>
  <si>
    <t>CLINICA MEDICAL SAS. SEDE AMERICAS</t>
  </si>
  <si>
    <t>KR 66 A # 4 G 86</t>
  </si>
  <si>
    <t>1100120252</t>
  </si>
  <si>
    <t>CLINICA MEISEL SAS</t>
  </si>
  <si>
    <t>CIRO ALFONSO GOMEZ MEISEL</t>
  </si>
  <si>
    <t>Calle 94 ANo.13-59 Oficina 402</t>
  </si>
  <si>
    <t>3143936114</t>
  </si>
  <si>
    <t>CARDIOLLANOS@GMAIL.COM</t>
  </si>
  <si>
    <t>110012025201</t>
  </si>
  <si>
    <t>CLINICA MEISEL SAS- SEDE BOGOTA</t>
  </si>
  <si>
    <t>321 4909664</t>
  </si>
  <si>
    <t>coordinacioncreferenciatel@gmail.com</t>
  </si>
  <si>
    <t>110012822801</t>
  </si>
  <si>
    <t>CLINICA METCO IPS METABOLISMO Y CONTROL DE PESO</t>
  </si>
  <si>
    <t>ADOLFO GRIMALDI GUERRERO</t>
  </si>
  <si>
    <t>Calle 81 Nro. 19A - 18 Oficina 202 203</t>
  </si>
  <si>
    <t>7431303</t>
  </si>
  <si>
    <t>agrimaldi@clinicametco.com</t>
  </si>
  <si>
    <t>110012110901</t>
  </si>
  <si>
    <t>CLINICA MICHEL BELTRAN</t>
  </si>
  <si>
    <t>MICHEL HENRY BELTRAN RAMIREZ</t>
  </si>
  <si>
    <t>CALLE 8 B #77-32 PI 1 LC 101</t>
  </si>
  <si>
    <t>3107570311</t>
  </si>
  <si>
    <t>clinicamichelbeltran@hotmail.com</t>
  </si>
  <si>
    <t>110012900901</t>
  </si>
  <si>
    <t>CLINICA NEFROUROS SAS</t>
  </si>
  <si>
    <t>ANGELICA MARIA PERDOMO ALVAREZ</t>
  </si>
  <si>
    <t>Avenida las Americas # 70a-37</t>
  </si>
  <si>
    <t>3174294274-6015759474</t>
  </si>
  <si>
    <t>gerencia.bogota@nefrouros.net</t>
  </si>
  <si>
    <t>110011945101</t>
  </si>
  <si>
    <t>CLINICA NEUROREHABILITAR</t>
  </si>
  <si>
    <t>ANGELA LUCIA SANCHEZ BECERRA</t>
  </si>
  <si>
    <t>CALLE 79 Nº 29C - 25</t>
  </si>
  <si>
    <t>7462085</t>
  </si>
  <si>
    <t>gestioncalidad@neurorehabilitar.com</t>
  </si>
  <si>
    <t>110011945102</t>
  </si>
  <si>
    <t>CLINICA NEUROREHABILITAR AGENCIA CALLE 76</t>
  </si>
  <si>
    <t>CECILIA EUGENIA SANCHEZ</t>
  </si>
  <si>
    <t>Cra 28 A No. 76-36</t>
  </si>
  <si>
    <t>7557206</t>
  </si>
  <si>
    <t>1100119451</t>
  </si>
  <si>
    <t>CLINICA NEUROREHABILITAR LTDA</t>
  </si>
  <si>
    <t>6017441121 - 6017462085 - 3174407919 - 3204529163 - 3106664595</t>
  </si>
  <si>
    <t>gestioncalidad@neurorehabilitar.com - gerencia@neurorehabilitar.com</t>
  </si>
  <si>
    <t>www.neurorehabilitar.com</t>
  </si>
  <si>
    <t>110011945104</t>
  </si>
  <si>
    <t>CLINICA NEUROREHABILITAR SEDE CORONA</t>
  </si>
  <si>
    <t>CECILIA EUGENIA SANCHEZ BECERRA</t>
  </si>
  <si>
    <t>Carrera 28A #79-34</t>
  </si>
  <si>
    <t>3174407919</t>
  </si>
  <si>
    <t>110010752101</t>
  </si>
  <si>
    <t>CLINICA NUEVA</t>
  </si>
  <si>
    <t>CL 45 F # 16 A 11</t>
  </si>
  <si>
    <t>3274444 ext 515-530</t>
  </si>
  <si>
    <t>calidad@clinicanueva.com</t>
  </si>
  <si>
    <t>110013502501</t>
  </si>
  <si>
    <t>CLINICA NUEVA EL LAGO S.A.S - SEDE CALLE 76</t>
  </si>
  <si>
    <t>ANDRES ALBERTO MARTINEZ GUERRERO</t>
  </si>
  <si>
    <t>Calle 76 No. 15-55 Sótano 1 (S1-1 S1-2 S1-6 S1-7 S1-8 S1-9 S1-10 S1-11) Pisos 1-2-3-4-5-6-7-8-9</t>
  </si>
  <si>
    <t>3078061 - 3123459128</t>
  </si>
  <si>
    <t>info@clinicanuevaellago.com</t>
  </si>
  <si>
    <t>110013741901</t>
  </si>
  <si>
    <t>CLINICA OBESIDAD Y ENVEJECIMIENTO SAS Sigla: CLOE</t>
  </si>
  <si>
    <t>LUCAS CUBILLOS SIERRA</t>
  </si>
  <si>
    <t>Cr 14 No. 105 A 91</t>
  </si>
  <si>
    <t>3208269102</t>
  </si>
  <si>
    <t>ipsobesidad@gmail.com</t>
  </si>
  <si>
    <t>110011530802</t>
  </si>
  <si>
    <t>CLINICA ODONTOLOGICA CLINI STETIC DOS</t>
  </si>
  <si>
    <t>CALLE 57 No. 16-03 CS 1-2-3-4 Primer Piso, 10-11 Segundo Piso, 17-18 Tercer Piso.</t>
  </si>
  <si>
    <t>249 4920 - 210 4868</t>
  </si>
  <si>
    <t>1100115308</t>
  </si>
  <si>
    <t>CLINICA ODONTOLOGICA CLINISTETIC LTDA</t>
  </si>
  <si>
    <t>CALLE 58 No 17-09</t>
  </si>
  <si>
    <t>3478514</t>
  </si>
  <si>
    <t>110010862001</t>
  </si>
  <si>
    <t>CLINICA ODONTOLOGICA DEL OCCIDENTE</t>
  </si>
  <si>
    <t>MIRYAM LUCIA SANTAMARIA ROJAS</t>
  </si>
  <si>
    <t>AC 24 # 43 A 84</t>
  </si>
  <si>
    <t>clinicaoccidentalcalidad@gmail.com</t>
  </si>
  <si>
    <t>110013199901</t>
  </si>
  <si>
    <t>CLINICA ODONTOLOGICA ESPECIALIZADA DRA. SOFIA ALEGRIA SAS</t>
  </si>
  <si>
    <t>SOFIA ALEGRIA SARMIENTO</t>
  </si>
  <si>
    <t>AV CARRERA 45 N° 166 - 80</t>
  </si>
  <si>
    <t>3714853 - 3104623045</t>
  </si>
  <si>
    <t>coordinacionclinica@doctorasofiaalegria.com</t>
  </si>
  <si>
    <t>110010739201</t>
  </si>
  <si>
    <t>CLINICA ODONTOLOGICA LA CASTELLANA</t>
  </si>
  <si>
    <t>EDUARDO MANRIQUE GUTIERREZ</t>
  </si>
  <si>
    <t>KR 47 # 95 14</t>
  </si>
  <si>
    <t>6164300</t>
  </si>
  <si>
    <t>maryep@cable.net.co</t>
  </si>
  <si>
    <t>110014290401</t>
  </si>
  <si>
    <t>CLINICA ODONTOLOGICA MIL SONRISAS IPS S.A.S.</t>
  </si>
  <si>
    <t>Sandra Yurani Blanco Pacheco</t>
  </si>
  <si>
    <t>Cl 118 No. 19 52 Cs 506</t>
  </si>
  <si>
    <t>3167759630</t>
  </si>
  <si>
    <t>milsonrisasips@gmail.com</t>
  </si>
  <si>
    <t>110012316301</t>
  </si>
  <si>
    <t>CLINICA ODONTOLOGICA NACIONAL</t>
  </si>
  <si>
    <t>CL 36 SUR # 78 A 10</t>
  </si>
  <si>
    <t>4031803</t>
  </si>
  <si>
    <t>110012199403</t>
  </si>
  <si>
    <t>CLINICA ODONTOLOGICA ODONTOESTETIK SEDE GRAN PLAZA EL ENSUEÑO</t>
  </si>
  <si>
    <t>CR 51 No. 59C - 93 SUR LOCAL 204</t>
  </si>
  <si>
    <t>3118853580 3144337497</t>
  </si>
  <si>
    <t>110012199402</t>
  </si>
  <si>
    <t>CLINICA ODONTOLOGICA ODONTOESTETIK SEDE TINTAL</t>
  </si>
  <si>
    <t>AK 86 #6-37 CC. TINTAL PLAZA LC 228</t>
  </si>
  <si>
    <t>7044043</t>
  </si>
  <si>
    <t>1100107773</t>
  </si>
  <si>
    <t>CLINICA ODONTOLOGICA PARA EL NIÑO LIMITADA C.O.N LTDA</t>
  </si>
  <si>
    <t>VILLAMIL PEÑA PABLO EDGAR</t>
  </si>
  <si>
    <t>KR 12 A # 78 - 45 PISO 1</t>
  </si>
  <si>
    <t>5307307-2185124-3125100030</t>
  </si>
  <si>
    <t>coibltda@gmail.com</t>
  </si>
  <si>
    <t>https://laclinicaodontologica.com/</t>
  </si>
  <si>
    <t>110010703901</t>
  </si>
  <si>
    <t>CLINICA ODONTOLOGICA PROTECCION ORAL</t>
  </si>
  <si>
    <t>PATRICIA VELANDIA ORJUELA</t>
  </si>
  <si>
    <t>AV CRA 19 No 125 26 PISO 1</t>
  </si>
  <si>
    <t>7552985 7559251 7557216 3175161250</t>
  </si>
  <si>
    <t>contacto@proteccionoral.com</t>
  </si>
  <si>
    <t>1100107039</t>
  </si>
  <si>
    <t>CLINICA ODONTOLOGICA PROTECCION ORAL S.A.S. SIGLA COPO S.A.S.</t>
  </si>
  <si>
    <t>CAMACHO BERNAL MAURICIO</t>
  </si>
  <si>
    <t>110010703902</t>
  </si>
  <si>
    <t>CLINICA ODONTOLOGICA PROTECCION ORAL SEDE AV BOYACA</t>
  </si>
  <si>
    <t>PATRICIA VELANDIA RODRIGUEZ</t>
  </si>
  <si>
    <t>Avenida Carrera 72 No. 9 97</t>
  </si>
  <si>
    <t>7032431 - 3163068085</t>
  </si>
  <si>
    <t>sedeamericas@proteccionoral.com</t>
  </si>
  <si>
    <t>1100117983</t>
  </si>
  <si>
    <t>CLINICA ODONTOLOGICA S.E.A. CONSTRUCTORES DE SONRISAS LTDA.</t>
  </si>
  <si>
    <t>MAURICIO ARTURO BARRAGAN DELGADO</t>
  </si>
  <si>
    <t>KR 24 #. 63 D 70 (CS 201)</t>
  </si>
  <si>
    <t>+573102220323. +573106263521</t>
  </si>
  <si>
    <t>marcept17@hotmail.com</t>
  </si>
  <si>
    <t>110011886101</t>
  </si>
  <si>
    <t>CLINICA ODONTOLOGICA SERVIODONT ESPECIALIZADA SUBA</t>
  </si>
  <si>
    <t>MARIAM KIMBERLLY GUTIERREZ RUBIO</t>
  </si>
  <si>
    <t>CL 140D 103F 83</t>
  </si>
  <si>
    <t>2145091</t>
  </si>
  <si>
    <t>kimberlly1688@hotmail.com</t>
  </si>
  <si>
    <t>110013749710</t>
  </si>
  <si>
    <t>CLINICA ODONTOSANITAS CALLE 80</t>
  </si>
  <si>
    <t>JENY ELENA SEPULVEDA GRAJALES</t>
  </si>
  <si>
    <t>CALLE 79 89 A 40 Local 225</t>
  </si>
  <si>
    <t>jesepulveda@colsanitas.com</t>
  </si>
  <si>
    <t>110013749709</t>
  </si>
  <si>
    <t>CLINICA ODONTOSANITAS CODE AMERICAS</t>
  </si>
  <si>
    <t>Ac 9 # 62 - 84 P 2 Lc L 2 27 L 2 28</t>
  </si>
  <si>
    <t>110013749711</t>
  </si>
  <si>
    <t>CLINICA ODONTOSANITAS SAN MARTIN</t>
  </si>
  <si>
    <t>Cra 7 # 32 - 10 Lc 303 Al 306 Piso 3</t>
  </si>
  <si>
    <t>5895490 EXT. 5718724</t>
  </si>
  <si>
    <t>110013749713</t>
  </si>
  <si>
    <t>CLINICA ODONTOSANITAS SUBA</t>
  </si>
  <si>
    <t>Carrera 91 139 34 Piso 3</t>
  </si>
  <si>
    <t>6016466060 EXT. 5717706 / 5717698 / 5717707</t>
  </si>
  <si>
    <t>110010548031</t>
  </si>
  <si>
    <t>CLINICA OFTALMOLOGICA DEL COUNTRY AVI</t>
  </si>
  <si>
    <t>CESAR JAVIER OTERO</t>
  </si>
  <si>
    <t>Cr 20 # 83-58 P 1-2-3-4-5-6-9</t>
  </si>
  <si>
    <t>3103039409</t>
  </si>
  <si>
    <t>auditoria@sosaludvisual.com</t>
  </si>
  <si>
    <t>110012509301</t>
  </si>
  <si>
    <t>CLINICA OFTALMOLOGICA VISION COLOMBIA Y/O UNIDAD DE DIAGNOSTICO MEDICO UNIDIME S.A.S</t>
  </si>
  <si>
    <t>MANUEL RICARDO PEÑALOZA RENGIFO</t>
  </si>
  <si>
    <t>CALLE 134 No 7 83 TORRE 1 CONSULTORIO 1 PISO 1</t>
  </si>
  <si>
    <t>3000930 - 3212454161 - 3204300686</t>
  </si>
  <si>
    <t>gerenciageneral@visioncolombia.com.co</t>
  </si>
  <si>
    <t>110012147702</t>
  </si>
  <si>
    <t>CLINICA ONCOLIFE SEDE NORTE</t>
  </si>
  <si>
    <t>SANDRA YIGIOLA CARREÑO BLANCO</t>
  </si>
  <si>
    <t>Av Cra 45 # 103 59/65</t>
  </si>
  <si>
    <t>3108095504</t>
  </si>
  <si>
    <t>calidad1@oncolife.com.co</t>
  </si>
  <si>
    <t>1100118397</t>
  </si>
  <si>
    <t>CLINICA ORAL DENT LTDA</t>
  </si>
  <si>
    <t>OLGA YANIRA ARIZA CALA</t>
  </si>
  <si>
    <t>KR 104A # 71D-51</t>
  </si>
  <si>
    <t>4315906 - 4333863 - 3106497524</t>
  </si>
  <si>
    <t>clinioraldentltda@hotmail.com</t>
  </si>
  <si>
    <t>1100118233</t>
  </si>
  <si>
    <t>CLINICA ORTHOESPECIALISTAS SAS</t>
  </si>
  <si>
    <t>JORGE HERNAN RAMIREZ HERNANDEZ</t>
  </si>
  <si>
    <t>Kr 16 #96-64 CS 307</t>
  </si>
  <si>
    <t>6015838143-3164724106</t>
  </si>
  <si>
    <t>recepcion@orthoespecialistas.com</t>
  </si>
  <si>
    <t>www.orthoespecialistas.com</t>
  </si>
  <si>
    <t>110010895201</t>
  </si>
  <si>
    <t>CLINICA PALERMO</t>
  </si>
  <si>
    <t>GERARDO LUBIN BURGOS BERNAL</t>
  </si>
  <si>
    <t>Calle 45 C No. 22-02</t>
  </si>
  <si>
    <t>7454500</t>
  </si>
  <si>
    <t>GestiondeCalidad@clinicapalermo.com.co</t>
  </si>
  <si>
    <t>www.clinicapalermo.com.co</t>
  </si>
  <si>
    <t>110010895204</t>
  </si>
  <si>
    <t>CLINICA PALERMO CARRERA 23</t>
  </si>
  <si>
    <t>Carrera 23 No. 45C- 31 Laboratorio Clinico Local 102- Unidad de Cirugia Ambulatoria Local 108- Unidad de Endoscopia Local 109- Consulta externa Locales 203A,204,205,206,206A,207,208,208A,209 y 210-Consulta Prioritaria Local 203 y 215 Consultorio 3</t>
  </si>
  <si>
    <t>110013855601</t>
  </si>
  <si>
    <t>CLINICA PARAMO</t>
  </si>
  <si>
    <t>VIVIANA GISELA PARAMO JIMENEZ</t>
  </si>
  <si>
    <t>CALLE 127A # 7-19 CONSULTORIO 505</t>
  </si>
  <si>
    <t>3118268828</t>
  </si>
  <si>
    <t>gerencia@clinicaparamo.com</t>
  </si>
  <si>
    <t>110010731301</t>
  </si>
  <si>
    <t>CLINICA RANGEL PEREIRA</t>
  </si>
  <si>
    <t>AUGUSTO ALBERTO RANGEL PEREIRA</t>
  </si>
  <si>
    <t>CALLE 96 # 14-53/47 OFICINA 201</t>
  </si>
  <si>
    <t>6114050 - 3102002714</t>
  </si>
  <si>
    <t>arangelp@clinicarangelpereira.com</t>
  </si>
  <si>
    <t>1100107313</t>
  </si>
  <si>
    <t>CLINICA RANGEL PEREIRA LTDA</t>
  </si>
  <si>
    <t>RANGEL RODRIGUEZ. AUGUSTO ALBERTO</t>
  </si>
  <si>
    <t>CALLE 96 No 14-53/47 OFICINA 201</t>
  </si>
  <si>
    <t>6114050 - 3002002714</t>
  </si>
  <si>
    <t>110013643603</t>
  </si>
  <si>
    <t>CLINICA RED HUMANA S.A.S. SEDE DE PRESTACION DE SERVICIOS PUENTE ARANDA</t>
  </si>
  <si>
    <t>RODRIGO RAFAEL CABRERA DONADO</t>
  </si>
  <si>
    <t>Ac 13 # 65-71 Local 1 Y Local 2, Centro Comercial Paseo Avenida Centenario - Zona In</t>
  </si>
  <si>
    <t>3158057735</t>
  </si>
  <si>
    <t>gerencia@redhumana.co</t>
  </si>
  <si>
    <t>110010918608</t>
  </si>
  <si>
    <t>CLINICA REINA SOFIA</t>
  </si>
  <si>
    <t>Cra 21 127 03 / Ac 127 21 60 Cn 106 Al 111, 202, 203, 211, 214, 225, 316, 322, 324, 410 A Y B, 424</t>
  </si>
  <si>
    <t>6466060 ext 5717528</t>
  </si>
  <si>
    <t>110010918678</t>
  </si>
  <si>
    <t>CLINICA REINA SOFIA MEDICINA AVANZADA 125</t>
  </si>
  <si>
    <t>KR 20 124 64</t>
  </si>
  <si>
    <t>110010918655</t>
  </si>
  <si>
    <t>CLINICA REINA SOFIA PEDIATRICA Y MUJER</t>
  </si>
  <si>
    <t>Ac 127 No 20 - 56</t>
  </si>
  <si>
    <t>110010039601</t>
  </si>
  <si>
    <t>CLINICA RETORNAR</t>
  </si>
  <si>
    <t>MARIA DEL PILAR JAIME IZQUIERDO</t>
  </si>
  <si>
    <t>AK 20 87 33</t>
  </si>
  <si>
    <t>6015807939</t>
  </si>
  <si>
    <t>obarrera@clinicaretornar.com</t>
  </si>
  <si>
    <t>1100100396</t>
  </si>
  <si>
    <t>CLINICA RETORNAR SAS</t>
  </si>
  <si>
    <t>MARAI DEL PILAR JAIME IZQUIERDO</t>
  </si>
  <si>
    <t>7957100</t>
  </si>
  <si>
    <t>110012544101</t>
  </si>
  <si>
    <t>CLINICA SAN FRANCISCO DE ASIS S.A.S</t>
  </si>
  <si>
    <t>JUAN CARLOS FLOREZ ZAMBRANO</t>
  </si>
  <si>
    <t>CALLE 16 16-80</t>
  </si>
  <si>
    <t>5190707 ext 109-114-101-3174003658</t>
  </si>
  <si>
    <t>departamentodecalidad@clinicasfa.com</t>
  </si>
  <si>
    <t>110012041401</t>
  </si>
  <si>
    <t>CLINICA SANTA TERESITA DEL NIÑO JESUS S.A.</t>
  </si>
  <si>
    <t>JUAN CARLOS CASTRO PARDO</t>
  </si>
  <si>
    <t>KR 96 C # 21 A 43</t>
  </si>
  <si>
    <t>6017436570 - 6017436571 - 6017436572</t>
  </si>
  <si>
    <t>clinicastateresitadelninojesus@gmail.com</t>
  </si>
  <si>
    <t>110010864801</t>
  </si>
  <si>
    <t>CLINICA SANTO TOMÁS S.A</t>
  </si>
  <si>
    <t>CATALINA VERGARA CARULLA</t>
  </si>
  <si>
    <t>TV 3C # 51A 46</t>
  </si>
  <si>
    <t>2451911</t>
  </si>
  <si>
    <t>clinsantoto@gmail.com</t>
  </si>
  <si>
    <t>110013762603</t>
  </si>
  <si>
    <t>CLINICA SEDE 112</t>
  </si>
  <si>
    <t>JORGE AUGUSTO MARQUEZ OROZCO</t>
  </si>
  <si>
    <t>AK 15 N° 112 09</t>
  </si>
  <si>
    <t>3147957213</t>
  </si>
  <si>
    <t>jorge.marquez@redesmedicasips.com</t>
  </si>
  <si>
    <t>1100112797</t>
  </si>
  <si>
    <t>CLINICA SEQUOIA SAS</t>
  </si>
  <si>
    <t>LINA CLEMENCIA MARIN GOMEZ</t>
  </si>
  <si>
    <t>CL 123 # 7 07 OF 206</t>
  </si>
  <si>
    <t>6197842 - 6194863 - 3123040039</t>
  </si>
  <si>
    <t>info@clinicasequoia.com</t>
  </si>
  <si>
    <t>110010918630</t>
  </si>
  <si>
    <t>CLINICA UNIVERSITARIA COLOMBIA</t>
  </si>
  <si>
    <t>Cl236646Int5Int4Cs201Al209,3P501,503,505Al507,509,703,704,706,708,710,714Al717,719Al723,725Al727,803,811,813,814,816A818,822A825,903,907,911,915,919A921,927,1004,1009,1013,1015Al1019,1103,1119,1121,1122,1203,1206,1209,1210,1214A12161218A1220122212251226</t>
  </si>
  <si>
    <t>5948650</t>
  </si>
  <si>
    <t>110011048801</t>
  </si>
  <si>
    <t>CLINICA VASCULAR DE BOGOTA</t>
  </si>
  <si>
    <t>DANIEL MUÑOZ ARBELAEZ</t>
  </si>
  <si>
    <t>CL 35 # 24 32</t>
  </si>
  <si>
    <t>6013004456</t>
  </si>
  <si>
    <t>contadora1@clinicavasculardebogota.com</t>
  </si>
  <si>
    <t>110012336801</t>
  </si>
  <si>
    <t>CLINICA VICTORIA</t>
  </si>
  <si>
    <t>MICHAEL THOMAS HETHERINGTON CATAÑO</t>
  </si>
  <si>
    <t>KR. 11 A N° 97- 55 PI 1</t>
  </si>
  <si>
    <t>3205635512 3133142045</t>
  </si>
  <si>
    <t>contabilidad.cm@hotmail.com</t>
  </si>
  <si>
    <t>110012337101</t>
  </si>
  <si>
    <t>CLINICA VIP CENTRO DE MEDICINA INTERNACIONAL</t>
  </si>
  <si>
    <t>Calle 97#23-10 Excluye Consultorio 101</t>
  </si>
  <si>
    <t>7442740-7452727</t>
  </si>
  <si>
    <t>110012196801</t>
  </si>
  <si>
    <t>CLINICAESTETICADENTAL24HORAS</t>
  </si>
  <si>
    <t>JUAN CARLOS PERILLA JIMENEZ</t>
  </si>
  <si>
    <t>CALLE 93 19B-66</t>
  </si>
  <si>
    <t>4814348</t>
  </si>
  <si>
    <t>CED24HORAS@CED24HORAS.COM</t>
  </si>
  <si>
    <t>110012389001</t>
  </si>
  <si>
    <t>CLINICAS DENTISA SAS - C.DENTISA</t>
  </si>
  <si>
    <t>FRANCY ELENA ROJAS FIGUEROA</t>
  </si>
  <si>
    <t>AC 116 No. 70 C 94 LOCAL 202</t>
  </si>
  <si>
    <t>3166257556</t>
  </si>
  <si>
    <t>clinicasdentisa@gmail.com</t>
  </si>
  <si>
    <t>110010812201</t>
  </si>
  <si>
    <t>CLINICAS JASBAN</t>
  </si>
  <si>
    <t>NANCY PEÑA</t>
  </si>
  <si>
    <t>AC 24 # 72 B 94</t>
  </si>
  <si>
    <t>3143945985 - 4169570</t>
  </si>
  <si>
    <t>administracion@jasban.com</t>
  </si>
  <si>
    <t>1100108122</t>
  </si>
  <si>
    <t>CLINICAS JASBAN SAS</t>
  </si>
  <si>
    <t>BUITRAGO PEREZ JAIME ERNESTO</t>
  </si>
  <si>
    <t>110013857301</t>
  </si>
  <si>
    <t>CLINICAS MEDICAS INTEGRALES S.A.S</t>
  </si>
  <si>
    <t>CLL 99 49 38 CS 1105</t>
  </si>
  <si>
    <t>110012255601</t>
  </si>
  <si>
    <t>CLINICAS MEDICAS Y ODONTOLOGICAS MAGUER</t>
  </si>
  <si>
    <t>PAULA ANDREA VARGAS PARRA</t>
  </si>
  <si>
    <t>Cl 57 B No. 70 74 Sur</t>
  </si>
  <si>
    <t>3114645733 / 3123591435</t>
  </si>
  <si>
    <t>smadero@maguer.co / pau-vag21@hotmail.com</t>
  </si>
  <si>
    <t>110012908701</t>
  </si>
  <si>
    <t>CLINICAS ODONTOLOGICAS BUITRAGO</t>
  </si>
  <si>
    <t>ROSALBA MARGOTH BUITRAGO JEREZ</t>
  </si>
  <si>
    <t>CR 27 No 4 A-13/15</t>
  </si>
  <si>
    <t>3102043270 - 3125381444</t>
  </si>
  <si>
    <t>clinicasbuitrago@gmail.com</t>
  </si>
  <si>
    <t>110012517701</t>
  </si>
  <si>
    <t>CLINICAS ODONTOLOGICAS DENTY EXPRESS</t>
  </si>
  <si>
    <t>CARLINA ORTIZ DONCEL</t>
  </si>
  <si>
    <t>CARRERA 17 14 A 42 SUR PISO 1</t>
  </si>
  <si>
    <t>3132277840</t>
  </si>
  <si>
    <t>admon.dentyexpress@hotmail.com</t>
  </si>
  <si>
    <t>1100119179</t>
  </si>
  <si>
    <t>CLINICAS ODONTOLOGICAS ESPECIALIZADAS ORTHOCLINIC SAS</t>
  </si>
  <si>
    <t>LAURA CATALINA VELASQUEZ ARANGO</t>
  </si>
  <si>
    <t>CRA 19 A No. 162 - 51</t>
  </si>
  <si>
    <t>5749288 - 3209138550</t>
  </si>
  <si>
    <t>sonrisasorthoclinic@yahoo.com</t>
  </si>
  <si>
    <t>110010426105</t>
  </si>
  <si>
    <t>CLINICAS ODONTOLOGICAS IECO S.A. - CONSULTA PRIORITARIA</t>
  </si>
  <si>
    <t>Carrera 19-80-74</t>
  </si>
  <si>
    <t>110011770809</t>
  </si>
  <si>
    <t>CLINICAS ODONTOLOGICAS ORAL CENTRY</t>
  </si>
  <si>
    <t>CL 141B N 103 F 82</t>
  </si>
  <si>
    <t>3161833</t>
  </si>
  <si>
    <t>110012795701</t>
  </si>
  <si>
    <t>CLINICAS ODONTOLOGICAS QUALIDENT</t>
  </si>
  <si>
    <t>DAVID ALEXANDER SUAREZ BERNAL</t>
  </si>
  <si>
    <t>AV CRA 60 # 24 09 LOCAL 315-316 CENTRO COMERCIAL GRAN ESTACION</t>
  </si>
  <si>
    <t>3002667624</t>
  </si>
  <si>
    <t>draiggond44@hotmail.com</t>
  </si>
  <si>
    <t>110012795704</t>
  </si>
  <si>
    <t>CLINICAS ODONTOLOGICAS QUALIDENT SEDE CHICO NAVARRA</t>
  </si>
  <si>
    <t>AVENIDA CARRERA 45 # 106-44 LOCAL 3</t>
  </si>
  <si>
    <t>110012204101</t>
  </si>
  <si>
    <t>CLINICAS ODONTOLOGICAS SOS ESTETICA SAS</t>
  </si>
  <si>
    <t>NIDIA MARGARITA TORRES CAMARGO</t>
  </si>
  <si>
    <t>CR 77 BIS Nº 63 27</t>
  </si>
  <si>
    <t>7505118</t>
  </si>
  <si>
    <t>sosnidiato@hotmail.com</t>
  </si>
  <si>
    <t>110012347113</t>
  </si>
  <si>
    <t>CLINICOS IPS - CASTELLANA</t>
  </si>
  <si>
    <t>Cr 49 D No. 91 - 56</t>
  </si>
  <si>
    <t>7460885</t>
  </si>
  <si>
    <t>110012347109</t>
  </si>
  <si>
    <t>CLINICOS PROGRAMAS DE ATENCIÓN INTEGRAL SAS IPS</t>
  </si>
  <si>
    <t>CR 7 NO. 32 - 12 LOCALES 130 + mezanine, 131+ mezanine, 132 + mezanine</t>
  </si>
  <si>
    <t>110012347108</t>
  </si>
  <si>
    <t>CLINICOS SAS IPS CALLE 98</t>
  </si>
  <si>
    <t>CR 15 NO. 98 37</t>
  </si>
  <si>
    <t>110013749201</t>
  </si>
  <si>
    <t>CLINICOSMOS IPS</t>
  </si>
  <si>
    <t>WILLIAM CAMILO TORRES HERREÑO</t>
  </si>
  <si>
    <t>CALLE 31 SUR 69 63</t>
  </si>
  <si>
    <t>3215109956</t>
  </si>
  <si>
    <t>GERENCIA@COMOSSUPPORT.COM.CO</t>
  </si>
  <si>
    <t>110013409101</t>
  </si>
  <si>
    <t>CLININORTE 161</t>
  </si>
  <si>
    <t>JULIAN BUITRAGO PIEDRAHITA</t>
  </si>
  <si>
    <t>Ac 161 16 C 39/51</t>
  </si>
  <si>
    <t>3188604159</t>
  </si>
  <si>
    <t>gerencia@clinicadeltrabajador.com</t>
  </si>
  <si>
    <t>110010918605</t>
  </si>
  <si>
    <t>CLINISANITAS DIAGNOSTICO</t>
  </si>
  <si>
    <t>AK 45 108 A 50 PISO 3 INT 2</t>
  </si>
  <si>
    <t>5895420 ext 5718466</t>
  </si>
  <si>
    <t>1100117389</t>
  </si>
  <si>
    <t>CLINISUR IPS 1 LTDA</t>
  </si>
  <si>
    <t>JOSE OMAR NALAGON FIGUEROA</t>
  </si>
  <si>
    <t>Calle 27 Sur No 19-07</t>
  </si>
  <si>
    <t>2784705</t>
  </si>
  <si>
    <t>gerencia@clinisurips.com</t>
  </si>
  <si>
    <t>www.clinisurips.com</t>
  </si>
  <si>
    <t>1100109225</t>
  </si>
  <si>
    <t>CLUB DE LEONES BOGOTA ANTONIO NARIÑO</t>
  </si>
  <si>
    <t>MATALLANA ORTEGON CARLOS ANTONIO</t>
  </si>
  <si>
    <t>Carrera 95 # 85 10 Piso 1 INT 1</t>
  </si>
  <si>
    <t>4304181 - 4304184 - 3112436098</t>
  </si>
  <si>
    <t>leonesanarino@gmail.com</t>
  </si>
  <si>
    <t>110013907001</t>
  </si>
  <si>
    <t>CLUB INSPIRA SAS</t>
  </si>
  <si>
    <t>HUGO ALBERTO DELGADO SIMANCAS</t>
  </si>
  <si>
    <t>CALLE 140 11 45 OFICINA 713</t>
  </si>
  <si>
    <t>3208863290</t>
  </si>
  <si>
    <t>clubinspira.co@gmail.com</t>
  </si>
  <si>
    <t>110013627801</t>
  </si>
  <si>
    <t>CLÍNICA AZUL</t>
  </si>
  <si>
    <t>Juan Guillermos Salgado Arias</t>
  </si>
  <si>
    <t>KR 49 D # 91 33, piso 1,3,4,5,6,7,y 2 ala Norte</t>
  </si>
  <si>
    <t>3184871071</t>
  </si>
  <si>
    <t>calidadca@clinicaazul.co</t>
  </si>
  <si>
    <t>110014308601</t>
  </si>
  <si>
    <t>CLÍNICA BTS S.A.S.</t>
  </si>
  <si>
    <t>CR 19 NO 89-36 PISO 2 , 3 ZONA A , 4</t>
  </si>
  <si>
    <t>3126009800</t>
  </si>
  <si>
    <t>NOTIFICACIONES@BTSCLINICS.COM</t>
  </si>
  <si>
    <t>110012937401</t>
  </si>
  <si>
    <t>CLÍNICA COLOMBIANA DE CIRUGÍA PLÁSTICA S.A.S</t>
  </si>
  <si>
    <t>FABIAN BLANCHAR DIAZ</t>
  </si>
  <si>
    <t>AVENIDA CARRERA 45 N° 103B - 59 Piso 1</t>
  </si>
  <si>
    <t>7028510 - 3103005134</t>
  </si>
  <si>
    <t>ccdecirugiaplastica@gmail.com</t>
  </si>
  <si>
    <t>1100109186</t>
  </si>
  <si>
    <t>CLÍNICA COLSANITAS S.A.</t>
  </si>
  <si>
    <t>Maria Antonia Ortiz</t>
  </si>
  <si>
    <t>AC 100 11 B 67</t>
  </si>
  <si>
    <t>6252111</t>
  </si>
  <si>
    <t>www.colsanitas.com.co</t>
  </si>
  <si>
    <t>110013595701</t>
  </si>
  <si>
    <t>CLÍNICA DE CIRUGÍA PLÁSTICA CERO DOLOR S.A.S.</t>
  </si>
  <si>
    <t>ESTEBAN FRANCISCO ALMENAREZ DIAZ</t>
  </si>
  <si>
    <t>AK 45 102 A 03</t>
  </si>
  <si>
    <t>7027027/3023055895/3012137377</t>
  </si>
  <si>
    <t>dr.francoalmenarez@hotmail.com</t>
  </si>
  <si>
    <t>1100105725</t>
  </si>
  <si>
    <t>CLÍNICA DE NUESTRA SEÑORA DE LA PAZ</t>
  </si>
  <si>
    <t>RENDON DIAZ CARLOS MARIO</t>
  </si>
  <si>
    <t>carrera 69 # 12 - 75</t>
  </si>
  <si>
    <t>https://cllapaz.com.co</t>
  </si>
  <si>
    <t>110010598901</t>
  </si>
  <si>
    <t>CLÍNICA DE OJOS CLINOJOS</t>
  </si>
  <si>
    <t>6512121 EXT 203</t>
  </si>
  <si>
    <t>110014247101</t>
  </si>
  <si>
    <t>CLÍNICA DERMATÓLOGICA FIGURA PIEL Y LASER</t>
  </si>
  <si>
    <t>CLAUDIA MARCELA ARENAS SOTO</t>
  </si>
  <si>
    <t>Cl 99 No. 48 06 Cs 304</t>
  </si>
  <si>
    <t>3103359189</t>
  </si>
  <si>
    <t>skinmastersacademybyclaudiaare@gmail.com</t>
  </si>
  <si>
    <t>110010918681</t>
  </si>
  <si>
    <t>CLÍNICA EIRÉN</t>
  </si>
  <si>
    <t>Andrea Caballero Duque</t>
  </si>
  <si>
    <t>Avenida Carrera 7 146 65</t>
  </si>
  <si>
    <t>6016466060 EXT: 5717528</t>
  </si>
  <si>
    <t>110013511301</t>
  </si>
  <si>
    <t>CLÍNICA ESPECIALISTA DE COLOMBIA EN CORAZON S.A.S.</t>
  </si>
  <si>
    <t>MARIA ROCIO LOBO RUIZ</t>
  </si>
  <si>
    <t>AK 19 No. 102-53 OF 201</t>
  </si>
  <si>
    <t>3184113779</t>
  </si>
  <si>
    <t>marolocirujano@yahoo.es</t>
  </si>
  <si>
    <t>110014201801</t>
  </si>
  <si>
    <t>CLÍNICA FUNDACIÓN VASCULAR S.A.S</t>
  </si>
  <si>
    <t>Carlos Guillermo Vila Torres</t>
  </si>
  <si>
    <t>Ak 19 No. 120 - 71 Of 403</t>
  </si>
  <si>
    <t>3175166336</t>
  </si>
  <si>
    <t>gerencia@fundvascular.com</t>
  </si>
  <si>
    <t>110010918668</t>
  </si>
  <si>
    <t>CLÍNICA INFANTIL SANTA MARÍA DEL LAGO</t>
  </si>
  <si>
    <t>Mauricio Alejandro Pinto Tinoco</t>
  </si>
  <si>
    <t>CL 73 A NO. 76 66</t>
  </si>
  <si>
    <t>3406767</t>
  </si>
  <si>
    <t>110014163901</t>
  </si>
  <si>
    <t>CLÍNICA NUBIA CÁRDENAS MEDICINA ESTÉTICA S.A.S. SIGLA CLÍNICA NCME S.A.S.</t>
  </si>
  <si>
    <t>NUBIA MARITZA CARDENAS RINCON</t>
  </si>
  <si>
    <t>Cl 98 9 A 46 To 3 CS 201</t>
  </si>
  <si>
    <t>3187353385</t>
  </si>
  <si>
    <t>info@nubiacardenas.com</t>
  </si>
  <si>
    <t>110012278801</t>
  </si>
  <si>
    <t>CLÍNICA ODONTO LIFE SAS</t>
  </si>
  <si>
    <t>YENNY CRUZ SOTOCUE</t>
  </si>
  <si>
    <t>Cra 77 A N° 64 G-06 piso 2</t>
  </si>
  <si>
    <t>4308632</t>
  </si>
  <si>
    <t>info.odontolife@gmail.com</t>
  </si>
  <si>
    <t>110013737102</t>
  </si>
  <si>
    <t>CLÍNICA ODONTOLÓGICA GUERRERO ALVAREZ 24 HORAS S.A.S SIGLA COGA 24 HORAS S.A.S SEDE MINUTO DE DIOS</t>
  </si>
  <si>
    <t>NARLY TATIANA ÁLVAREZ PALACIOS</t>
  </si>
  <si>
    <t>TV 73A 82D 31 PISO 1</t>
  </si>
  <si>
    <t>3165542976</t>
  </si>
  <si>
    <t>odontologia.coga@gmail.com</t>
  </si>
  <si>
    <t>110010817169</t>
  </si>
  <si>
    <t>CLÍNICA OFTALMOLÓGICA COLSUBSIDIO</t>
  </si>
  <si>
    <t>JOVANNA ALEXANDRA CORREA</t>
  </si>
  <si>
    <t>Carrera 16 N° 75-73</t>
  </si>
  <si>
    <t>7420100 EXT 73070</t>
  </si>
  <si>
    <t>110013187101</t>
  </si>
  <si>
    <t>CLÍNICA SANTA TERESITA DE NORMANDIA</t>
  </si>
  <si>
    <t>ROCÍO CARRERO</t>
  </si>
  <si>
    <t>CARRERA 71 B Nº 51 - 09</t>
  </si>
  <si>
    <t>3012279350</t>
  </si>
  <si>
    <t>administracion@cencardio.com</t>
  </si>
  <si>
    <t>1100110488</t>
  </si>
  <si>
    <t>CLÍNICA VASCULAR DE BOGOTA ALBERTO MUÑOZ HOYOS SAS</t>
  </si>
  <si>
    <t>MUÑOZ HOYOS ALBERTO</t>
  </si>
  <si>
    <t>110012347106</t>
  </si>
  <si>
    <t>CLÍNICOS PROGRAMAS DE ATENCIÓN INTEGRAL S.A.S. IPS</t>
  </si>
  <si>
    <t>AV. AMÉRICAS 65-09</t>
  </si>
  <si>
    <t>110012834201</t>
  </si>
  <si>
    <t>CMG CIRUGIAGASTRO</t>
  </si>
  <si>
    <t>CARLOS MAURICIO GARCES C.</t>
  </si>
  <si>
    <t>KR 18 # 84 11 CONS 605-1</t>
  </si>
  <si>
    <t>2579955</t>
  </si>
  <si>
    <t>info@cmgcirugiagastro.com</t>
  </si>
  <si>
    <t>110013590202</t>
  </si>
  <si>
    <t>CMT CENTRO DE ESPECIALISTAS IPS</t>
  </si>
  <si>
    <t>ANA BEATRIZ SANABRIA HERNANDEZ</t>
  </si>
  <si>
    <t>Cra 26 # 1 H 65</t>
  </si>
  <si>
    <t>3219409134</t>
  </si>
  <si>
    <t>Gerencia@cmtespecialistas.com</t>
  </si>
  <si>
    <t>110013590201</t>
  </si>
  <si>
    <t>CMT CENTRO DE ESPECIALISTAS IPS SEDE ALCALA</t>
  </si>
  <si>
    <t>AVENIDA CARRERA 45 # 137 48</t>
  </si>
  <si>
    <t>110014272301</t>
  </si>
  <si>
    <t>CODENTMED IPS</t>
  </si>
  <si>
    <t>SONIA RUBIELA UNRIZA PUIN</t>
  </si>
  <si>
    <t>CARRERA 7 BIS 124 56 / 64 CONSULTORIO 609A</t>
  </si>
  <si>
    <t>3233885341</t>
  </si>
  <si>
    <t>codentmed@gmail.com</t>
  </si>
  <si>
    <t>110012836601</t>
  </si>
  <si>
    <t>COE CENTRO OCUPACIONAL EMPRESARIAL SAS SIGLA COE OCUPACIONAL</t>
  </si>
  <si>
    <t>MERCEDES YESENIA OLIVARES GALAN</t>
  </si>
  <si>
    <t>KR 28 # 53A 53 PISO 1 CONS 101 PISO 2 CONS 7</t>
  </si>
  <si>
    <t>6027862 - 3017858962</t>
  </si>
  <si>
    <t>COEOCUPACIONAL@GMAIL.COM</t>
  </si>
  <si>
    <t>110013884601</t>
  </si>
  <si>
    <t>COIDENTAL SAS</t>
  </si>
  <si>
    <t>JUAN PABLO GOMEZ ORDOÑEZ</t>
  </si>
  <si>
    <t>CR 16 88 81 OF 5042</t>
  </si>
  <si>
    <t>3125308332</t>
  </si>
  <si>
    <t>asistente.admin@coidental.com</t>
  </si>
  <si>
    <t>110011939701</t>
  </si>
  <si>
    <t>COLCHARTER IPS SAS</t>
  </si>
  <si>
    <t>Autopista Norte Km 16, Via Guaymaral Lote 9 , Manzana A / Aeropuerto Guaymaral</t>
  </si>
  <si>
    <t>3176409979</t>
  </si>
  <si>
    <t>direccionmedica@colcharter.com contabilidad@colcharter.com</t>
  </si>
  <si>
    <t>110010829303</t>
  </si>
  <si>
    <t>COLEGIO MAYOR DE NUESTRA SEÑORA DEL ROSARIO SEDE QUINTA DE MUTIS</t>
  </si>
  <si>
    <t>M</t>
  </si>
  <si>
    <t>CL 63 D # 24 31</t>
  </si>
  <si>
    <t>2125263</t>
  </si>
  <si>
    <t>girodri@urosario.edu.co</t>
  </si>
  <si>
    <t>110012329301</t>
  </si>
  <si>
    <t>COLMEDICOS BOGOTA</t>
  </si>
  <si>
    <t>SANTIAGO MOSQUERA PEREZ</t>
  </si>
  <si>
    <t>KR 19 A # 76 34</t>
  </si>
  <si>
    <t>3124727002 - 3102172318 - 3105041453 - 3229652518</t>
  </si>
  <si>
    <t>correspondencia.sgi@colmedicos.com</t>
  </si>
  <si>
    <t>110012329305</t>
  </si>
  <si>
    <t>COLMEDICOS BOGOTA LA CASTELLANA</t>
  </si>
  <si>
    <t>Santiago Mosquera Perez</t>
  </si>
  <si>
    <t>CL 97 A NO. 52-31</t>
  </si>
  <si>
    <t>110012329303</t>
  </si>
  <si>
    <t>COLMEDICOS BOGOTA LOS HEROES</t>
  </si>
  <si>
    <t>SANTIAGO MOSQUERA</t>
  </si>
  <si>
    <t>CL 79 A N 18 - 32 / 36</t>
  </si>
  <si>
    <t>110012329304</t>
  </si>
  <si>
    <t>COLMEDICOS BOGOTA MONTEVIDEO</t>
  </si>
  <si>
    <t>Santiago Mosquera</t>
  </si>
  <si>
    <t>Carrera 66 No 12 - 91</t>
  </si>
  <si>
    <t>110012329308</t>
  </si>
  <si>
    <t>COLMEDICOS BOGOTA PUENTE ARANDA</t>
  </si>
  <si>
    <t>AC 17 NO 65 B 80 LC 3</t>
  </si>
  <si>
    <t>110012329307</t>
  </si>
  <si>
    <t>COLMEDICOS BOGOTA TOBERIN</t>
  </si>
  <si>
    <t>CL 161A 20 12</t>
  </si>
  <si>
    <t>110012329309</t>
  </si>
  <si>
    <t>COLMEDICOS CALLE 82</t>
  </si>
  <si>
    <t>CL 82 19A 17</t>
  </si>
  <si>
    <t>110012329310</t>
  </si>
  <si>
    <t>COLMEDICOS PASEO VILLA DEL RIO</t>
  </si>
  <si>
    <t>DG 57 C SUR # 62 60 LC 403</t>
  </si>
  <si>
    <t>110012329311</t>
  </si>
  <si>
    <t>COLMEDICOS SEDE OLAYA</t>
  </si>
  <si>
    <t>JULIETH UMAÑA</t>
  </si>
  <si>
    <t>CALLE 27 SUR # 19 B 53</t>
  </si>
  <si>
    <t>3102172318- 3104837889 - 3229652518</t>
  </si>
  <si>
    <t>110012329306</t>
  </si>
  <si>
    <t>COLMEDICOS VIP</t>
  </si>
  <si>
    <t>CALLE 72 10 70 TORRE A PISO 5</t>
  </si>
  <si>
    <t>110012906903</t>
  </si>
  <si>
    <t>COLOMBIADENT</t>
  </si>
  <si>
    <t>JAIRO DAVID QUINTANA ORJUELA</t>
  </si>
  <si>
    <t>CL 65 S No. 78 H 51 LC 2 30</t>
  </si>
  <si>
    <t>2141915 3204492741</t>
  </si>
  <si>
    <t>gerencia@jairoquintana.com</t>
  </si>
  <si>
    <t>110011429102</t>
  </si>
  <si>
    <t>COLOMBIANA DE TRASPLANTES SEDE PRINCIPAL</t>
  </si>
  <si>
    <t>SERGIO DE JESUS SALCEDO HERRERA</t>
  </si>
  <si>
    <t>AV CARRERA 30 47 A 74</t>
  </si>
  <si>
    <t>018005190175</t>
  </si>
  <si>
    <t>ptejerina@colombianadetrasplantes.com</t>
  </si>
  <si>
    <t>1100119644</t>
  </si>
  <si>
    <t>COLOMBIANEST SAS</t>
  </si>
  <si>
    <t>BETANCUR FRANCO LUIS ANGEL</t>
  </si>
  <si>
    <t>CALLE 23 66-46 CS 403 - 404</t>
  </si>
  <si>
    <t>6940772 - 6945312</t>
  </si>
  <si>
    <t>acolombianest@yahoo.com.co</t>
  </si>
  <si>
    <t>110011693903</t>
  </si>
  <si>
    <t>COLSANITAS CONSULTORIO MEDICO CENTRAL DE EFECTIVO</t>
  </si>
  <si>
    <t>MARTHA LILIANA BURGOS</t>
  </si>
  <si>
    <t>CALLE 24 BIS No 66 - 90</t>
  </si>
  <si>
    <t>5895420</t>
  </si>
  <si>
    <t>110010817160</t>
  </si>
  <si>
    <t>COLSUBSIDIO CLINICA 94</t>
  </si>
  <si>
    <t>LILIAM ESPERANZA AZUERO ORJUELA</t>
  </si>
  <si>
    <t>Carrera 45 No. 94-67</t>
  </si>
  <si>
    <t>7420100 Ext. 10394 - 10383</t>
  </si>
  <si>
    <t>110010817162</t>
  </si>
  <si>
    <t>COLSUBSIDIO CLÍNICA 127</t>
  </si>
  <si>
    <t>MONICA ANDREA ORTEGA SANABRIA</t>
  </si>
  <si>
    <t>CALLE 127 # 15A -73</t>
  </si>
  <si>
    <t>3009109947 EXT 74692</t>
  </si>
  <si>
    <t>110011852801</t>
  </si>
  <si>
    <t>COLTRAUMA S.A.S</t>
  </si>
  <si>
    <t>JOSE FRANCISCO REYES COPELLO</t>
  </si>
  <si>
    <t>Calle 23 No. 66- 46 IN 4 CN 411</t>
  </si>
  <si>
    <t>601 9272898- 3142545198</t>
  </si>
  <si>
    <t>coltrauma@hotmail.com</t>
  </si>
  <si>
    <t>1100118528</t>
  </si>
  <si>
    <t>COLTRAUMA SOCIEDAD POR ACCIONES SIMPLIFICADA COLTRAUMA S.A.S</t>
  </si>
  <si>
    <t>ARTURO ENRIQUE SARMIENTO PIÑEROS</t>
  </si>
  <si>
    <t>Calle 23 No 66-46 IN 4 CN 411</t>
  </si>
  <si>
    <t>601 9272898 - 3142545198</t>
  </si>
  <si>
    <t>110012884001</t>
  </si>
  <si>
    <t>COMPAÑIA CALIDAD Y CUIDADO EN SALUD S A S SIGLA COMPCASA SAS</t>
  </si>
  <si>
    <t>KATHERINE MOSCOSO LIBREROS</t>
  </si>
  <si>
    <t>AV CL 6 # 78 - 11</t>
  </si>
  <si>
    <t>3178456270 - 7442838 - 3183270729</t>
  </si>
  <si>
    <t>calidad@compcasalud.com</t>
  </si>
  <si>
    <t>110012884003</t>
  </si>
  <si>
    <t>COMPAÑIA CALIDAD Y CUIDADO EN SALUD SAS</t>
  </si>
  <si>
    <t>Katherine Moscoso Libreros</t>
  </si>
  <si>
    <t>Calle 127b bis#45-77 CONSULTORIO 3-4</t>
  </si>
  <si>
    <t>3183270729</t>
  </si>
  <si>
    <t>1100116939</t>
  </si>
  <si>
    <t>COMPAÑIA DE MEDICINA PREPAGADA COLSANITAS S A</t>
  </si>
  <si>
    <t>MARIA DEL CARMEN JIMENEZ RODRIGUEZ</t>
  </si>
  <si>
    <t>CALLE 24 BIS No 66 - 90 - Barrio:SALITRE</t>
  </si>
  <si>
    <t>www.colsanitas.com</t>
  </si>
  <si>
    <t>110010733571</t>
  </si>
  <si>
    <t>COMPENSAR SEDE CALLE 122</t>
  </si>
  <si>
    <t>KR 16 No. 122 18 / 28 PI 1 CS 101</t>
  </si>
  <si>
    <t>110012004403</t>
  </si>
  <si>
    <t>COMPLEJO MEDICO LA ESTRADA</t>
  </si>
  <si>
    <t>JONATHAN LOPEZ LOPEZ</t>
  </si>
  <si>
    <t>AK 70 (AV ROJAS) # 66-14</t>
  </si>
  <si>
    <t>7337824</t>
  </si>
  <si>
    <t>gerente@incolger.com.co</t>
  </si>
  <si>
    <t>1100105322</t>
  </si>
  <si>
    <t>COMUNIDAD HERMANAS HOSPITALARIAS DEL SAGRADO CORAZON DE JESUS</t>
  </si>
  <si>
    <t>LIZARRONDO OLLO ANA MARIA</t>
  </si>
  <si>
    <t>1100107521</t>
  </si>
  <si>
    <t>CONGREGACION DE DOMINICAS DE SANTA CATALINA DE SENA</t>
  </si>
  <si>
    <t>MORENO MORENO AURA LUCIA</t>
  </si>
  <si>
    <t>CL 45F # 16A 11</t>
  </si>
  <si>
    <t>3274444 ext 530-515</t>
  </si>
  <si>
    <t>www.clinicanueva.com</t>
  </si>
  <si>
    <t>1100108952</t>
  </si>
  <si>
    <t>CONGREGACION DE LAS HERMANAS DE LA CARIDAD DOMINICAS DE LA PRESENTACION DE LA SANTISIMA VIRGEN</t>
  </si>
  <si>
    <t>GUEVARA SANDOVAL MARIA BETSABE</t>
  </si>
  <si>
    <t>110010793906</t>
  </si>
  <si>
    <t>CONSULTA EXTERNA CM - PISO 5</t>
  </si>
  <si>
    <t>Carrera 19C N° 90 - 30 Consultorios 504, 507 y 509</t>
  </si>
  <si>
    <t>110012509304</t>
  </si>
  <si>
    <t>CONSULTA EXTERNA VISIÓN COLOMBIA</t>
  </si>
  <si>
    <t>Calle 134 # 7-83 Torre 2 Piso 4 Consultorio 2</t>
  </si>
  <si>
    <t>3000930- 3212454161- 3204300686</t>
  </si>
  <si>
    <t>calidad@visioncolombia.com.co , Gerenciageneral@visioncolombia.com.co</t>
  </si>
  <si>
    <t>110010945608</t>
  </si>
  <si>
    <t>CONSULTORES EN PSICOLOGIA HUSI</t>
  </si>
  <si>
    <t>AC 34 # 15-77 1er Piso</t>
  </si>
  <si>
    <t>3208320 EXT. 5405-5407</t>
  </si>
  <si>
    <t>110012512801</t>
  </si>
  <si>
    <t>CONSULTORIO 1 LABORATORIO Y OPTICA ELITE</t>
  </si>
  <si>
    <t>CARLOS ALFONSO HERNANDEZ JIMENEZ</t>
  </si>
  <si>
    <t>CRA 9 No 18-51 LOCAL 115</t>
  </si>
  <si>
    <t>2841040</t>
  </si>
  <si>
    <t>laboelite@yahoo.com</t>
  </si>
  <si>
    <t>110012512802</t>
  </si>
  <si>
    <t>CONSULTORIO 2 LABORATORIO Y ÓPTICA ÉLITE</t>
  </si>
  <si>
    <t>CRA 9 No 18-30</t>
  </si>
  <si>
    <t>3424664</t>
  </si>
  <si>
    <t>110012512803</t>
  </si>
  <si>
    <t>CONSULTORIO 3 ÓPTICA PUNTO SELECTO</t>
  </si>
  <si>
    <t>CRA 9 No 18-38</t>
  </si>
  <si>
    <t>2812399</t>
  </si>
  <si>
    <t>110012473201</t>
  </si>
  <si>
    <t>CONSULTORIO BIOLOGICO MANDALAY S.A.S</t>
  </si>
  <si>
    <t>EDUARDO OTALORA ARIAS</t>
  </si>
  <si>
    <t>Av Las Americas No. 78 75</t>
  </si>
  <si>
    <t>4525520</t>
  </si>
  <si>
    <t>consultorio_biologico_mandalay@hotmail.com</t>
  </si>
  <si>
    <t>110010817121</t>
  </si>
  <si>
    <t>CONSULTORIO DE EMPRESA AV VILLAS Y BANCO DE OCCIDENTE</t>
  </si>
  <si>
    <t>VERONICA ANDREA MONTOYA BONILLA</t>
  </si>
  <si>
    <t>Carrera 13 # 26a -47 Consultorio 1</t>
  </si>
  <si>
    <t>7464000 ext 16185</t>
  </si>
  <si>
    <t>110010817122</t>
  </si>
  <si>
    <t>CONSULTORIO DE EMPRESA BANCO DE BOGOTA</t>
  </si>
  <si>
    <t>CL 36 # 7 47 PI 3 Consultorios 1y2</t>
  </si>
  <si>
    <t>3320032 Ext 51503</t>
  </si>
  <si>
    <t>110010817152</t>
  </si>
  <si>
    <t>CONSULTORIO DE EMPRESA DIAN NIVEL CENTRAL</t>
  </si>
  <si>
    <t>Cra. 7 No 6 C 54 Piso 3 CS 2,3 y 4</t>
  </si>
  <si>
    <t>6014823294 opción 9 ext 909678#</t>
  </si>
  <si>
    <t>110010817148</t>
  </si>
  <si>
    <t>CONSULTORIO DE EMPRESA EL TIEMPO</t>
  </si>
  <si>
    <t>Dg 44 # 68b-65</t>
  </si>
  <si>
    <t>601 2940100 ext 2361-2360</t>
  </si>
  <si>
    <t>110010911501</t>
  </si>
  <si>
    <t>CONSULTORIO DE RADIOLOGIA ORAL CHAPINERO S.A.S</t>
  </si>
  <si>
    <t>JUAN DAVID PELAEZ</t>
  </si>
  <si>
    <t>CL 63 # 11 - 45 CS 106</t>
  </si>
  <si>
    <t>601 3000812 - 3154175158 - 3158240770</t>
  </si>
  <si>
    <t>crochapinero@gmail.com</t>
  </si>
  <si>
    <t>110010405201</t>
  </si>
  <si>
    <t>CONSULTORIO DE RADIOLOGIA ORAL COUNTRY</t>
  </si>
  <si>
    <t>BEATRIZ HELENA MEJIA OSSA</t>
  </si>
  <si>
    <t>CL 85 # 12 10 Of 408</t>
  </si>
  <si>
    <t>1 (57) 2784188</t>
  </si>
  <si>
    <t>radiologicocountry@gmail.com</t>
  </si>
  <si>
    <t>1100104052</t>
  </si>
  <si>
    <t>CONSULTORIO DE RADIOLOGIA ORAL COUNTRY LTDA.</t>
  </si>
  <si>
    <t>Beatriz Helena Mejia Ossa</t>
  </si>
  <si>
    <t>CL 85 N. 12 10 OF 408</t>
  </si>
  <si>
    <t>6293929</t>
  </si>
  <si>
    <t>radiologico_country@hotmail.com</t>
  </si>
  <si>
    <t>www.rxcountry.com</t>
  </si>
  <si>
    <t>1100109115</t>
  </si>
  <si>
    <t>CONSULTORIO DE RADIOLOGÍA ORAL CHAPINERO S.A.S</t>
  </si>
  <si>
    <t>www.cro.com.co</t>
  </si>
  <si>
    <t>110012512805</t>
  </si>
  <si>
    <t>CONSULTORIO ELITE CRA 8</t>
  </si>
  <si>
    <t>Carrera 8 No. 17-14</t>
  </si>
  <si>
    <t>2825123</t>
  </si>
  <si>
    <t>110010793905</t>
  </si>
  <si>
    <t>CONSULTORIO ESPECIALISTAS CM (ANESTESIOLOGOS CLINICA DE LA MUJER)</t>
  </si>
  <si>
    <t>Monica Cuevas</t>
  </si>
  <si>
    <t>CARRERA 19C # 90-14 CONSULTORIO 604</t>
  </si>
  <si>
    <t>6161799 EXT 129</t>
  </si>
  <si>
    <t>1100118538</t>
  </si>
  <si>
    <t>CONSULTORIO MEDICINA DE LA ENERGIA SAS MEDINER SAS</t>
  </si>
  <si>
    <t>LUIS ALBERTO JIMENEZ GUZMAN</t>
  </si>
  <si>
    <t>KR 28 C # 84-34</t>
  </si>
  <si>
    <t>(57 1) 6231122</t>
  </si>
  <si>
    <t>medinerltda@gmail.com</t>
  </si>
  <si>
    <t>110010817123</t>
  </si>
  <si>
    <t>CONSULTORIO MEDICO CASA LUKER</t>
  </si>
  <si>
    <t>CL 13 # 68 -98 piso 1 consultorio1</t>
  </si>
  <si>
    <t>4473700 Ext 20622</t>
  </si>
  <si>
    <t>110010817127</t>
  </si>
  <si>
    <t>CONSULTORIO MEDICO MEXICHEM COLOMBIA SAS</t>
  </si>
  <si>
    <t>AUTOP SUR # 71 75</t>
  </si>
  <si>
    <t>7825000 EXT 4673</t>
  </si>
  <si>
    <t>110010426103</t>
  </si>
  <si>
    <t>CONSULTORIO RADIOLOGICO ORAL Y MAXILOFACIAL</t>
  </si>
  <si>
    <t>CL 96 # 10 29 CS 103</t>
  </si>
  <si>
    <t>110010575802</t>
  </si>
  <si>
    <t>CONSULTORIO REINA SOFIA</t>
  </si>
  <si>
    <t>ABELARDO MOTTA MURCIA</t>
  </si>
  <si>
    <t>AC 127 21 60 CS 201</t>
  </si>
  <si>
    <t>TEL. 6157477</t>
  </si>
  <si>
    <t>medicinaperinatal@yahoo.com</t>
  </si>
  <si>
    <t>110010509802</t>
  </si>
  <si>
    <t>CONTROLAR SALUD</t>
  </si>
  <si>
    <t>Claudia Patricia Tellez Jimenez</t>
  </si>
  <si>
    <t>Carrera 45a No 94 - 91</t>
  </si>
  <si>
    <t>7420428</t>
  </si>
  <si>
    <t>gerenciacomercial@controlarsalud.com</t>
  </si>
  <si>
    <t>1100105098</t>
  </si>
  <si>
    <t>CONTROLAR SALUD INTEGRAL S.A.S</t>
  </si>
  <si>
    <t>TELEZ JIMENEZ CLAUDIA PATRICIA</t>
  </si>
  <si>
    <t>KR 45 A # 94- 91</t>
  </si>
  <si>
    <t>110012034204</t>
  </si>
  <si>
    <t>CONVACARE CLINICS BOGOTA - HOMECARE</t>
  </si>
  <si>
    <t>ANGELICA ROZO</t>
  </si>
  <si>
    <t>CARRERA 29 B 79 30</t>
  </si>
  <si>
    <t>3214914169</t>
  </si>
  <si>
    <t>angelica.rozo@convatec.com</t>
  </si>
  <si>
    <t>110012034203</t>
  </si>
  <si>
    <t>CONVACARE CLINICS BOGOTA -COUNTRY</t>
  </si>
  <si>
    <t>SONIA CIFUENTES LUGO</t>
  </si>
  <si>
    <t>Calle 82 No 18 - 27 y 31</t>
  </si>
  <si>
    <t>3176351438</t>
  </si>
  <si>
    <t>sonia.cifuentes@convatec.com</t>
  </si>
  <si>
    <t>110012885801</t>
  </si>
  <si>
    <t>COOPERATIVA DE TRABAJO ASOCIADO CEPA SALUD IPS SIGLA CEPA SALUD IPS CTA</t>
  </si>
  <si>
    <t>NIDIA JACQUELINE FORERO FLORIAN</t>
  </si>
  <si>
    <t>DIAGONAL 45 84 - 14 URBANIZACION SANTA CECILIA CENTRO EMPRESARIAL DORADO PLAZALOCAL A 236</t>
  </si>
  <si>
    <t>7040433-3099519</t>
  </si>
  <si>
    <t>direccioncepaipscta@gmail.com</t>
  </si>
  <si>
    <t>110010003201</t>
  </si>
  <si>
    <t>COOPERATIVA PARA LA SALUD ORAL ORALCOOP</t>
  </si>
  <si>
    <t>PEDRO ANDRES MANTILLA DURAN</t>
  </si>
  <si>
    <t>KR 64 # 100 55</t>
  </si>
  <si>
    <t>5330539-3134241468</t>
  </si>
  <si>
    <t>oralcoop@oralcoop.com</t>
  </si>
  <si>
    <t>110012966901</t>
  </si>
  <si>
    <t>CORAZON &amp; ELECTROFISIOLOGIA COUNTRY SAS</t>
  </si>
  <si>
    <t>MAURICIO FERNANDO CABRALES NEIRA</t>
  </si>
  <si>
    <t>CALLE 83 No. 16A-44 CONS 302</t>
  </si>
  <si>
    <t>3168312389</t>
  </si>
  <si>
    <t>corazonyelectrofisiologia@hotmail.com</t>
  </si>
  <si>
    <t>110013830801</t>
  </si>
  <si>
    <t>CORAZON &amp; VIDA IPS SAS</t>
  </si>
  <si>
    <t>GLORIA IRENE TORRES MORA</t>
  </si>
  <si>
    <t>Dg 40 A # 7 40 Of 209</t>
  </si>
  <si>
    <t>3114701494</t>
  </si>
  <si>
    <t>infocorazonyvida@gmail.com</t>
  </si>
  <si>
    <t>110010911603</t>
  </si>
  <si>
    <t>CORPAS COMUNITARIA-LISBOA IPS</t>
  </si>
  <si>
    <t>Gloria Ines Piñeros Ricardo</t>
  </si>
  <si>
    <t>carrera 150D Nª 132A-21, piso 1,2,3,4</t>
  </si>
  <si>
    <t>6865000</t>
  </si>
  <si>
    <t>sharon-mc@juanncorpas.edu.co</t>
  </si>
  <si>
    <t>1100118006</t>
  </si>
  <si>
    <t>CORPOALEGRIA</t>
  </si>
  <si>
    <t>JEANNETTE ROSAS</t>
  </si>
  <si>
    <t>CALLE 74A No 23-48 BARRIO:SAN FELIPE</t>
  </si>
  <si>
    <t>6960103-3108039756</t>
  </si>
  <si>
    <t>contacto@corpoalegria.org</t>
  </si>
  <si>
    <t>WWW.CORPOALEGRIA.ORG</t>
  </si>
  <si>
    <t>110012408601</t>
  </si>
  <si>
    <t>CORPOPAT SAS</t>
  </si>
  <si>
    <t>Jorge Alfonso Jerez Lopez</t>
  </si>
  <si>
    <t>CARRERA 18 # 84 - 11 CONSULTORIO 602</t>
  </si>
  <si>
    <t>7028998 - 3115929290</t>
  </si>
  <si>
    <t>laboratoriocorpopat@hotmail.com</t>
  </si>
  <si>
    <t>110012073401</t>
  </si>
  <si>
    <t>CORPORACION CENTRO HOLISTICO CCH</t>
  </si>
  <si>
    <t>MAURICIO PORRAS LAVERDE</t>
  </si>
  <si>
    <t>Calle 118 No 20-13</t>
  </si>
  <si>
    <t>6298496</t>
  </si>
  <si>
    <t>info@centro-holistico.com</t>
  </si>
  <si>
    <t>1100114648</t>
  </si>
  <si>
    <t>CORPORACION PARA LA ATENCION Y EL DIAGNOSTICO DE ENFERMEDADES-MILAGROZ</t>
  </si>
  <si>
    <t>TANIA AMERICA GONZALEZ MILLARES</t>
  </si>
  <si>
    <t>CL 39 # 19 39 PI 1</t>
  </si>
  <si>
    <t>3222061</t>
  </si>
  <si>
    <t>dss@corporacionmilagroz.com</t>
  </si>
  <si>
    <t>110011464801</t>
  </si>
  <si>
    <t>CORPORACION PARA LA ATENCIÓN Y EL DIAGNOSTICO DE ENFERMEDADES-MILAGROZ</t>
  </si>
  <si>
    <t>CATIA DEL CARMEN CAÑATE TUÑON</t>
  </si>
  <si>
    <t>3222061-3125869801</t>
  </si>
  <si>
    <t>110012164901</t>
  </si>
  <si>
    <t>CORPORACION SIGUE MIS HUELLAS</t>
  </si>
  <si>
    <t>SANDRA LOSSA RODRIGUEZ</t>
  </si>
  <si>
    <t>Carrera 19 C No. 22 - 20 Sur</t>
  </si>
  <si>
    <t>3729439</t>
  </si>
  <si>
    <t>corpo_siguemishuellas@hotmail.com</t>
  </si>
  <si>
    <t>1100101990</t>
  </si>
  <si>
    <t>CORPORACION SINDROME DE DOWN</t>
  </si>
  <si>
    <t>PEREZ ARCINIEGAS MAURICIO</t>
  </si>
  <si>
    <t>CARRERA 49 # 99 - 10</t>
  </si>
  <si>
    <t>3125226979</t>
  </si>
  <si>
    <t>administracion@corporacionsindromededown.org</t>
  </si>
  <si>
    <t>1100118642</t>
  </si>
  <si>
    <t>CORPORACIÓN HOSPITALARIA JUAN CIUDAD</t>
  </si>
  <si>
    <t>Guillermo Villamil</t>
  </si>
  <si>
    <t>CL 24 # 29 45</t>
  </si>
  <si>
    <t>7055999</t>
  </si>
  <si>
    <t>ana.ulloa@mederi.com.co</t>
  </si>
  <si>
    <t>110010958401</t>
  </si>
  <si>
    <t>CORSANEMOS IPS</t>
  </si>
  <si>
    <t>DANIELA GIRALDO RICO</t>
  </si>
  <si>
    <t>Calle 72 B No. 71 D - 30</t>
  </si>
  <si>
    <t>9260143 - 9260555 - 3108544097</t>
  </si>
  <si>
    <t>corsanemosltda@yahoo.com</t>
  </si>
  <si>
    <t>1100109584</t>
  </si>
  <si>
    <t>CORSANEMOS SAS</t>
  </si>
  <si>
    <t>MAX ARTURO HEIDENRECH DIAZ</t>
  </si>
  <si>
    <t>gerencia@corsanemos.com</t>
  </si>
  <si>
    <t>www.corsanemos.com</t>
  </si>
  <si>
    <t>110010448801</t>
  </si>
  <si>
    <t>COUNTRY SCAN LTDA</t>
  </si>
  <si>
    <t>CESAR ANDRES SABOGAL GUTIERREZ</t>
  </si>
  <si>
    <t>KR 16 # 82 - 57 P2 CONSULTORIO 1 Y 2</t>
  </si>
  <si>
    <t>3797910 - 3797940</t>
  </si>
  <si>
    <t>countryscanltda@rmcs.com.co</t>
  </si>
  <si>
    <t>1100104488</t>
  </si>
  <si>
    <t>COUNTRY SCAN SAS</t>
  </si>
  <si>
    <t>ADRIANA CALDERON SAAVEDRA</t>
  </si>
  <si>
    <t>CARRERA 16 A 82 37 PISO 2 OFICINA 3</t>
  </si>
  <si>
    <t>3909550-3907836</t>
  </si>
  <si>
    <t>countryscanltda@imagenesdiagnosticasdelcountry.com</t>
  </si>
  <si>
    <t>1100109178</t>
  </si>
  <si>
    <t>CPO S A</t>
  </si>
  <si>
    <t>JIMENEZ GONZALEZ NASLY TATIANA</t>
  </si>
  <si>
    <t>110014309001</t>
  </si>
  <si>
    <t>CRC CERTICONDUCIR IPS SAS</t>
  </si>
  <si>
    <t>JOHAN STEVEN NOVOA BARRETO</t>
  </si>
  <si>
    <t>Transversal 73 D 38 C 09 S P 1</t>
  </si>
  <si>
    <t>3243977795</t>
  </si>
  <si>
    <t>admoncerticonducircrc@gmail.com</t>
  </si>
  <si>
    <t>110013929601</t>
  </si>
  <si>
    <t>CRC EXPRES SALUD</t>
  </si>
  <si>
    <t>MILENA PATRICIA ARAUJO MEDINA</t>
  </si>
  <si>
    <t>CALLE 168 #22 49 PISO 1</t>
  </si>
  <si>
    <t>3142249240</t>
  </si>
  <si>
    <t>EXPRESSALUDSAS@GMAIL.COM</t>
  </si>
  <si>
    <t>110012822501</t>
  </si>
  <si>
    <t>CRC FUTURO IPS</t>
  </si>
  <si>
    <t>Edgardo René Noguera Mendoza</t>
  </si>
  <si>
    <t>Calle 161 A # 17 - 15</t>
  </si>
  <si>
    <t>7436904 - 7436897</t>
  </si>
  <si>
    <t>crcfuturo@gmail.com</t>
  </si>
  <si>
    <t>110014277001</t>
  </si>
  <si>
    <t>CRC INPROSALUD PLUS SUR BOGOTA</t>
  </si>
  <si>
    <t>LEIDY PAOLA CASTIBLANCO FAJARDO</t>
  </si>
  <si>
    <t>DIAGONAL 57 C SUR 62 60 LOCAL 303</t>
  </si>
  <si>
    <t>3118256008</t>
  </si>
  <si>
    <t>paola.castiblanco@inprosalud.com.co</t>
  </si>
  <si>
    <t>110013516101</t>
  </si>
  <si>
    <t>CRC IPS ALPHA MEDI S.A.S.</t>
  </si>
  <si>
    <t>MIGUEL ANGEL DIAZ GARCIA</t>
  </si>
  <si>
    <t>KR 74A 52A 11</t>
  </si>
  <si>
    <t>7893192 - 3202032821</t>
  </si>
  <si>
    <t>antonymar2004@yahoo.com</t>
  </si>
  <si>
    <t>110014112301</t>
  </si>
  <si>
    <t>CRC OCCIMETRIC IPS</t>
  </si>
  <si>
    <t>DEIVI FIGUEREDO GOMEZ</t>
  </si>
  <si>
    <t>Av Cll 80 # 71 19 Entrada 1 Pisos 1, 2 ,3 Y 4</t>
  </si>
  <si>
    <t>3194403413</t>
  </si>
  <si>
    <t>newconsultingips@gmail.com</t>
  </si>
  <si>
    <t>110012736401</t>
  </si>
  <si>
    <t>CRC PROFESIONALES DE LA SALUD VILLA MAYOR</t>
  </si>
  <si>
    <t>JORGE ARTURO MOSQUERA JIMENEZ</t>
  </si>
  <si>
    <t>TRANSVERSAL 35 # 32 B - 36 SUR</t>
  </si>
  <si>
    <t>5614385</t>
  </si>
  <si>
    <t>gerencia@crcocupacional.com</t>
  </si>
  <si>
    <t>110013915401</t>
  </si>
  <si>
    <t>CREEMOS EN TI ATENCION INTEGRAL IPS SAS</t>
  </si>
  <si>
    <t>MONICA PATRICIA VEJARANO VELANDIA</t>
  </si>
  <si>
    <t>Tv 28 A No. 39 - 08 P 1</t>
  </si>
  <si>
    <t>3183023024</t>
  </si>
  <si>
    <t>creemosentiatencionintegralips@gmail.com</t>
  </si>
  <si>
    <t>110014275901</t>
  </si>
  <si>
    <t>CRISTIAN ORTIZ - ESCULTOR DE SONRISAS</t>
  </si>
  <si>
    <t>CRISTIAN ALONSO ORTIZ CANTE</t>
  </si>
  <si>
    <t>Calle 127 A # 7 - 19 Consultorio 407</t>
  </si>
  <si>
    <t>3226875577</t>
  </si>
  <si>
    <t>crorc@icloud.com</t>
  </si>
  <si>
    <t>110013759901</t>
  </si>
  <si>
    <t>CROMA MEDICAL IPS SAS</t>
  </si>
  <si>
    <t>SULAY GUTIERREZ MOLINA</t>
  </si>
  <si>
    <t>CARRERA 45 A 103 44</t>
  </si>
  <si>
    <t>3175490487</t>
  </si>
  <si>
    <t>sulygutierrez9@gmail.com</t>
  </si>
  <si>
    <t>110012491801</t>
  </si>
  <si>
    <t>CROMAX PAOLA TRIANA MUÑOZ</t>
  </si>
  <si>
    <t>PAOLA TRIANA MUÑOZ</t>
  </si>
  <si>
    <t>CARRERA 112A No. 78D - 08</t>
  </si>
  <si>
    <t>2294872</t>
  </si>
  <si>
    <t>paola_triana1@hotmail.com</t>
  </si>
  <si>
    <t>110012491802</t>
  </si>
  <si>
    <t>CROMAX3D SEDE ALAMOS NORTE</t>
  </si>
  <si>
    <t>CARRERA 101 # 72 - 33</t>
  </si>
  <si>
    <t>6376794</t>
  </si>
  <si>
    <t>110012491803</t>
  </si>
  <si>
    <t>CROMAX3D UNICENTRO</t>
  </si>
  <si>
    <t>CARRERA 15 # 118 41 OFICINA 406</t>
  </si>
  <si>
    <t>6017312785</t>
  </si>
  <si>
    <t>inversionescromax@gmail.com</t>
  </si>
  <si>
    <t>1100106453</t>
  </si>
  <si>
    <t>CRUZ ROJA COLOMBIANA SECCIONAL CUNDINAMARCA Y BOGOTA</t>
  </si>
  <si>
    <t>ARANGO LONDOÑO MARIA VIRGINIA</t>
  </si>
  <si>
    <t>CARRERA 23 No. 73-19</t>
  </si>
  <si>
    <t>7460909</t>
  </si>
  <si>
    <t>dsalud@cruzrojabogota.org.co</t>
  </si>
  <si>
    <t>110010645319</t>
  </si>
  <si>
    <t>CRUZ ROJA COLOMBIANA SECCIONAL CUNDINAMARCA Y BOGOTA SEDE ALQUERIA</t>
  </si>
  <si>
    <t>GABRIEL CAMERO RAMOS</t>
  </si>
  <si>
    <t>Av. CRA. 68 No. 31 - 41 SUR</t>
  </si>
  <si>
    <t>110010645322</t>
  </si>
  <si>
    <t>CRUZ ROJA COLOMBIANA SECCIONAL CUNDINAMARCA Y BOGOTA SEDE CALLE 73</t>
  </si>
  <si>
    <t>KR 23 # 73 19 TO A PI 1-2-3</t>
  </si>
  <si>
    <t>7460909 EXT 102 103</t>
  </si>
  <si>
    <t>110010645318</t>
  </si>
  <si>
    <t>CRUZ ROJA COLOMBIANA SECCIONAL CUNDINAMARCA Y BOGOTA SEDE NORTE</t>
  </si>
  <si>
    <t>AC 134 NO. 7 B-41 PUERTA 2 Piso 1 y Piso 2, Excepto el Laboratorio Clínico y Toma de Muestras del Piso 1</t>
  </si>
  <si>
    <t>110010645306</t>
  </si>
  <si>
    <t>CRUZ ROJA COLOMBIANA SECCIONAL CUNDINAMARCA Y BOGOTA SERVICIO DE VACUNACION UNICENTRO</t>
  </si>
  <si>
    <t>AV 15 # 123 30 ENTRADA 3</t>
  </si>
  <si>
    <t>110012252301</t>
  </si>
  <si>
    <t>CTM DENTAL CARE ODONTOLOGIA ESPECIALIZADA SAS</t>
  </si>
  <si>
    <t>CLAUDIA DEL PILAR TORRES MORALES</t>
  </si>
  <si>
    <t>TRANSVERSAL 35 No 39 41 SUR</t>
  </si>
  <si>
    <t>8050292-3102398823</t>
  </si>
  <si>
    <t>klau.06@gmail.com</t>
  </si>
  <si>
    <t>110012644501</t>
  </si>
  <si>
    <t>CUIDANDOTE EN CASA SAS</t>
  </si>
  <si>
    <t>Dora Rátiva Alberto</t>
  </si>
  <si>
    <t>AV CRA 19 #95-51 CONS 202</t>
  </si>
  <si>
    <t>3598324 - 3112300389</t>
  </si>
  <si>
    <t>cuidandoteencasasas@gmail.com</t>
  </si>
  <si>
    <t>110013791401</t>
  </si>
  <si>
    <t>CUIDARPLUS SAS SIGLA CUIDARPLUS</t>
  </si>
  <si>
    <t>Angela Carolina Ocampo Garzón</t>
  </si>
  <si>
    <t>Calle 140 11 45 Consultorio 311</t>
  </si>
  <si>
    <t>3504780341</t>
  </si>
  <si>
    <t>carolina.ocampo@cuidarplusips.com</t>
  </si>
  <si>
    <t>110011931701</t>
  </si>
  <si>
    <t>CUIDARTE TU SALUD S.A.S</t>
  </si>
  <si>
    <t>AVENIDA CALLE 63 # 69F-26</t>
  </si>
  <si>
    <t>1100119317</t>
  </si>
  <si>
    <t>CUIDARTE TU SALUD S.A.S.</t>
  </si>
  <si>
    <t>JORGE BARBOSA SANTIBAÑEZ</t>
  </si>
  <si>
    <t>110013334803</t>
  </si>
  <si>
    <t>CUMBRE SALUD OCUPACIONAL SAS SEDE ALTURAS</t>
  </si>
  <si>
    <t>Jose Rodrigo Robles Camacho</t>
  </si>
  <si>
    <t>CARRERA 21 # 68 - 56 In 1</t>
  </si>
  <si>
    <t>3132485483</t>
  </si>
  <si>
    <t>gerencia@cumbrecolombia.com</t>
  </si>
  <si>
    <t>110012837301</t>
  </si>
  <si>
    <t>Cencisalud SAS</t>
  </si>
  <si>
    <t>JUAN ALBERTO BENAVIDES CUADROS</t>
  </si>
  <si>
    <t>AK 45 114-78 OFC 402</t>
  </si>
  <si>
    <t>3003279</t>
  </si>
  <si>
    <t>ja.benavides10@uniandes.edu.co</t>
  </si>
  <si>
    <t>110011104811</t>
  </si>
  <si>
    <t>Cendiatra Connecta</t>
  </si>
  <si>
    <t>Ac 26 No 92 - 32 Ed Connecta Plaza Lc 4</t>
  </si>
  <si>
    <t>110011104809</t>
  </si>
  <si>
    <t>Cendiatra Norte 86</t>
  </si>
  <si>
    <t>Manuel Enrique Castellanos</t>
  </si>
  <si>
    <t>Carrera 20 N° 86 - 65</t>
  </si>
  <si>
    <t>110013304301</t>
  </si>
  <si>
    <t>Centro Colombiano De Endocrinologia y Fertilidad SAS CORNEL SAS</t>
  </si>
  <si>
    <t>GLORIA PATRICIA MORENO ARDILA</t>
  </si>
  <si>
    <t>Av Calle 134 NO. 7 83 TO 3 P 2 MD 321-235</t>
  </si>
  <si>
    <t>2593363</t>
  </si>
  <si>
    <t>info@cornel.com.co</t>
  </si>
  <si>
    <t>110012752301</t>
  </si>
  <si>
    <t>Centro Colombiano de Diagnóstico de Melanoma y Lesiones Pigmentadas SAS / sigla: CCDIMEL SAS</t>
  </si>
  <si>
    <t>César Augusto Merlano Soto</t>
  </si>
  <si>
    <t>K 16 No. 82-29 consultorio 402</t>
  </si>
  <si>
    <t>6913344 - 3503359254</t>
  </si>
  <si>
    <t>ccedimel.sas@gmail.com</t>
  </si>
  <si>
    <t>110010911105</t>
  </si>
  <si>
    <t>Centro Medico Ambulatorio La Cardio102</t>
  </si>
  <si>
    <t>Juan Gabriel Cendales Rey</t>
  </si>
  <si>
    <t>AK 19 102 31 LC2</t>
  </si>
  <si>
    <t>6672727</t>
  </si>
  <si>
    <t>pcasallas@lacardio.org</t>
  </si>
  <si>
    <t>110010561813</t>
  </si>
  <si>
    <t>Centro Médico y de Atención Prioritaria Gran Estación</t>
  </si>
  <si>
    <t>Henry Mauricio Gallardo Lozano</t>
  </si>
  <si>
    <t>Cra 60 # 24- 09 L 2- 29. Centro comercial Gran Estación Costado Esfera</t>
  </si>
  <si>
    <t>6030303</t>
  </si>
  <si>
    <t>adriana.urrego@fsfb.org.co</t>
  </si>
  <si>
    <t>110012760001</t>
  </si>
  <si>
    <t>Centro Nacional de Enfermedades Huerfanas y Linfedema IPS SAS CENEH IPS SAS</t>
  </si>
  <si>
    <t>Alejandro Molina Hernandez</t>
  </si>
  <si>
    <t>KR 16 # 82 29 CS 209</t>
  </si>
  <si>
    <t>3104147-3002118222</t>
  </si>
  <si>
    <t>secre@alejandromolinamd.com</t>
  </si>
  <si>
    <t>1100119216</t>
  </si>
  <si>
    <t>Centro Odontologico y Pediatrico Sante S.A.S.</t>
  </si>
  <si>
    <t>Angela Patricia Davila Calle</t>
  </si>
  <si>
    <t>calle 128 N 172- 80 loc 1.</t>
  </si>
  <si>
    <t>6240909 - 3188270553</t>
  </si>
  <si>
    <t>administracion@soskids.net</t>
  </si>
  <si>
    <t>www.soskids.net</t>
  </si>
  <si>
    <t>110011623719</t>
  </si>
  <si>
    <t>Centro Optico Keralty Zona Sur</t>
  </si>
  <si>
    <t>Avenida Calle 9 # 62-84 Piso 2 Locales 2-30 y 2-31</t>
  </si>
  <si>
    <t>3153059897</t>
  </si>
  <si>
    <t>110011623708</t>
  </si>
  <si>
    <t>Centro Optico keralty Cll 134 ED Bosque</t>
  </si>
  <si>
    <t>CL 134 # 7B - 83 CONSULTORIOS 518-519-520-521-522</t>
  </si>
  <si>
    <t>6273688 - 3153059897</t>
  </si>
  <si>
    <t>110011623703</t>
  </si>
  <si>
    <t>Centro Optico keralty Cll 95</t>
  </si>
  <si>
    <t>CARRERA 14 # 95 - 69</t>
  </si>
  <si>
    <t>6223722-3153059897</t>
  </si>
  <si>
    <t>110011623704</t>
  </si>
  <si>
    <t>Centro Optico keralty Clínica Colombia</t>
  </si>
  <si>
    <t>CL 23 66 46 INT 4 LC 103 y CONSULTORIOS 1123 y 1125</t>
  </si>
  <si>
    <t>5948650 EXT 5716165 -3153059897</t>
  </si>
  <si>
    <t>110011623718</t>
  </si>
  <si>
    <t>Centro Optico keralty Galerias</t>
  </si>
  <si>
    <t>ANA PAOLA GARCIA</t>
  </si>
  <si>
    <t>CALLE 53 NUMERO 25- 55</t>
  </si>
  <si>
    <t>7459203- 7435907</t>
  </si>
  <si>
    <t>110011623716</t>
  </si>
  <si>
    <t>Centro Optico keralty Restrepo</t>
  </si>
  <si>
    <t>CARRERA 18 # 16 - 46 SUR PISO 2 CONSULTORIO DE OPTOMETRIA 1</t>
  </si>
  <si>
    <t>6466060 EXT 5719101- 3153059897</t>
  </si>
  <si>
    <t>110011623714</t>
  </si>
  <si>
    <t>Centro Optico keralty Suba</t>
  </si>
  <si>
    <t>AV Calle 145 # 103B -65 local 210 -211</t>
  </si>
  <si>
    <t>6922460 - 3153059897</t>
  </si>
  <si>
    <t>110011623709</t>
  </si>
  <si>
    <t>Centro Optico keralty Unicentro Occidente</t>
  </si>
  <si>
    <t>CR 111C # 86-05 LC 2-47 CC UNICENTRO DE OCCIDENTE</t>
  </si>
  <si>
    <t>4919577- 3153059897</t>
  </si>
  <si>
    <t>110011623717</t>
  </si>
  <si>
    <t>Centro Optico keralty Villa del Rio</t>
  </si>
  <si>
    <t>Dg 57C Sur # 62-60 CC. Paseo Villa del Rio Local 403</t>
  </si>
  <si>
    <t>6466060 EXT 5710742 - 3153059897</t>
  </si>
  <si>
    <t>110011723401</t>
  </si>
  <si>
    <t>Centro Radiologico Maxilofacial Mandalay</t>
  </si>
  <si>
    <t>Daniel AntonioTorres Romero</t>
  </si>
  <si>
    <t>Carrera 73 # 5C 27 Piso 1 entrada Plazoleta</t>
  </si>
  <si>
    <t>3107775820</t>
  </si>
  <si>
    <t>ortocidltda@gmail.com</t>
  </si>
  <si>
    <t>110012279201</t>
  </si>
  <si>
    <t>Centro de Adelgazamiento Fast Bogota SAS</t>
  </si>
  <si>
    <t>Karen Ferreira</t>
  </si>
  <si>
    <t>CRA 46 NO. 94-43 P.1</t>
  </si>
  <si>
    <t>2567586</t>
  </si>
  <si>
    <t>fastbogota@gmail.com</t>
  </si>
  <si>
    <t>110010561816</t>
  </si>
  <si>
    <t>Centro de Atención Prioritaria más Cerca Chicó</t>
  </si>
  <si>
    <t>Calle 92 # 15-80</t>
  </si>
  <si>
    <t>110010559733</t>
  </si>
  <si>
    <t>Centro de Atención en Salud Cafam Avenida Americas</t>
  </si>
  <si>
    <t>Gustavo Moreno Espitia</t>
  </si>
  <si>
    <t>Calle 6 A # 70B-58</t>
  </si>
  <si>
    <t>110010559712</t>
  </si>
  <si>
    <t>Centro de Atención en Salud Cafam Calle 48</t>
  </si>
  <si>
    <t>KR 13 # 48-47</t>
  </si>
  <si>
    <t>110010559701</t>
  </si>
  <si>
    <t>Centro de Atención en Salud Cafam Calle 51</t>
  </si>
  <si>
    <t>Kr 15 No. 51 - 35</t>
  </si>
  <si>
    <t>110010559741</t>
  </si>
  <si>
    <t>Centro de Atención en Salud Cafam Calle 72</t>
  </si>
  <si>
    <t>Carrera 29 B # 71C-56 Piso 1</t>
  </si>
  <si>
    <t>5550700 Ext 12017-12015</t>
  </si>
  <si>
    <t>110010559730</t>
  </si>
  <si>
    <t>Centro de Atención en Salud Cafam Calle 90</t>
  </si>
  <si>
    <t>Carrera 17 N° 90 - 13</t>
  </si>
  <si>
    <t>110010559713</t>
  </si>
  <si>
    <t>Centro de Atención en Salud Cafam Centenario</t>
  </si>
  <si>
    <t>Calle 27 Nº 26- 24 Sur</t>
  </si>
  <si>
    <t>110010559740</t>
  </si>
  <si>
    <t>Centro de Atención en Salud Cafam Centro</t>
  </si>
  <si>
    <t>Carrera 8 #15-73 Piso 2 y Piso 3</t>
  </si>
  <si>
    <t>5550700 ext 12017 314 4349485</t>
  </si>
  <si>
    <t>110010559702</t>
  </si>
  <si>
    <t>Centro de Atención en Salud Cafam Clínica Calle 51</t>
  </si>
  <si>
    <t>ASMED RIGOBERTO RAMIREZ ROMERO</t>
  </si>
  <si>
    <t>Calle 51 No. 15- 34</t>
  </si>
  <si>
    <t>110010559735</t>
  </si>
  <si>
    <t>Centro de Atención en Salud Cafam Clínica Calle 93</t>
  </si>
  <si>
    <t>Edgar Leonardo Vargas Vargas</t>
  </si>
  <si>
    <t>CL 93 # 19 B 77 y CL 93 # 19 B 95</t>
  </si>
  <si>
    <t>5550700 Extensión 12017 - 12015</t>
  </si>
  <si>
    <t>110010559737</t>
  </si>
  <si>
    <t>Centro de Atención en Salud Cafam Clínica Santa Bárbara</t>
  </si>
  <si>
    <t>Giovanni Santos Perdomo</t>
  </si>
  <si>
    <t>Avenida calle 127 # 16 A - 27</t>
  </si>
  <si>
    <t>5550700 EXT 12017-12015</t>
  </si>
  <si>
    <t>110010559726</t>
  </si>
  <si>
    <t>Centro de Atención en Salud Cafam El Bosque</t>
  </si>
  <si>
    <t>Calle 134 No. 7-83 modulo 211 ( Torre 2 piso 1 modulo 1) y modulo 212 ( Torre 2 piso 1 modulo 2)</t>
  </si>
  <si>
    <t>110010559704</t>
  </si>
  <si>
    <t>Centro de Atención en Salud Cafam Floresta</t>
  </si>
  <si>
    <t>AK 68 No.90-88</t>
  </si>
  <si>
    <t>110010559714</t>
  </si>
  <si>
    <t>Centro de Atención en Salud Cafam Granada Hills</t>
  </si>
  <si>
    <t>Kr. 45 Nº 146 - 48 piso 2</t>
  </si>
  <si>
    <t>110010559705</t>
  </si>
  <si>
    <t>Centro de Atención en Salud Cafam Kennedy</t>
  </si>
  <si>
    <t>CRA 78 K 37 A 53 SUR</t>
  </si>
  <si>
    <t>110010559727</t>
  </si>
  <si>
    <t>Centro de Atención en Salud Cafam Procuraduría</t>
  </si>
  <si>
    <t>cra 5 no 15 80 piso 2</t>
  </si>
  <si>
    <t>110010559711</t>
  </si>
  <si>
    <t>Centro de Atención en Salud Cafam Suba</t>
  </si>
  <si>
    <t>KR 113 C # 142 A 98</t>
  </si>
  <si>
    <t>110010559732</t>
  </si>
  <si>
    <t>Centro de Cardiologia Cafam La Castellana</t>
  </si>
  <si>
    <t>Carrera 46 N° 95-56 Consultorios: 201, 202, 203, 204, 205, 303, 304, 306 y 405</t>
  </si>
  <si>
    <t>1100116069</t>
  </si>
  <si>
    <t>Centro de Dermatologia y Cirugia Plástica del Country SAS</t>
  </si>
  <si>
    <t>Alexandra Paez Kluge</t>
  </si>
  <si>
    <t>110012337105</t>
  </si>
  <si>
    <t>Centro de Especialistas Medicos AXA Colpatria Chico</t>
  </si>
  <si>
    <t>Tv 23# 95 - 53 P 8 Local 801</t>
  </si>
  <si>
    <t>110012337106</t>
  </si>
  <si>
    <t>Centro de Especialistas Medicos AXA Colpatria Santa Barbara</t>
  </si>
  <si>
    <t>Cl 116 # 23 06 Lc 101-102</t>
  </si>
  <si>
    <t>110013659701</t>
  </si>
  <si>
    <t>Centro de Experiencia Cochlear Colombia</t>
  </si>
  <si>
    <t>Camilo Jose Zapata Gonzalez</t>
  </si>
  <si>
    <t>Ak 19 # 100 - 28 Piso 2 Costado Oriental</t>
  </si>
  <si>
    <t>3174449133 / 3183519862</t>
  </si>
  <si>
    <t>calidad@cochlear.com</t>
  </si>
  <si>
    <t>110010793904</t>
  </si>
  <si>
    <t>Centro de Fertilidad Clínica de la Mujer</t>
  </si>
  <si>
    <t>Cra 19C #90-14 PISO 2 CONSULTORIO 1-2-3</t>
  </si>
  <si>
    <t>110010691302</t>
  </si>
  <si>
    <t>Centro de Rehabilitación para Adultos Ciegos CRAC Sede Norte</t>
  </si>
  <si>
    <t>Gladys de las Mercedes Lopera Restrepo</t>
  </si>
  <si>
    <t>Calle 127B No 46-39</t>
  </si>
  <si>
    <t>6266716</t>
  </si>
  <si>
    <t>110010559736</t>
  </si>
  <si>
    <t>Centro de salud Cafam para la atención del dolor</t>
  </si>
  <si>
    <t>Carrera 47 # 95-60</t>
  </si>
  <si>
    <t>5550700 EXT 12017 8051283</t>
  </si>
  <si>
    <t>110014351501</t>
  </si>
  <si>
    <t>Centro de salud y bienestar integral Kairos S.A.S Sigla: SYB KAIROS</t>
  </si>
  <si>
    <t>Ingrid Vanessa Suárez González</t>
  </si>
  <si>
    <t>Av cra 9 # 123-36 of 703</t>
  </si>
  <si>
    <t>3142227252</t>
  </si>
  <si>
    <t>vanesuarezg.22@gmail.com</t>
  </si>
  <si>
    <t>110011921601</t>
  </si>
  <si>
    <t>Centro odontologico y pediatrico sante S.A.S</t>
  </si>
  <si>
    <t>Stefany Lisethe Morales Bernal</t>
  </si>
  <si>
    <t>calle 128 N 72-80 loc.1</t>
  </si>
  <si>
    <t>110012848401</t>
  </si>
  <si>
    <t>Christian Salazar Odontologia Digital SAS</t>
  </si>
  <si>
    <t>Christian Salazar Castillo</t>
  </si>
  <si>
    <t>Carrera 13 No 94a - 26 Cons 601</t>
  </si>
  <si>
    <t>3506325592 - 3506325644 - 3102358645</t>
  </si>
  <si>
    <t>evisjohana@hotmail.com</t>
  </si>
  <si>
    <t>110012094601</t>
  </si>
  <si>
    <t>Cirurobotica Marly Litomedica S.A.</t>
  </si>
  <si>
    <t>Manuel Marcelo Rueda Salazar</t>
  </si>
  <si>
    <t>Cra 13 No 49 - 40 Consultorio 624-2 oficina administrativa y consultorio 212 consulta externa</t>
  </si>
  <si>
    <t>3011978989</t>
  </si>
  <si>
    <t>tatianabedoya@cirurobotica.com</t>
  </si>
  <si>
    <t>110014286901</t>
  </si>
  <si>
    <t>Clinic At Home sas</t>
  </si>
  <si>
    <t>FRANCY LICETH JIMENEZ CORTES</t>
  </si>
  <si>
    <t>Calle 31 13 A 51 Consultorio 120 Edificio Panorama Parque Central Bavaria</t>
  </si>
  <si>
    <t>3102244035</t>
  </si>
  <si>
    <t>Clinic.homeips@gmail.com</t>
  </si>
  <si>
    <t>110012565401</t>
  </si>
  <si>
    <t>Clinica Dhara</t>
  </si>
  <si>
    <t>Hernan Amaris Jimenez</t>
  </si>
  <si>
    <t>Cra 15# 83-33 PISO 1, PISO 3 CONSULTORIO 303, PISO 4, PISO 5, PISO 6</t>
  </si>
  <si>
    <t>7456568</t>
  </si>
  <si>
    <t>calidad@clinicadhara.com</t>
  </si>
  <si>
    <t>110012156404</t>
  </si>
  <si>
    <t>Clinica Medicentro Familiar sede Suba</t>
  </si>
  <si>
    <t>Liliana Angel Alvarez</t>
  </si>
  <si>
    <t>Carrera 94B No 132A-65</t>
  </si>
  <si>
    <t>3108077965</t>
  </si>
  <si>
    <t>lidercalidad@clinicamedicentrofamiliar.com</t>
  </si>
  <si>
    <t>110012340801</t>
  </si>
  <si>
    <t>Clinica Odonto Amiga</t>
  </si>
  <si>
    <t>Juan Camilo Achury Sabogal</t>
  </si>
  <si>
    <t>Carrera 13 N°94A-26 Oficina 301</t>
  </si>
  <si>
    <t>2103227</t>
  </si>
  <si>
    <t>odontoamiga@gmail.com</t>
  </si>
  <si>
    <t>110010966605</t>
  </si>
  <si>
    <t>Clinica del Occidente Resonancia Magnetica</t>
  </si>
  <si>
    <t>EDGAR ALIRIO RUIZ LUENGAS</t>
  </si>
  <si>
    <t>Carrera 71 C N 5B 25</t>
  </si>
  <si>
    <t>4254620 Ext 150</t>
  </si>
  <si>
    <t>110012628801</t>
  </si>
  <si>
    <t>Clinica del Pie y Spa S.A.S.</t>
  </si>
  <si>
    <t>EDGAR AUGUSTO HERNANDEZ PERDOMO</t>
  </si>
  <si>
    <t>CL 95 # 49 - 22 Primer Piso</t>
  </si>
  <si>
    <t>4674390 / 4674391</t>
  </si>
  <si>
    <t>clinicadelpieyspasas@gmail.com</t>
  </si>
  <si>
    <t>110012900301</t>
  </si>
  <si>
    <t>Cliniderma sas</t>
  </si>
  <si>
    <t>mauricio gamboa arango</t>
  </si>
  <si>
    <t>Carrera 19 a Nº 82 - 85 cons 601</t>
  </si>
  <si>
    <t>2415081- 3203038972</t>
  </si>
  <si>
    <t>dirasistencial@cliniderma.co</t>
  </si>
  <si>
    <t>110013868301</t>
  </si>
  <si>
    <t>Clínica Odontologica Antonny Vasquez SAS</t>
  </si>
  <si>
    <t>Luis Antonny Vasquez Calderón</t>
  </si>
  <si>
    <t>calle 140 numero 11-45 consultorio 615</t>
  </si>
  <si>
    <t>7910171</t>
  </si>
  <si>
    <t>od.antonnyvc@hotmail.com</t>
  </si>
  <si>
    <t>110012908501</t>
  </si>
  <si>
    <t>Clínica Proyectarte</t>
  </si>
  <si>
    <t>Andres Ricardo Barragan Ortiz</t>
  </si>
  <si>
    <t>Cra 46 No 95 - 47</t>
  </si>
  <si>
    <t>4673391</t>
  </si>
  <si>
    <t>info@clinicaproyectarte.com</t>
  </si>
  <si>
    <t>110013627802</t>
  </si>
  <si>
    <t>Clínica Santa Mónica Sede Ambulatoria</t>
  </si>
  <si>
    <t>AK 50 # 91 38 PISO 3</t>
  </si>
  <si>
    <t>3222779385</t>
  </si>
  <si>
    <t>1100108648</t>
  </si>
  <si>
    <t>Clínica Santo Tomás SA</t>
  </si>
  <si>
    <t>GONZALEZ MARTINEZ AMPARO</t>
  </si>
  <si>
    <t>T V 3 C # 51 A 46</t>
  </si>
  <si>
    <t>6015234458/ 6015242224/ 6017060159</t>
  </si>
  <si>
    <t>gerencia@clinicasantotomas.co</t>
  </si>
  <si>
    <t>110013792601</t>
  </si>
  <si>
    <t>Clínica Universidad de La Sabana sede ambulatoria de neurociencias centro</t>
  </si>
  <si>
    <t>EDUARDO CORTÉS CASTAÑO</t>
  </si>
  <si>
    <t>Avenida el Dorado N. 69A - 51 torre B Int 3 L 201- 202</t>
  </si>
  <si>
    <t>8617777</t>
  </si>
  <si>
    <t>calidad@clinicaunisabana.edu.co</t>
  </si>
  <si>
    <t>110013388401</t>
  </si>
  <si>
    <t>Clínicas White S.A.S</t>
  </si>
  <si>
    <t>FRANCISCO ZULUAGA DEL CASTILLO</t>
  </si>
  <si>
    <t>CALLE 99 # 14-76 LOCAL 106 S1</t>
  </si>
  <si>
    <t>7942323</t>
  </si>
  <si>
    <t>habilitacion@clinicaswhite.com</t>
  </si>
  <si>
    <t>110012691701</t>
  </si>
  <si>
    <t>Colcuidar Sociedad por acciones simplificada en decir COLCUIDAR SAS</t>
  </si>
  <si>
    <t>Diana Pahola Figueroa mendez</t>
  </si>
  <si>
    <t>Calle 22b 66-46 Consultorio 1202</t>
  </si>
  <si>
    <t>3 15 59 17 / 313 8 35 78 45</t>
  </si>
  <si>
    <t>colcuidar@gmail.com</t>
  </si>
  <si>
    <t>1100111045</t>
  </si>
  <si>
    <t>Colegio de Nuestra Señora de Nazareth Comunidad Dominicas Hijas</t>
  </si>
  <si>
    <t>PULIDO RODRIGUEZ ALICIA</t>
  </si>
  <si>
    <t>CL 65 D SUR # 80 C 94</t>
  </si>
  <si>
    <t>7820470</t>
  </si>
  <si>
    <t>RECTORIA@COLEGIONAZARETH.EDU.CO</t>
  </si>
  <si>
    <t>110012329302</t>
  </si>
  <si>
    <t>Colmedicos Bogota Teusaquillo</t>
  </si>
  <si>
    <t>Calle 38 No.15-53</t>
  </si>
  <si>
    <t>110012853201</t>
  </si>
  <si>
    <t>Coltherapy S.A.S</t>
  </si>
  <si>
    <t>Tatiana Marcela Bojaca</t>
  </si>
  <si>
    <t>Kra. 7 c bis # 139-18 consultorio 607</t>
  </si>
  <si>
    <t>3214523353</t>
  </si>
  <si>
    <t>gerencia@coltherapy.com</t>
  </si>
  <si>
    <t>110012206501</t>
  </si>
  <si>
    <t>Complejo Internacional de Cirugia Plastica S A</t>
  </si>
  <si>
    <t>GUILLERMO LEONEL VARGAS FONSECA</t>
  </si>
  <si>
    <t>Calle 124 Numero 7 38 PI 3 Y 4</t>
  </si>
  <si>
    <t>7498205 - 3163074876</t>
  </si>
  <si>
    <t>administracion@cicp.com.co</t>
  </si>
  <si>
    <t>1100107737</t>
  </si>
  <si>
    <t>Congregación de Hermanas Franciscanas Misioneras de María Auxiliadora, Región Misionera Santa María Bernarda.</t>
  </si>
  <si>
    <t>ARRAZOLA CORRALES MARIA DEL SOCORRO</t>
  </si>
  <si>
    <t>4155028</t>
  </si>
  <si>
    <t>110012522301</t>
  </si>
  <si>
    <t>Constanza Gonzalez Sanchez SAS</t>
  </si>
  <si>
    <t>Constanza Gonzalez Sanchez</t>
  </si>
  <si>
    <t>Av de las Américas No 69 60 primer piso</t>
  </si>
  <si>
    <t>6945770</t>
  </si>
  <si>
    <t>1100110400</t>
  </si>
  <si>
    <t>Coomeva Medicina Prepagada S.A</t>
  </si>
  <si>
    <t>MENDEZ CABRERA DIANA DEL PILAR</t>
  </si>
  <si>
    <t>Cl 102 # 14A - 70 P1 - P2 y P3 - Barrio:MOLINOS</t>
  </si>
  <si>
    <t>nelson_infante@coomeva.com.co; dianap_ospina@coomeva.com.co; luze_cala@coomeva.com.co</t>
  </si>
  <si>
    <t>110010911602</t>
  </si>
  <si>
    <t>Corpas Santa Ana</t>
  </si>
  <si>
    <t>GLORIA INES PIÑEROS RICARDO</t>
  </si>
  <si>
    <t>AK 9 No. 108 a 10</t>
  </si>
  <si>
    <t>3144041694 - 3043457996</t>
  </si>
  <si>
    <t>fundacion_gerencia@juanncorpas.edu.co</t>
  </si>
  <si>
    <t>110014146901</t>
  </si>
  <si>
    <t>Crownlife sas</t>
  </si>
  <si>
    <t>Marlon Torrijos cuartas</t>
  </si>
  <si>
    <t>Cr 71 No. 127 - 11</t>
  </si>
  <si>
    <t>3022460195</t>
  </si>
  <si>
    <t>clinicacrownlife@gmail.com</t>
  </si>
  <si>
    <t>110013334801</t>
  </si>
  <si>
    <t>Cumbre Salud ocupacional sas</t>
  </si>
  <si>
    <t>calle 71 N. 21 44 Piso 1</t>
  </si>
  <si>
    <t>3224064354</t>
  </si>
  <si>
    <t>110014098701</t>
  </si>
  <si>
    <t>D&amp;D PSICOLOGIA Y BIENESTAR</t>
  </si>
  <si>
    <t>DIEGO ALBERTO CESPEDES ACOSTA</t>
  </si>
  <si>
    <t>Calle 105 A # 14 -92 Ofc 701</t>
  </si>
  <si>
    <t>6013747893</t>
  </si>
  <si>
    <t>info@dydpsicologiaybienestar.com</t>
  </si>
  <si>
    <t>110012436904</t>
  </si>
  <si>
    <t>DAVITA BOGOTA AUTOPISTA NORTE</t>
  </si>
  <si>
    <t>ANDREA RODRIGUEZ GORDILLO</t>
  </si>
  <si>
    <t>AK 45 No. 103 35/29 PISO 1</t>
  </si>
  <si>
    <t>7954145/3174597503</t>
  </si>
  <si>
    <t>calidad@davita.com</t>
  </si>
  <si>
    <t>110010994109</t>
  </si>
  <si>
    <t>DAVITA BOGOTA CKD</t>
  </si>
  <si>
    <t>ingrid maribell noguera martinez</t>
  </si>
  <si>
    <t>CL 76 Nro 16a-24/28</t>
  </si>
  <si>
    <t>091 2941400</t>
  </si>
  <si>
    <t>calidad@davita.com legaldavita@davita.com</t>
  </si>
  <si>
    <t>110010994107</t>
  </si>
  <si>
    <t>DAVITA BOGOTA CRUZ ROJA</t>
  </si>
  <si>
    <t>YOLY ROCIO CERON DIAZ</t>
  </si>
  <si>
    <t>AK 68 Nro 68B-31 BLOQUE 1 PISO 1</t>
  </si>
  <si>
    <t>2941400 OPC 1 + OPC 4 EXT 4201</t>
  </si>
  <si>
    <t>110010994106</t>
  </si>
  <si>
    <t>DAVITA BOGOTA EL DORADO</t>
  </si>
  <si>
    <t>ALEXANDER VEGA MESA</t>
  </si>
  <si>
    <t>Diagonal 82 BIS No. 85 -90</t>
  </si>
  <si>
    <t>2941400 OPC 1 + OPC 1 EXT 4101</t>
  </si>
  <si>
    <t>110010994103</t>
  </si>
  <si>
    <t>DAVITA BOGOTA HORIZONTE</t>
  </si>
  <si>
    <t>HELDER FABIO PASTRANA LOPEZ</t>
  </si>
  <si>
    <t>Calle 134 No. 7 b - 83 Piso 2 Consultorio 218</t>
  </si>
  <si>
    <t>091 6480708</t>
  </si>
  <si>
    <t>110010994101</t>
  </si>
  <si>
    <t>DAVITA BOGOTA HOSPITAL SAN JOSE</t>
  </si>
  <si>
    <t>GIDZA LOMBO ROMERO</t>
  </si>
  <si>
    <t>CALLE 10 No. 18 - 75 PISO 3</t>
  </si>
  <si>
    <t>110012436903</t>
  </si>
  <si>
    <t>DAVITA BOGOTA SANTA MARIA DEL LAGO</t>
  </si>
  <si>
    <t>SANDRA PATRICIA RODRIGUEZ RUIZ</t>
  </si>
  <si>
    <t>Calle 73 No 72a-09</t>
  </si>
  <si>
    <t>7954140</t>
  </si>
  <si>
    <t>110010994105</t>
  </si>
  <si>
    <t>DAVITA BOGOTÁ CLINICA DE OCCIDENTE</t>
  </si>
  <si>
    <t>Luis Felipe Hernandez Beltran</t>
  </si>
  <si>
    <t>CALLE 5C N. 71C - 59 PISO 2</t>
  </si>
  <si>
    <t>2941400</t>
  </si>
  <si>
    <t>110012436906</t>
  </si>
  <si>
    <t>DAVITA CHAPINERO</t>
  </si>
  <si>
    <t>Diana Marcela Daza Tamayo</t>
  </si>
  <si>
    <t>Carrera 13 No 56-23</t>
  </si>
  <si>
    <t>3174672424</t>
  </si>
  <si>
    <t>1100109941</t>
  </si>
  <si>
    <t>DAVITA COLOMBIA SAS</t>
  </si>
  <si>
    <t>BAENA PALACIOS JAIME ANTONIO</t>
  </si>
  <si>
    <t>AV CARRERA 7 No. 156-10 piso 26</t>
  </si>
  <si>
    <t>https://davita.com.co/</t>
  </si>
  <si>
    <t>110012436907</t>
  </si>
  <si>
    <t>DAVITA SUBA</t>
  </si>
  <si>
    <t>Adriana Campillo Niño</t>
  </si>
  <si>
    <t>CALLE 145 # 85 - 52 Local 1 - Local 2</t>
  </si>
  <si>
    <t>315 8195276</t>
  </si>
  <si>
    <t>110012758001</t>
  </si>
  <si>
    <t>DDC IPS S.A.S.</t>
  </si>
  <si>
    <t>YENY ENID SABOGAL LOPEZ</t>
  </si>
  <si>
    <t>CALLE 75 N° 69K 64</t>
  </si>
  <si>
    <t>3922912/3134139473</t>
  </si>
  <si>
    <t>ddcipssas@hotmail.com</t>
  </si>
  <si>
    <t>110011090901</t>
  </si>
  <si>
    <t>DDS LTDA CLINICA DE REHABILITACION DENTAL</t>
  </si>
  <si>
    <t>S</t>
  </si>
  <si>
    <t>CL 97 A # 8 41</t>
  </si>
  <si>
    <t>6104900</t>
  </si>
  <si>
    <t>clinicaddsltda@gmail.com</t>
  </si>
  <si>
    <t>110013873701</t>
  </si>
  <si>
    <t>DEM LASER</t>
  </si>
  <si>
    <t>MARIA DEL PILAR MONROY BLANCO</t>
  </si>
  <si>
    <t>Cl 81 No. 19 A 18 Of 201</t>
  </si>
  <si>
    <t>3134942854</t>
  </si>
  <si>
    <t>SERVICIO.CLIENTE@DEMLASER.COM.CO</t>
  </si>
  <si>
    <t>1100117849</t>
  </si>
  <si>
    <t>DENT HOLDING S.A.S</t>
  </si>
  <si>
    <t>JOSE LUIS PULIDO MARTINEZ</t>
  </si>
  <si>
    <t>Calle 82 No. 10 - 39 Local 201</t>
  </si>
  <si>
    <t>3158937528</t>
  </si>
  <si>
    <t>dentholding@gmail.com</t>
  </si>
  <si>
    <t>1100114369</t>
  </si>
  <si>
    <t>DENTAL ASSISTANCE SAS</t>
  </si>
  <si>
    <t>CARLOS MARIO GRISALES TAMAYO</t>
  </si>
  <si>
    <t>CARRERA 19 NO 120-71 OF 202</t>
  </si>
  <si>
    <t>5205251</t>
  </si>
  <si>
    <t>carlos.grisales@dentalassistance.com.co</t>
  </si>
  <si>
    <t>110012175801</t>
  </si>
  <si>
    <t>DENTAL BANK DE COLOMBIA SAS</t>
  </si>
  <si>
    <t>MONICA PATRICIA ERASO PAZ</t>
  </si>
  <si>
    <t>CRA 22 No 45B-38 CS 601-602</t>
  </si>
  <si>
    <t>8013655</t>
  </si>
  <si>
    <t>dentalbancolombia@hotmail.com</t>
  </si>
  <si>
    <t>110012003601</t>
  </si>
  <si>
    <t>DENTAL DIAGNOSTIC RX EL BOSQUE</t>
  </si>
  <si>
    <t>JUAN CARLOS PACHECO TORRES</t>
  </si>
  <si>
    <t>CL 134 No 7B 83 OF 602</t>
  </si>
  <si>
    <t>5205053</t>
  </si>
  <si>
    <t>pachecos@cable.net.co</t>
  </si>
  <si>
    <t>1100120036</t>
  </si>
  <si>
    <t>DENTAL DIAGNOSTIC RX EL BOSQUE E.U.</t>
  </si>
  <si>
    <t>dentaldxrxelbosque@gmail.com</t>
  </si>
  <si>
    <t>110012005302</t>
  </si>
  <si>
    <t>DENTAL EVIDENCE FLORESTA</t>
  </si>
  <si>
    <t>NELSON ERASMO YANEZ GUTIERREZ</t>
  </si>
  <si>
    <t>CALLE 95 No 69A -36</t>
  </si>
  <si>
    <t>6001197 - 3143313189</t>
  </si>
  <si>
    <t>dentalevidence@yahoo.com</t>
  </si>
  <si>
    <t>1100120053</t>
  </si>
  <si>
    <t>DENTAL EVIDENCE ODONTOLOGIA ESPECIALIZADA S.A.S.</t>
  </si>
  <si>
    <t>CARRERA 58 No 130 56</t>
  </si>
  <si>
    <t>6179178</t>
  </si>
  <si>
    <t>110014029701</t>
  </si>
  <si>
    <t>DENTAL EXPERIENCE</t>
  </si>
  <si>
    <t>SONIAJACKELINE OSORIO MEZA</t>
  </si>
  <si>
    <t>Cra 23 #124-87 Torre 2 Consultorio 302</t>
  </si>
  <si>
    <t>3017439708</t>
  </si>
  <si>
    <t>admfinancdentalexperience@gmail.com</t>
  </si>
  <si>
    <t>110013575501</t>
  </si>
  <si>
    <t>DENTAL FANTASY</t>
  </si>
  <si>
    <t>SANDRA PATRICIA HEREDIA TOCA</t>
  </si>
  <si>
    <t>CL 20 N° 82-52 CENTRO COMERCIAL HAYUELOS LC 2-40</t>
  </si>
  <si>
    <t>314 7236872</t>
  </si>
  <si>
    <t>dentalfantasy1@gmail.com</t>
  </si>
  <si>
    <t>110013575502</t>
  </si>
  <si>
    <t>DENTAL FANTASY MARINO</t>
  </si>
  <si>
    <t>CALLE 185 N 45-03 SUBA CENTRO COMERCIAL SANTAFE N3-126</t>
  </si>
  <si>
    <t>310 3463149</t>
  </si>
  <si>
    <t>dentalfantasysantafe@gmail.com</t>
  </si>
  <si>
    <t>110011029401</t>
  </si>
  <si>
    <t>DENTAL IMAGE SAS</t>
  </si>
  <si>
    <t>SANDRA MARGARITA FRANCO DIAZ</t>
  </si>
  <si>
    <t>KR 13 A # 89 38 OFICINA 705-706-710</t>
  </si>
  <si>
    <t>6018137934 3217529518 3144626755</t>
  </si>
  <si>
    <t>gerencia@dentalimage.co</t>
  </si>
  <si>
    <t>110011969901</t>
  </si>
  <si>
    <t>DENTAL LINE</t>
  </si>
  <si>
    <t>WILSON FERNANDEZ ACERO</t>
  </si>
  <si>
    <t>TRANV 34A BIS NO. 40-67 SUR</t>
  </si>
  <si>
    <t>7282258</t>
  </si>
  <si>
    <t>dental.linewf@gmail.com</t>
  </si>
  <si>
    <t>1100119699</t>
  </si>
  <si>
    <t>DENTAL LINE E.U.</t>
  </si>
  <si>
    <t>TRANV 34 A BIS # 40 67SUR</t>
  </si>
  <si>
    <t>110013704727</t>
  </si>
  <si>
    <t>DENTAL ODONTOFAMILY BOSA LIBERTAD</t>
  </si>
  <si>
    <t>LEONARDO ROJAS</t>
  </si>
  <si>
    <t>CALLE 59C SUR N° 89 - 36 PISO 1-2-3</t>
  </si>
  <si>
    <t>3016158588</t>
  </si>
  <si>
    <t>dircalidad2@clinicasodontofamily.com</t>
  </si>
  <si>
    <t>110013704710</t>
  </si>
  <si>
    <t>DENTAL ODONTOFAMILY BOSA PIAMONTE</t>
  </si>
  <si>
    <t>LEONARDO ROJAS MORENO</t>
  </si>
  <si>
    <t>TV 78 L # 68-15 SUR PISO 1 y 2</t>
  </si>
  <si>
    <t>3022980504/3016158588</t>
  </si>
  <si>
    <t>dircalidad1@clinicasodontofamily.com dircalidad2@clinicasodontofamily.com</t>
  </si>
  <si>
    <t>110013704731</t>
  </si>
  <si>
    <t>DENTAL ODONTOFAMILY CENTRO COMERCIAL TINTAL PLAZA</t>
  </si>
  <si>
    <t>DIANA DEL PILAR ROJAS MORENO</t>
  </si>
  <si>
    <t>Av Cra 86 # 6 - 37 LOCAL 152</t>
  </si>
  <si>
    <t>3016158588 - 3022980504</t>
  </si>
  <si>
    <t>dircalidad2@clinicasodontofamily.com / dircalidad1@clinicasodontofamily.com</t>
  </si>
  <si>
    <t>110013704730</t>
  </si>
  <si>
    <t>DENTAL ODONTOFAMILY DIVER PLAZA</t>
  </si>
  <si>
    <t>TRANSVERSAL 99 BIS #70 A 89 LC 260 A</t>
  </si>
  <si>
    <t>110013704719</t>
  </si>
  <si>
    <t>DENTAL ODONTOFAMILY FERIAS</t>
  </si>
  <si>
    <t>AK 70 # 72A - 42 PISO 1-2-3</t>
  </si>
  <si>
    <t>110013704709</t>
  </si>
  <si>
    <t>DENTAL ODONTOFAMILY FONTIBON</t>
  </si>
  <si>
    <t>CL 17 A # 99-21 PISO 1</t>
  </si>
  <si>
    <t>110013704722</t>
  </si>
  <si>
    <t>DENTAL ODONTOFAMILY FONTIBON IMPLANTES</t>
  </si>
  <si>
    <t>CL 17 A # 99-33 PISO 1</t>
  </si>
  <si>
    <t>110013704706</t>
  </si>
  <si>
    <t>DENTAL ODONTOFAMILY RESTREPO 1</t>
  </si>
  <si>
    <t>DIAG 21 SUR # 21A-07 PISO 1 Y PISO 2</t>
  </si>
  <si>
    <t>110013704718</t>
  </si>
  <si>
    <t>DENTAL ODONTOFAMILY RESTREPO 2</t>
  </si>
  <si>
    <t>TV 21A # 21A - 38 SUR</t>
  </si>
  <si>
    <t>110013704713</t>
  </si>
  <si>
    <t>DENTAL ODONTOFAMILY RESTREPO IMPLANTES</t>
  </si>
  <si>
    <t>TV 21A #21 A- 42 SUR PISO 1</t>
  </si>
  <si>
    <t>110013704708</t>
  </si>
  <si>
    <t>DENTAL ODONTOFAMILY ROMA</t>
  </si>
  <si>
    <t>AK 80 # 55 -06 SUR PISO 1-2-3</t>
  </si>
  <si>
    <t>110013704707</t>
  </si>
  <si>
    <t>DENTAL ODONTOFAMILY SANTA HELENITA NIÑOS</t>
  </si>
  <si>
    <t>AC 72 # 76 - 70</t>
  </si>
  <si>
    <t>110013704703</t>
  </si>
  <si>
    <t>DENTAL ODONTOFAMILY SIMON BOLIVAR</t>
  </si>
  <si>
    <t>KR 6 B # 163 A -04</t>
  </si>
  <si>
    <t>110013704716</t>
  </si>
  <si>
    <t>DENTAL ODONTOFAMILY SUBA PORTAL</t>
  </si>
  <si>
    <t>CL 141 C# 103 F -76</t>
  </si>
  <si>
    <t>110013704711</t>
  </si>
  <si>
    <t>DENTAL ODONTOFAMILY VENECIA II</t>
  </si>
  <si>
    <t>CL 45A SUR # 54 A-63 PISO 1</t>
  </si>
  <si>
    <t>3204336820</t>
  </si>
  <si>
    <t>110013618901</t>
  </si>
  <si>
    <t>DENTAL SER S.A.S.</t>
  </si>
  <si>
    <t>JUAN FERNANDO SALAZAR SAAVEDRA</t>
  </si>
  <si>
    <t>CALLE 11 N 60 - 30 LOCAL 2</t>
  </si>
  <si>
    <t>601-7448349</t>
  </si>
  <si>
    <t>direccion@dentalser.com</t>
  </si>
  <si>
    <t>110013618902</t>
  </si>
  <si>
    <t>DENTAL SER SAS ENGATIVA</t>
  </si>
  <si>
    <t>AVENIDA CARRERA 86 # 55 A - 75 L3 - 215, L3 - 219, L3 - 231, L3 - 235, L3 - 223, L3 - 227</t>
  </si>
  <si>
    <t>110013893101</t>
  </si>
  <si>
    <t>DENTARIA S.A.S</t>
  </si>
  <si>
    <t>MARINELY AUXILIADORA RIVAS DE PEÑA</t>
  </si>
  <si>
    <t>AC 147 #17 78 OF 501</t>
  </si>
  <si>
    <t>3112259437</t>
  </si>
  <si>
    <t>dentariacitas@gmail.com</t>
  </si>
  <si>
    <t>110012918901</t>
  </si>
  <si>
    <t>DENTICA BY CRISTINA SUAZA SAS</t>
  </si>
  <si>
    <t>ELIANA CRISTINA SUAZA ORTIZ</t>
  </si>
  <si>
    <t>CARRERA 19 A 82 85 CONSULTORIO 201</t>
  </si>
  <si>
    <t>3173170981</t>
  </si>
  <si>
    <t>info@dentica.com.co</t>
  </si>
  <si>
    <t>1100102130</t>
  </si>
  <si>
    <t>DENTIFACIL LTDA</t>
  </si>
  <si>
    <t>GARCIA ZUÑIGA ANDRES</t>
  </si>
  <si>
    <t>AV 19 # 118 95 OF 202</t>
  </si>
  <si>
    <t>3143144865</t>
  </si>
  <si>
    <t>dentifacilsantabarbara2023@gmail.com</t>
  </si>
  <si>
    <t>110013873401</t>
  </si>
  <si>
    <t>DENTINNO SAS</t>
  </si>
  <si>
    <t>YINDY JULIETH ANGARITA SANDOVAL</t>
  </si>
  <si>
    <t>AC 127 # 21 - 85</t>
  </si>
  <si>
    <t>3003359573</t>
  </si>
  <si>
    <t>drajulieth86@gmail.com</t>
  </si>
  <si>
    <t>110011067702</t>
  </si>
  <si>
    <t>DENTISALUD</t>
  </si>
  <si>
    <t>LUIS EDUARDO MARTINEZ GUTIERREZ</t>
  </si>
  <si>
    <t>AC 80 NO. 69Q-50 LC 21</t>
  </si>
  <si>
    <t>601 7432066- 320 4494560 - 314 2069058</t>
  </si>
  <si>
    <t>servicioalcliente@dentisalud.com.co</t>
  </si>
  <si>
    <t>110011067715</t>
  </si>
  <si>
    <t>DENTISALUD ALAMOS</t>
  </si>
  <si>
    <t>CLL 71B No. 99C-32</t>
  </si>
  <si>
    <t>601 7030469-314 2069053 - 313 8801756</t>
  </si>
  <si>
    <t>110011067714</t>
  </si>
  <si>
    <t>DENTISALUD CEDRITOS</t>
  </si>
  <si>
    <t>CALLE 140 # 16 A-59 - LOCAL 3</t>
  </si>
  <si>
    <t>6256243-3132101782-3142069057</t>
  </si>
  <si>
    <t>110011067717</t>
  </si>
  <si>
    <t>DENTISALUD CENTRO</t>
  </si>
  <si>
    <t>CRA 7 # 17 - 75 LOCAL 13</t>
  </si>
  <si>
    <t>601 7567097-3204494557-3228411749</t>
  </si>
  <si>
    <t>110011067719</t>
  </si>
  <si>
    <t>DENTISALUD CENTRO MAYOR</t>
  </si>
  <si>
    <t>CL 38 A SUR No. 34D-50 LC 3028, 3029</t>
  </si>
  <si>
    <t>601 7433031- 313 4215443</t>
  </si>
  <si>
    <t>110011067723</t>
  </si>
  <si>
    <t>DENTISALUD CHAPINERO</t>
  </si>
  <si>
    <t>CL 57 # 13 - 49</t>
  </si>
  <si>
    <t>601 7433297- 314 2852326 - 322 8438527</t>
  </si>
  <si>
    <t>110011067708</t>
  </si>
  <si>
    <t>DENTISALUD COLSUBSIDIO</t>
  </si>
  <si>
    <t>KR 111 C N° 86 - 05 Locales 249-250 Centro Comercial Unicentro De</t>
  </si>
  <si>
    <t>601 742 528-312 4338628 - 321 2848363</t>
  </si>
  <si>
    <t>110011067709</t>
  </si>
  <si>
    <t>DENTISALUD GRAN ESTACION</t>
  </si>
  <si>
    <t>AVENIDA CARRERA 60 # 24-09 LOCAL 1-31</t>
  </si>
  <si>
    <t>601 7462062- 313 8281230 - 313 4414588</t>
  </si>
  <si>
    <t>110011067720</t>
  </si>
  <si>
    <t>DENTISALUD KENNEDY</t>
  </si>
  <si>
    <t>CR 78 B Nº 26 - 36 SUR</t>
  </si>
  <si>
    <t>601 7451822- 321 2109455 - 322 8438658 - 322 2487919</t>
  </si>
  <si>
    <t>110011067724</t>
  </si>
  <si>
    <t>DENTISALUD LAS VILLAS</t>
  </si>
  <si>
    <t>CR 58 NO. 128 B 48 PS 1</t>
  </si>
  <si>
    <t>601 7429423- 321 3648926 - 322 8438582</t>
  </si>
  <si>
    <t>110011067726</t>
  </si>
  <si>
    <t>DENTISALUD MULTIPLAZA</t>
  </si>
  <si>
    <t>CL 19 A No 72 - 57 LC B122</t>
  </si>
  <si>
    <t>601 4431540 312 4853791 - 322 2498634</t>
  </si>
  <si>
    <t>110011067728</t>
  </si>
  <si>
    <t>DENTISALUD PASEO VILLA DEL RIO</t>
  </si>
  <si>
    <t>CR 63 # 57 G - 46 SUR LC 251 CC PASEO VILLA DEL RIO</t>
  </si>
  <si>
    <t>312 465 1012 // 7459010</t>
  </si>
  <si>
    <t>110011067727</t>
  </si>
  <si>
    <t>DENTISALUD PORTAL 80</t>
  </si>
  <si>
    <t>CL 80 # 100 - 52 LC 2 N 10 - 2 N 11 CC PORTAL 80</t>
  </si>
  <si>
    <t>601 4432740- 322 2498714</t>
  </si>
  <si>
    <t>110012390101</t>
  </si>
  <si>
    <t>DENTISALUD RESTREPO-GRUPO EMPRESARIAL SEVILLA SAS</t>
  </si>
  <si>
    <t>Vanessa Margarita Mier Angarita</t>
  </si>
  <si>
    <t>calle 17 sur n 16 - 69</t>
  </si>
  <si>
    <t>2342424-3145571446</t>
  </si>
  <si>
    <t>gruposevilla@dentisaludrestrepo.com</t>
  </si>
  <si>
    <t>110011067722</t>
  </si>
  <si>
    <t>DENTISALUD ROMA</t>
  </si>
  <si>
    <t>CRA 79 H No 55 SUR 08 LOCAL 1</t>
  </si>
  <si>
    <t>601 7432005 - 3003448-322 2498671</t>
  </si>
  <si>
    <t>110011067711</t>
  </si>
  <si>
    <t>DENTISALUD SUBA IMPERIAL</t>
  </si>
  <si>
    <t>AK 104 #148-7 LOCAL 1-134</t>
  </si>
  <si>
    <t>601 7457874- 313 2089401 - 310 8108048</t>
  </si>
  <si>
    <t>110011067725</t>
  </si>
  <si>
    <t>DENTISALUD TUNAL</t>
  </si>
  <si>
    <t>CALLE 47 B S # 24 B 33 LOCALES 1141-1142-1143-1144</t>
  </si>
  <si>
    <t>601 7562050- 322 2498730</t>
  </si>
  <si>
    <t>110012262701</t>
  </si>
  <si>
    <t>DENTIST FOR KIDS S.A.S BOGOTA D.C</t>
  </si>
  <si>
    <t>juan esteban galvis rodriguez</t>
  </si>
  <si>
    <t>calle 74# 15-26 consultorio201</t>
  </si>
  <si>
    <t>2124176-3157489014</t>
  </si>
  <si>
    <t>denticedritos@gmail.com</t>
  </si>
  <si>
    <t>110010817172</t>
  </si>
  <si>
    <t>DENTIVIP COLONIA 72</t>
  </si>
  <si>
    <t>JEINNY GALEANO PARRA</t>
  </si>
  <si>
    <t>AVENIDA CARRERA 24 #71A-85 LOCALES 40,41 Y 42</t>
  </si>
  <si>
    <t>7420100</t>
  </si>
  <si>
    <t>110010817167</t>
  </si>
  <si>
    <t>DENTIVIP COLSUBSIDIO NUESTRO BOGOTÁ</t>
  </si>
  <si>
    <t>AK 86 No 55 A 75, local 251. CC Nuestro Bogotá</t>
  </si>
  <si>
    <t>7420100 EXT. 75062 - 75060</t>
  </si>
  <si>
    <t>110010817171</t>
  </si>
  <si>
    <t>DENTIVIP COLSUBSIDIO PLAZA CENTRAL</t>
  </si>
  <si>
    <t>KR 65 # 11-50 LC 2-85</t>
  </si>
  <si>
    <t>110010817173</t>
  </si>
  <si>
    <t>DENTIVIP USAQUEN</t>
  </si>
  <si>
    <t>CARRERA 7 # 123 - 65 Piso 2</t>
  </si>
  <si>
    <t>110012790502</t>
  </si>
  <si>
    <t>DENTIX AV. CHILE BOGOTA</t>
  </si>
  <si>
    <t>KATIA LORENA CASTILLO CIFUENTES</t>
  </si>
  <si>
    <t>CALLE 72 #12-69</t>
  </si>
  <si>
    <t>3156033463</t>
  </si>
  <si>
    <t>notificaciones@dentix.co</t>
  </si>
  <si>
    <t>110012790505</t>
  </si>
  <si>
    <t>DENTIX BOGOTA CALLE 90</t>
  </si>
  <si>
    <t>CL 90 NO. 18 - 59</t>
  </si>
  <si>
    <t>110012790504</t>
  </si>
  <si>
    <t>DENTIX BOGOTA GRAN ESTACIÓN</t>
  </si>
  <si>
    <t>FERNANDO BARCO MALDONADO</t>
  </si>
  <si>
    <t>KRA 60 #24-09 GRAN ESTACION Ii LOCAL 1-26 Y 1-27</t>
  </si>
  <si>
    <t>110012790506</t>
  </si>
  <si>
    <t>DENTIX BOGOTA RESTREPO</t>
  </si>
  <si>
    <t>CALLE 19 SUR # 18 -75</t>
  </si>
  <si>
    <t>110012790503</t>
  </si>
  <si>
    <t>DENTIX BOGOTA UNICENTRO</t>
  </si>
  <si>
    <t>Calle 127 No.14 A-44</t>
  </si>
  <si>
    <t>110012790520</t>
  </si>
  <si>
    <t>DENTIX CC HAYUELOS</t>
  </si>
  <si>
    <t>CL 20 NO. 82 -52 Locales 1-11, 1-12, 1-13 Piso 1 C.C HAYUELOS</t>
  </si>
  <si>
    <t>110012790509</t>
  </si>
  <si>
    <t>DENTIX CC PLAZA CENTRAL</t>
  </si>
  <si>
    <t>CARRERA 65 #11- 50 CC PLAZA CENTRAL LC 306-307</t>
  </si>
  <si>
    <t>110012790512</t>
  </si>
  <si>
    <t>DENTIX CC PLAZA DE LAS AMERICAS BOGOTA</t>
  </si>
  <si>
    <t>Carrera 71 D N 6 - 94 Sur Local 1902 C Centro Comercial Plaza De Las Américas Ph</t>
  </si>
  <si>
    <t>110012790516</t>
  </si>
  <si>
    <t>DENTIX CC PLAZA IMPERIAL</t>
  </si>
  <si>
    <t>CLARIBEL MONTENEGRO ARIAS</t>
  </si>
  <si>
    <t>AV CARRERA 104 #148- 07 LOCAL 2-133</t>
  </si>
  <si>
    <t>110012790508</t>
  </si>
  <si>
    <t>DENTIX CC SANTAFE BOGOTA</t>
  </si>
  <si>
    <t>CALLE 185 # 45 - 03 Local 3-30</t>
  </si>
  <si>
    <t>110012790514</t>
  </si>
  <si>
    <t>DENTIX CC SANTAFE BOGOTA II</t>
  </si>
  <si>
    <t>CL 185 NO. 45 - 03 LC 3-170</t>
  </si>
  <si>
    <t>110012790523</t>
  </si>
  <si>
    <t>DENTIX CC TITAN 2</t>
  </si>
  <si>
    <t>AV BOYACA #80 -94 LOCAL 107 CC TITAN</t>
  </si>
  <si>
    <t>110012790511</t>
  </si>
  <si>
    <t>DENTIX CEDRITOS BOGOTA</t>
  </si>
  <si>
    <t>CL 140 #9-70</t>
  </si>
  <si>
    <t>110012790513</t>
  </si>
  <si>
    <t>DENTIX COLINA BOGOTA</t>
  </si>
  <si>
    <t>CL 138 No. 57 - 83</t>
  </si>
  <si>
    <t>110012790510</t>
  </si>
  <si>
    <t>DENTIX DIVERPLAZA</t>
  </si>
  <si>
    <t>TV 99 #70 A 89 Lc 259 CC DIVER PLAZA</t>
  </si>
  <si>
    <t>110012790518</t>
  </si>
  <si>
    <t>DENTIX FONTIBON</t>
  </si>
  <si>
    <t>CRA.100 NO. 19 -95</t>
  </si>
  <si>
    <t>110012790517</t>
  </si>
  <si>
    <t>DENTIX GALERIAS</t>
  </si>
  <si>
    <t>CR 24 No.53-38</t>
  </si>
  <si>
    <t>110012790524</t>
  </si>
  <si>
    <t>DENTIX TORRE CENTRAL</t>
  </si>
  <si>
    <t>AC 26 # 68c - 61 OF 804</t>
  </si>
  <si>
    <t>110012790519</t>
  </si>
  <si>
    <t>DENTIX VENECIA</t>
  </si>
  <si>
    <t>DIAGONAL 46 SUR #53-08</t>
  </si>
  <si>
    <t>110012150701</t>
  </si>
  <si>
    <t>DENTO ANALISIS 3D SAS</t>
  </si>
  <si>
    <t>Julio Daniel Alarcon Sosa</t>
  </si>
  <si>
    <t>Calle 97 # 23 - 37 cs 519</t>
  </si>
  <si>
    <t>7046064-3134021857</t>
  </si>
  <si>
    <t>gerencia@dentoanalisis3d.com</t>
  </si>
  <si>
    <t>110014010601</t>
  </si>
  <si>
    <t>DENTO CLINIC BOGOTA</t>
  </si>
  <si>
    <t>BETZAIDA FABIANA PEREZ MORA</t>
  </si>
  <si>
    <t>CL 140 11 45 OF 712</t>
  </si>
  <si>
    <t>3017284668</t>
  </si>
  <si>
    <t>dentoclinicsas@gmail.com</t>
  </si>
  <si>
    <t>110011570705</t>
  </si>
  <si>
    <t>DENTOLASER AMERICAS</t>
  </si>
  <si>
    <t>HECTOR HUGO ALEJANDRO LOPEZ WILCHES</t>
  </si>
  <si>
    <t>AV DE LAS AMERICAS NO 68F-43/45</t>
  </si>
  <si>
    <t>3014668203</t>
  </si>
  <si>
    <t>Calidadinternodentolaser@gmail.com</t>
  </si>
  <si>
    <t>110011570701</t>
  </si>
  <si>
    <t>DENTOLASER GALERIAS</t>
  </si>
  <si>
    <t>KR 21 # 56 03</t>
  </si>
  <si>
    <t>calidadinternodentolaser@gmail.com</t>
  </si>
  <si>
    <t>110011570702</t>
  </si>
  <si>
    <t>DENTOLASER OLAYA</t>
  </si>
  <si>
    <t>CALLE 27 SUR # 21 A 19 SEGUNDO PISO ALA ORIENTAL AREA ODONTOLOGIA</t>
  </si>
  <si>
    <t>110011570704</t>
  </si>
  <si>
    <t>DENTOLASER RESTREPO</t>
  </si>
  <si>
    <t>cra 19#19A-37 sur</t>
  </si>
  <si>
    <t>1100115707</t>
  </si>
  <si>
    <t>DENTOLASER S.A.S.</t>
  </si>
  <si>
    <t>LUZ NIEVES WILCHES ROZO</t>
  </si>
  <si>
    <t>1100118221</t>
  </si>
  <si>
    <t>DEPIEL SAS</t>
  </si>
  <si>
    <t>Pablo Eduardo Gutierrez Hernandez</t>
  </si>
  <si>
    <t>AV CL 134 # 7 - 83 MODULOS 152 / 351 TORRES 1 Y 3 PISO 5</t>
  </si>
  <si>
    <t>9172090 - 3138932716</t>
  </si>
  <si>
    <t>pablo.gutierrez@depiel.com</t>
  </si>
  <si>
    <t>www.depiel.com</t>
  </si>
  <si>
    <t>110014067301</t>
  </si>
  <si>
    <t>DERMACLUB S.A.S.</t>
  </si>
  <si>
    <t>LORENA PRADA DELGADO</t>
  </si>
  <si>
    <t>CR 19A N° 82 - 85 CONS 809 Y 823</t>
  </si>
  <si>
    <t>3234366233</t>
  </si>
  <si>
    <t>gerenciads@dermaclub.com.co</t>
  </si>
  <si>
    <t>110013969903</t>
  </si>
  <si>
    <t>DERMATOLOGICA GRAN ESTACIÓN</t>
  </si>
  <si>
    <t>Sebastián Vélez Casallas</t>
  </si>
  <si>
    <t>Avenida Carrera 60 # 24-09 Local 317</t>
  </si>
  <si>
    <t>3183540416</t>
  </si>
  <si>
    <t>coordinador.calidad@dermatologica.com.co</t>
  </si>
  <si>
    <t>110013969901</t>
  </si>
  <si>
    <t>DERMATOLOGICA ROSALES</t>
  </si>
  <si>
    <t>SEBASTIAN VELEZ CASALLAS</t>
  </si>
  <si>
    <t>CARRERA 5 # 71-45 LOCAL 201-205-206</t>
  </si>
  <si>
    <t>110014157301</t>
  </si>
  <si>
    <t>DERMOCARE COLOMBIA S.A.S</t>
  </si>
  <si>
    <t>CAROLINA SOLORZANO RESTREPO</t>
  </si>
  <si>
    <t>CR 19 NO. 108 45 OF 304 ED OTUA</t>
  </si>
  <si>
    <t>3214935123 - 3114553396</t>
  </si>
  <si>
    <t>info@csdermatologia.com</t>
  </si>
  <si>
    <t>1100107673</t>
  </si>
  <si>
    <t>DERMOESCULTURA S.A.S SIGLA HARKER Y LLOREDA</t>
  </si>
  <si>
    <t>HAKER PEREA HERNANDO</t>
  </si>
  <si>
    <t>Calle 127 A Nº 7-53 CONSULTORIO DEL 2005 AL 2009</t>
  </si>
  <si>
    <t>6193008-3166234562</t>
  </si>
  <si>
    <t>admin@harkerlloreda.com</t>
  </si>
  <si>
    <t>110010767301</t>
  </si>
  <si>
    <t>DERMOESCULTURA SAS SIGLA HARKER Y LLOREDA</t>
  </si>
  <si>
    <t>KATHERINE PINILLOS BOLÍVAR</t>
  </si>
  <si>
    <t>CALLE 127 A No. 7-53 CONSULTORIO DEL 2005 AL 2009</t>
  </si>
  <si>
    <t>1100116572</t>
  </si>
  <si>
    <t>DERMOSALUD S.A.S</t>
  </si>
  <si>
    <t>Claudia Liliana Morales Ruiz</t>
  </si>
  <si>
    <t>calle 127 bis no 19-25 cons 404,405,406 y 407</t>
  </si>
  <si>
    <t>6145634-3208639403</t>
  </si>
  <si>
    <t>gerencia@dermosaludcolombia.com</t>
  </si>
  <si>
    <t>1100114931</t>
  </si>
  <si>
    <t>DESPERTAR DE LOS SENTIDOS FUNDACION PARA LA HABILITACION INTEGRAL DEL NIÑO ESPECIAL</t>
  </si>
  <si>
    <t>EVELINA ROSA ESCAÑO CAEZ</t>
  </si>
  <si>
    <t>KR 55 C # 174 - 51</t>
  </si>
  <si>
    <t>6724357</t>
  </si>
  <si>
    <t>despertardelossentidos@yahoo.es</t>
  </si>
  <si>
    <t>110014227001</t>
  </si>
  <si>
    <t>DEULAT KLINIK</t>
  </si>
  <si>
    <t>JUAN CAMILO GONZALEZ VON WALTER</t>
  </si>
  <si>
    <t>Calle 127 #20- 16 Oficina 303</t>
  </si>
  <si>
    <t>3124359112</t>
  </si>
  <si>
    <t>gonzalezvonwalter@gmail.com</t>
  </si>
  <si>
    <t>1100105577</t>
  </si>
  <si>
    <t>DEXA DIAB SERVICIOS MEDICOS SAS</t>
  </si>
  <si>
    <t>VELAZCO PEZO ROSA ELVIRA</t>
  </si>
  <si>
    <t>KR 16 A # 79 33 CS 105-106-107 y PI 2</t>
  </si>
  <si>
    <t>6017437707-3118121617-3025275151-3184058492</t>
  </si>
  <si>
    <t>administracion@dexadiab.com</t>
  </si>
  <si>
    <t>110014228901</t>
  </si>
  <si>
    <t>DHI CAPILAR MEDICAL GROUP SAS</t>
  </si>
  <si>
    <t>JAVIER DARIO RUIZ MENDOZA</t>
  </si>
  <si>
    <t>AVENIDA EL DORADO 69A 51 INTERIOR 3 TORRE B OFICINA 701</t>
  </si>
  <si>
    <t>3203182800</t>
  </si>
  <si>
    <t>dhisalitre.auditor@outlook.com</t>
  </si>
  <si>
    <t>110013877301</t>
  </si>
  <si>
    <t>DHI COLOMBIA RESTAURACION CLINICA CAPILAR SAS</t>
  </si>
  <si>
    <t>AC 127 NO. 14 54 OF 601, 615, 616 GRADECO</t>
  </si>
  <si>
    <t>3173661060</t>
  </si>
  <si>
    <t>diradmin@dhibogotacol.com</t>
  </si>
  <si>
    <t>110013595301</t>
  </si>
  <si>
    <t>DIAGNOSIS COLOMBIA SAS</t>
  </si>
  <si>
    <t>OLGA LUCIA CUBIDES SANCHEZ</t>
  </si>
  <si>
    <t>CR 14 98 95 CS 210</t>
  </si>
  <si>
    <t>3108706667</t>
  </si>
  <si>
    <t>DIAGNOSISCOLOMBIASAS@GMAIL.COM</t>
  </si>
  <si>
    <t>110012093001</t>
  </si>
  <si>
    <t>DIAGNOSTICO ESPECIALIZADO POR CITOMETRIA DE FLUJO S.A.S.</t>
  </si>
  <si>
    <t>MIGUEL ANTONIO GOMEZ</t>
  </si>
  <si>
    <t>CL 71 # 11 10 OF 201</t>
  </si>
  <si>
    <t>3125272149</t>
  </si>
  <si>
    <t>citometriamlb@outlook.com</t>
  </si>
  <si>
    <t>1100102324</t>
  </si>
  <si>
    <t>DIAGNOSTICO OCULAR DEL COUNTRY S.A.S</t>
  </si>
  <si>
    <t>MCWHIRTER SHARON JANE</t>
  </si>
  <si>
    <t>CARRERA 16 82 95 CONSULTORIO 702B - 703</t>
  </si>
  <si>
    <t>6016214621</t>
  </si>
  <si>
    <t>diagnosticooculardelcountrysas@gmail.com</t>
  </si>
  <si>
    <t>https://diagnosticoocular.com/</t>
  </si>
  <si>
    <t>1100106901</t>
  </si>
  <si>
    <t>DIAGNOSTICO PRENATAL LTDA</t>
  </si>
  <si>
    <t>ORJUELA ESCOBAR JORGE ENRIQUE</t>
  </si>
  <si>
    <t>AC 127 # 20 78 CONS 420</t>
  </si>
  <si>
    <t>3102593296 / WhatsApp 3102593296 / 6017456801</t>
  </si>
  <si>
    <t>diagpren@gmail.com</t>
  </si>
  <si>
    <t>110013719803</t>
  </si>
  <si>
    <t>DIAGNOSTIK LAB CLINIC - SEDE ASISTENCIA</t>
  </si>
  <si>
    <t>Diego Alejandro Villamizar Gallardo</t>
  </si>
  <si>
    <t>Calle 45b #24-25</t>
  </si>
  <si>
    <t>3330333620</t>
  </si>
  <si>
    <t>coordinacion.calidad@diagnostiklabclinic.com</t>
  </si>
  <si>
    <t>110013719801</t>
  </si>
  <si>
    <t>DIAGNOSTIK LAB CLINIC S.A.S</t>
  </si>
  <si>
    <t>ALEXANDER NEIRA MEDINA</t>
  </si>
  <si>
    <t>Cr 56 No. 5 C 38 Piso 3</t>
  </si>
  <si>
    <t>3228569984</t>
  </si>
  <si>
    <t>110013595801</t>
  </si>
  <si>
    <t>DIANA DUSSAN CLINICA AVANZADA</t>
  </si>
  <si>
    <t>FERNANDO OCTAVIO VARGAS LESACA</t>
  </si>
  <si>
    <t>calle 125 # 17 -21</t>
  </si>
  <si>
    <t>6789657- 3213234399</t>
  </si>
  <si>
    <t>clinicadianadussan@gmail.com</t>
  </si>
  <si>
    <t>110014253901</t>
  </si>
  <si>
    <t>DIANA PULGARIN IPS S.A.S SEDE BOGOTÁ</t>
  </si>
  <si>
    <t>DIANA MARIA PULGARIN MEDINA</t>
  </si>
  <si>
    <t>Av 19 # 95-20 Torre Sigma Oficinas 505-506</t>
  </si>
  <si>
    <t>3102419976</t>
  </si>
  <si>
    <t>sedebogota@dradianapulgarin.com</t>
  </si>
  <si>
    <t>1100120157</t>
  </si>
  <si>
    <t>DIANTHE S.A.S.</t>
  </si>
  <si>
    <t>IVONNE LUCIA OSPINA MARTINEZ</t>
  </si>
  <si>
    <t>CARRERA 71B 54 11</t>
  </si>
  <si>
    <t>(571) 2955960</t>
  </si>
  <si>
    <t>luis.jaramillo@clinicasdianthe.com</t>
  </si>
  <si>
    <t>www.clinicasdianthe.com</t>
  </si>
  <si>
    <t>110012015701</t>
  </si>
  <si>
    <t>DIANTHE SAS</t>
  </si>
  <si>
    <t>LUIS FERNANDO JARAMILLO DAVILA</t>
  </si>
  <si>
    <t>110013515401</t>
  </si>
  <si>
    <t>DIGESTIVE</t>
  </si>
  <si>
    <t>JOHN ALEXANDER GUZMAN CAMACHO</t>
  </si>
  <si>
    <t>AK 19 # 102 - 53 CONSULTORIO 215 - 216</t>
  </si>
  <si>
    <t>3105751043</t>
  </si>
  <si>
    <t>gastroproctologia@gmail.com</t>
  </si>
  <si>
    <t>110013933701</t>
  </si>
  <si>
    <t>DIGITAL DENTAL SERVICES SAS</t>
  </si>
  <si>
    <t>BRIANDA MARCELA PATIÑO PEREZ</t>
  </si>
  <si>
    <t>CLL 90 N. 19A-49. CS 403</t>
  </si>
  <si>
    <t>3176471638</t>
  </si>
  <si>
    <t>digitaldental6@gmail.com</t>
  </si>
  <si>
    <t>110014261801</t>
  </si>
  <si>
    <t>DIONE SKIN CLINIC</t>
  </si>
  <si>
    <t>Angela Patricia Huertas Valero</t>
  </si>
  <si>
    <t>Ac 127 # 14-54 Of 716 Edificio Gradeco Business Plaza</t>
  </si>
  <si>
    <t>3134565269</t>
  </si>
  <si>
    <t>angelahuertas14@hotmail.com</t>
  </si>
  <si>
    <t>110013839001</t>
  </si>
  <si>
    <t>DND SAS</t>
  </si>
  <si>
    <t>RAFAEL MAURICIO SALGADO CASTRO</t>
  </si>
  <si>
    <t>Cra 23 #124 - 87. Consultorio 801-802. Torre 2</t>
  </si>
  <si>
    <t>6013003152</t>
  </si>
  <si>
    <t>direccion@dentisteriadigital.com</t>
  </si>
  <si>
    <t>110012815401</t>
  </si>
  <si>
    <t>DOC EN CASA ATENCION INTEGRAL DOMICILIARIA SAS SIGLA DOC EN CASA</t>
  </si>
  <si>
    <t>LEIDY JOHANNA JIMENEZ BLANCO</t>
  </si>
  <si>
    <t>CALLE 55 # 74A 30</t>
  </si>
  <si>
    <t>5484852 - 3192653097</t>
  </si>
  <si>
    <t>info@docencasa.com</t>
  </si>
  <si>
    <t>110014116501</t>
  </si>
  <si>
    <t>DOC LULU</t>
  </si>
  <si>
    <t>LUZ ANGELA GUZMAN BARON</t>
  </si>
  <si>
    <t>AVENIDA CARRERA 19 # 95-55 OFICINA 407</t>
  </si>
  <si>
    <t>3232938987</t>
  </si>
  <si>
    <t>luluguzmanb@gmail.com</t>
  </si>
  <si>
    <t>110014022001</t>
  </si>
  <si>
    <t>DOCDOC HOSPITAL VIRTUAL IPS SAS</t>
  </si>
  <si>
    <t>LAURA LORENA GUTIERREZ REYES</t>
  </si>
  <si>
    <t>Calle 119 7 14 Edificio Santa Ana Medical Center Consultorio 625</t>
  </si>
  <si>
    <t>3176396805</t>
  </si>
  <si>
    <t>laura@doc-doc.com</t>
  </si>
  <si>
    <t>110014074601</t>
  </si>
  <si>
    <t>DOCTORA LLANOS - CLINICA DE PIEL I.P.S S.A.S</t>
  </si>
  <si>
    <t>Lina Maria Llanos Mena</t>
  </si>
  <si>
    <t>Ak 15 No. 92 29 Of 801 P 1</t>
  </si>
  <si>
    <t>3102723425</t>
  </si>
  <si>
    <t>ellanos@clinicadepielips.co</t>
  </si>
  <si>
    <t>110013171601</t>
  </si>
  <si>
    <t>DOMISALUD JAC</t>
  </si>
  <si>
    <t>ANGIE YULIETH GARCIA BEJARANO</t>
  </si>
  <si>
    <t>CRA 78K #40-22 SUR PISO 1</t>
  </si>
  <si>
    <t>3027125931</t>
  </si>
  <si>
    <t>capsaludsas@gmail.com</t>
  </si>
  <si>
    <t>110013813902</t>
  </si>
  <si>
    <t>DOMSALUD KENNEDY</t>
  </si>
  <si>
    <t>LUISA FERNADA RUIZ VELAZCO</t>
  </si>
  <si>
    <t>KR 70 # 31 97 SUR PI 1 y 2</t>
  </si>
  <si>
    <t>3108888223</t>
  </si>
  <si>
    <t>gerencia@domsalud.com</t>
  </si>
  <si>
    <t>110013813907</t>
  </si>
  <si>
    <t>DOMSALUD NORTE</t>
  </si>
  <si>
    <t>LUISA FERNANDA RUIZ VELASCO</t>
  </si>
  <si>
    <t>Carrera 45 A 101 34 Piso 1</t>
  </si>
  <si>
    <t>110010917804</t>
  </si>
  <si>
    <t>DONTOLUCIA</t>
  </si>
  <si>
    <t>TV 14 48 36 SUR</t>
  </si>
  <si>
    <t>110014068901</t>
  </si>
  <si>
    <t>DOSE HEALTH &amp; COSMETIC MEDICINE IPS SAS</t>
  </si>
  <si>
    <t>LEONEL FERNANDO MALAVER CAICEDO</t>
  </si>
  <si>
    <t>Cl 117 No. 6 A 60 Cons 402</t>
  </si>
  <si>
    <t>3186619358</t>
  </si>
  <si>
    <t>gerencia@dosemedicine.com</t>
  </si>
  <si>
    <t>110012291701</t>
  </si>
  <si>
    <t>DR ALEX LLANOS UNIDAD DE ODONTOLOGÍA ESTÉTICA</t>
  </si>
  <si>
    <t>ALEXANDER LLANOS VARGAS</t>
  </si>
  <si>
    <t>carrera 13 N. 119- 54</t>
  </si>
  <si>
    <t>6378266 - 2148878 - 3005109844</t>
  </si>
  <si>
    <t>info@alexllanos.com</t>
  </si>
  <si>
    <t>110012152501</t>
  </si>
  <si>
    <t>DR ALVARO ACOSTA DE HART IPS SAS</t>
  </si>
  <si>
    <t>ALVARO ENRIQUE ACOSTA MADIEDO DE HART</t>
  </si>
  <si>
    <t>CARRERA 19C No. 90-14 401</t>
  </si>
  <si>
    <t>6103506</t>
  </si>
  <si>
    <t>acostadehart@hotmail.com</t>
  </si>
  <si>
    <t>110014223601</t>
  </si>
  <si>
    <t>DR DIEGO PARRA ODONTOLOGIA ESPECIALIZADA SAS. SIGLA DR DIEGO PARRA</t>
  </si>
  <si>
    <t>Cr 19 A No. 82 85 Cs 421</t>
  </si>
  <si>
    <t>3125381444</t>
  </si>
  <si>
    <t>diegopa_01@hotmail.com</t>
  </si>
  <si>
    <t>110012875701</t>
  </si>
  <si>
    <t>DR HELP SALUD INTEGRAL A SU HOGAR S.A.S. SIGLA DR. HELP SALUDINTEGRAL S.A.S.</t>
  </si>
  <si>
    <t>AMIR ABDALLA KHADER CASTAÑO</t>
  </si>
  <si>
    <t>Cl 31 13A 51 Of 329</t>
  </si>
  <si>
    <t>3102208220 - 6495747</t>
  </si>
  <si>
    <t>drhelp.sas@gmail.com</t>
  </si>
  <si>
    <t>110014257901</t>
  </si>
  <si>
    <t>DR. GUILLERMO BERNAL ESTÉTICA Y REHABILITACIÓN ORAL AVANZADA S.A.S.</t>
  </si>
  <si>
    <t>Guillermo Bernal Dulcey</t>
  </si>
  <si>
    <t>Cr 13 A # 89- 38 Of 510</t>
  </si>
  <si>
    <t>312 4343287</t>
  </si>
  <si>
    <t>ipsguillermobernal@gmail.com</t>
  </si>
  <si>
    <t>110014174101</t>
  </si>
  <si>
    <t>DRA CARLA NIÑO SAS</t>
  </si>
  <si>
    <t>CARLA JULITZA NIÑO RAMIREZ</t>
  </si>
  <si>
    <t>AV. Carrera 15 92 29 Oficina 202 Y 203</t>
  </si>
  <si>
    <t>3142815502</t>
  </si>
  <si>
    <t>dra.carlanino@gmail.com</t>
  </si>
  <si>
    <t>110014229001</t>
  </si>
  <si>
    <t>DRA LINA DELGADO - MEDICINA ESTETICA, REGENERATIVA Y ANTIENVEJECIMIENTO</t>
  </si>
  <si>
    <t>LINA MARIA DELGADO</t>
  </si>
  <si>
    <t>CR 19 # 108 - 45 OFICINA 201- A</t>
  </si>
  <si>
    <t>3015246189</t>
  </si>
  <si>
    <t>j.guerrero1431@gdaestheticsolutions.com</t>
  </si>
  <si>
    <t>110013853901</t>
  </si>
  <si>
    <t>DRA PATRICIA CAICEDO</t>
  </si>
  <si>
    <t>WILSON MOISES RUBIO GALLEGO</t>
  </si>
  <si>
    <t>CARRERA 70G # 71B 26</t>
  </si>
  <si>
    <t>6015245767</t>
  </si>
  <si>
    <t>gerencia@drapatriciacaicedo.com</t>
  </si>
  <si>
    <t>110014210801</t>
  </si>
  <si>
    <t>DREAMS SEDACIONES SAS</t>
  </si>
  <si>
    <t>JUAN MANUEL ALVAREZ PIEDRAHITA</t>
  </si>
  <si>
    <t>CALLE 110# 9 - 25 OF 1712</t>
  </si>
  <si>
    <t>sedacionesdreams@gmail.com</t>
  </si>
  <si>
    <t>110014223301</t>
  </si>
  <si>
    <t>DRS RENE PEDRAZA IPS SAS</t>
  </si>
  <si>
    <t>RENE ALEJANDRO PEDRAZA TOSCANO</t>
  </si>
  <si>
    <t>AK 9 NO. 116 20 CS 517</t>
  </si>
  <si>
    <t>3002034892</t>
  </si>
  <si>
    <t>alejo14p@gmail.com</t>
  </si>
  <si>
    <t>110012683101</t>
  </si>
  <si>
    <t>DRS.PULIDO IPS SAS</t>
  </si>
  <si>
    <t>EDGAR ALONSO PULIDO CARO</t>
  </si>
  <si>
    <t>Cr 49A # 93 - 23 P 1 Y P 2</t>
  </si>
  <si>
    <t>3223260784</t>
  </si>
  <si>
    <t>esteticadrs.pulido2021@gmail.com</t>
  </si>
  <si>
    <t>110013950901</t>
  </si>
  <si>
    <t>DUAL SENSE</t>
  </si>
  <si>
    <t>NATALIA GUTIERREZ DUEÑAS</t>
  </si>
  <si>
    <t>AVENIDA CALLE 127 14-54 LOCAL 102</t>
  </si>
  <si>
    <t>3112265426</t>
  </si>
  <si>
    <t>contacto@dualsense.com.co</t>
  </si>
  <si>
    <t>1100110294</t>
  </si>
  <si>
    <t>Dental Image S.A.S</t>
  </si>
  <si>
    <t>Sandra Franco Diaz</t>
  </si>
  <si>
    <t>110012425601</t>
  </si>
  <si>
    <t>Dra. Luz Marina Díaz Medicina Estetica</t>
  </si>
  <si>
    <t>Luz Marina Díaz Vera</t>
  </si>
  <si>
    <t>KR 23 N 124 - 87 OF 202</t>
  </si>
  <si>
    <t>6190865 - 6124457 - 6566460</t>
  </si>
  <si>
    <t>notificaciones@draluzmarinadiaz.com</t>
  </si>
  <si>
    <t>1100118933</t>
  </si>
  <si>
    <t>E F FRESNEDA ODONTOLOGIA ESPECIALIZADA LTDA</t>
  </si>
  <si>
    <t>EDGAR RICARDO FRESNEDA ARIZA</t>
  </si>
  <si>
    <t>CL 20 SUR 18 04</t>
  </si>
  <si>
    <t>2094996</t>
  </si>
  <si>
    <t>luisalberto10_811@hotmail.com</t>
  </si>
  <si>
    <t>1100118861</t>
  </si>
  <si>
    <t>E F G FRESNEDA ODONTOLOGIA ESPECIALIZADA SAS</t>
  </si>
  <si>
    <t>subaserviodonto@gmail.com</t>
  </si>
  <si>
    <t>110014291201</t>
  </si>
  <si>
    <t>EBENEZER MEDICAL CENTER SAS</t>
  </si>
  <si>
    <t>Eliana Andrea Chia Chaves</t>
  </si>
  <si>
    <t>Calle 31 13 A 51 Edificio Panorama Oficina 310</t>
  </si>
  <si>
    <t>3154273370</t>
  </si>
  <si>
    <t>direccionadmiebenezer@gmail.com</t>
  </si>
  <si>
    <t>110012238501</t>
  </si>
  <si>
    <t>ECLAT MEDICINA ESTETICA Y ANTIENVEJECIMIENTO SAS</t>
  </si>
  <si>
    <t>NATALIA BAQUERO MOLINA</t>
  </si>
  <si>
    <t>CARRERA 17 N. 106 - 16 CONSULTORIO 202 - 205</t>
  </si>
  <si>
    <t>3132621954</t>
  </si>
  <si>
    <t>nataliab1983@hotmail.com</t>
  </si>
  <si>
    <t>110013636701</t>
  </si>
  <si>
    <t>EDGAR GERARDO HERRERA HEREDIA S.A.S.</t>
  </si>
  <si>
    <t>EDGAR GERARDO HERRERA HEREDIA</t>
  </si>
  <si>
    <t>CL 127 No. 19 A 62 Cs 213</t>
  </si>
  <si>
    <t>3153018083</t>
  </si>
  <si>
    <t>cardiologia.dr.gerardoherrera@hotmail.com</t>
  </si>
  <si>
    <t>110012649001</t>
  </si>
  <si>
    <t>EFI CIENCIA OCUPACIONAL LTDA</t>
  </si>
  <si>
    <t>JUAN DANTE NERIA ACEVEDO</t>
  </si>
  <si>
    <t>CL 71 29 30</t>
  </si>
  <si>
    <t>7551993 7551994 3112281777</t>
  </si>
  <si>
    <t>eficiencia.ocupacional@gmail.com</t>
  </si>
  <si>
    <t>110012518501</t>
  </si>
  <si>
    <t>EL CENTRO DE LOS SENTIDOS SAS</t>
  </si>
  <si>
    <t>MARTIN ALONSO FERNANDEZ PADILLA</t>
  </si>
  <si>
    <t>Avenidad Carrera 19 # 120 -71 OF. 101 OF. 102</t>
  </si>
  <si>
    <t>6017569914</t>
  </si>
  <si>
    <t>gerencia@elcentrodelossentidos.com</t>
  </si>
  <si>
    <t>110010561810</t>
  </si>
  <si>
    <t>EL INSTITUTO DE CÁNCER CARLOS ARDILA LÜLLE- ICCAL</t>
  </si>
  <si>
    <t>ANDRES RODRIGUEZ MUNERA</t>
  </si>
  <si>
    <t>Calle 120 A No. 7-86</t>
  </si>
  <si>
    <t>andres.rodriguez@fsfb.org.co</t>
  </si>
  <si>
    <t>110011788701</t>
  </si>
  <si>
    <t>EL MERCADO OPTICO</t>
  </si>
  <si>
    <t>SANDRA ARTUNDUAGA WALTEROS</t>
  </si>
  <si>
    <t>CALLE 19 12 39</t>
  </si>
  <si>
    <t>2813579</t>
  </si>
  <si>
    <t>elmercadooptico@hotmail.com</t>
  </si>
  <si>
    <t>1100117887</t>
  </si>
  <si>
    <t>EL MERCADO OPTICO LTDA</t>
  </si>
  <si>
    <t>CALLE 19 12 41 OF 303</t>
  </si>
  <si>
    <t>2816190</t>
  </si>
  <si>
    <t>110014172901</t>
  </si>
  <si>
    <t>ELANOVA MEDICINA INTEGRAL SAS</t>
  </si>
  <si>
    <t>WILSON ORLANDO CHARRY ARIZA</t>
  </si>
  <si>
    <t>Dg 115 A No. 70 D 13</t>
  </si>
  <si>
    <t>3176670869</t>
  </si>
  <si>
    <t>elanovamedicinaintegral@gmail.com</t>
  </si>
  <si>
    <t>1100116129</t>
  </si>
  <si>
    <t>ELECTROFISIATRIA SAS</t>
  </si>
  <si>
    <t>WILLIAM MENESES PARRA</t>
  </si>
  <si>
    <t>CL 112 # 70 B 28</t>
  </si>
  <si>
    <t>6652999 - 3103481510</t>
  </si>
  <si>
    <t>calidad@electrofisiatria.com</t>
  </si>
  <si>
    <t>www.electrofisiatria.com</t>
  </si>
  <si>
    <t>110013778201</t>
  </si>
  <si>
    <t>ELITE COSMETIC DENTAL SAS</t>
  </si>
  <si>
    <t>BETSY PAOLA FLECHAS OLAYA</t>
  </si>
  <si>
    <t>AK 9# 127B-20 CS 602 Y 610</t>
  </si>
  <si>
    <t>3209453063</t>
  </si>
  <si>
    <t>ceo@elitecosmeticdental.com</t>
  </si>
  <si>
    <t>110011950801</t>
  </si>
  <si>
    <t>ELITE DENTAL SUCURSAL GALERIAS</t>
  </si>
  <si>
    <t>110011769401</t>
  </si>
  <si>
    <t>ELITE DENTAL VILLAS.</t>
  </si>
  <si>
    <t>CL 128 B No. 58 B 13</t>
  </si>
  <si>
    <t>2533319</t>
  </si>
  <si>
    <t>gerenciavillas@clinicaelitedental.com.co</t>
  </si>
  <si>
    <t>110011087901</t>
  </si>
  <si>
    <t>EMERMEDICA S.A. BOGOTÀ</t>
  </si>
  <si>
    <t>MARIA GARCIA CAMPA</t>
  </si>
  <si>
    <t>KRA. 19 B No. 168 -35</t>
  </si>
  <si>
    <t>3077098</t>
  </si>
  <si>
    <t>notificaciones@emermedica.com.co</t>
  </si>
  <si>
    <t>1100110879</t>
  </si>
  <si>
    <t>EMERMEDICA S.A. SERVICIOS DE AMBULANCIA PREPAGADOS</t>
  </si>
  <si>
    <t>MARIA MERCEDES GARCIA HORMAZA</t>
  </si>
  <si>
    <t>Carrera 19B No 168 - 35</t>
  </si>
  <si>
    <t>www.emermedica.com.co</t>
  </si>
  <si>
    <t>110011087902</t>
  </si>
  <si>
    <t>EMERMEDICA VILLA ALSACIA</t>
  </si>
  <si>
    <t>calle 12b No 71d-61 LC ST</t>
  </si>
  <si>
    <t>5190219</t>
  </si>
  <si>
    <t>110012527504</t>
  </si>
  <si>
    <t>EMMANUEL INSTITUTO DE REHABILITACION Y HABILITACION INFANTIL SAS</t>
  </si>
  <si>
    <t>Oscar Daniel Nieto Contreras</t>
  </si>
  <si>
    <t>Calle 78 # 12A- 30</t>
  </si>
  <si>
    <t>7433693 - 3022874789</t>
  </si>
  <si>
    <t>direcciondecalidad@emmanuelips.co</t>
  </si>
  <si>
    <t>1100119231</t>
  </si>
  <si>
    <t>EMPRESA DE MEDICINA INTEGRAL EMI S.A.S. SERVICIO DE AMBULANCIA PREPAGADA</t>
  </si>
  <si>
    <t>YANN FRANCIS JEAN HEDOUX</t>
  </si>
  <si>
    <t>KR 68 D # 18 30</t>
  </si>
  <si>
    <t>6013077364 - 3133834358</t>
  </si>
  <si>
    <t>juan.alfonso@grupoemi.com</t>
  </si>
  <si>
    <t>110011923101</t>
  </si>
  <si>
    <t>EMPRESA DE MEDICINA INTEGRAL EMI SAS SERVICIO DE AMBULANCIA PREPAGADA- GRUPO EMI S.A.S</t>
  </si>
  <si>
    <t>JUAN JOSE ALFONSO MORENO</t>
  </si>
  <si>
    <t>1100118895</t>
  </si>
  <si>
    <t>EMPRESALUD OCUPACIONAL EU</t>
  </si>
  <si>
    <t>Naydu Peña</t>
  </si>
  <si>
    <t>CALLE 35 NO 15 - 56</t>
  </si>
  <si>
    <t>8052468</t>
  </si>
  <si>
    <t>empresaludocupacional@hotmail.com</t>
  </si>
  <si>
    <t>empresalud.com.co</t>
  </si>
  <si>
    <t>1100116426</t>
  </si>
  <si>
    <t>EMURACENTER LATINOAMERICA EU</t>
  </si>
  <si>
    <t>FABIAN ARTURO EMURA PERLAZA</t>
  </si>
  <si>
    <t>CALLE 134 NO. 7 - 83 TORRE 3 PISO 4 CONSULTORIO 341</t>
  </si>
  <si>
    <t>6334711 - 6271493</t>
  </si>
  <si>
    <t>fabianemura@hotmail.com</t>
  </si>
  <si>
    <t>www.emuracenter.org</t>
  </si>
  <si>
    <t>110011275601</t>
  </si>
  <si>
    <t>ENDO THERAPEUTICS SEDE MARLY</t>
  </si>
  <si>
    <t>CR 13 49-40 CS 525</t>
  </si>
  <si>
    <t>3383864-2451496</t>
  </si>
  <si>
    <t>gerencia@venolaser.com</t>
  </si>
  <si>
    <t>1100112713</t>
  </si>
  <si>
    <t>ENDOCARE SAS</t>
  </si>
  <si>
    <t>ERIC HERNANDEZ TRIANA</t>
  </si>
  <si>
    <t>CL 106 # 54-60 CONSULTORIO 1, 2, 3, 4, 5, 7, 8, 9, 10</t>
  </si>
  <si>
    <t>6132411 - 3182870677</t>
  </si>
  <si>
    <t>endocaree@gmail.com</t>
  </si>
  <si>
    <t>110013283301</t>
  </si>
  <si>
    <t>ENDOCIENCIA SAS</t>
  </si>
  <si>
    <t>CATALINA FORERO RONDEROS</t>
  </si>
  <si>
    <t>KR 16 # 84A - 09 CONS 424</t>
  </si>
  <si>
    <t>3227350739</t>
  </si>
  <si>
    <t>endociencia.sas@gmail.com</t>
  </si>
  <si>
    <t>110012172801</t>
  </si>
  <si>
    <t>ENDOGER SAS</t>
  </si>
  <si>
    <t>GERMAN PIÑERES SILVA</t>
  </si>
  <si>
    <t>AC 127 14 54 OF 414B 415A 415B 416 417</t>
  </si>
  <si>
    <t>7561601- 3204948707</t>
  </si>
  <si>
    <t>ENDOGER@YAHOO.COM</t>
  </si>
  <si>
    <t>110014248201</t>
  </si>
  <si>
    <t>ENDOPLUS SAS</t>
  </si>
  <si>
    <t>HERNANDO KUAN CASAS</t>
  </si>
  <si>
    <t>CRA. 23 No. 124 - 87 TORRE 2 CS.306 Edificio Zentai</t>
  </si>
  <si>
    <t>3124820028</t>
  </si>
  <si>
    <t>endoplusips@hotmail.com</t>
  </si>
  <si>
    <t>1100112756</t>
  </si>
  <si>
    <t>ENDOTHERAPEUTICS SAS</t>
  </si>
  <si>
    <t>KR 13 # 49 40 CS 525</t>
  </si>
  <si>
    <t>3383864</t>
  </si>
  <si>
    <t>110011275602</t>
  </si>
  <si>
    <t>ENDOTHERAPEUTICS SAS SEDE SANTANA</t>
  </si>
  <si>
    <t>CALLE 119 N 7 14 CONSULTORIO 315</t>
  </si>
  <si>
    <t>2158007</t>
  </si>
  <si>
    <t>110010621304</t>
  </si>
  <si>
    <t>ENFASO PROCEDIMIENTOS CLINICA COLOMBIA</t>
  </si>
  <si>
    <t>MARTHA HELENA DUEÑAS CARDENAS</t>
  </si>
  <si>
    <t>CL 23 # 66-46 CS 815</t>
  </si>
  <si>
    <t>5701446</t>
  </si>
  <si>
    <t>enfaso@gmail.com</t>
  </si>
  <si>
    <t>110010621307</t>
  </si>
  <si>
    <t>ENFASO PROCEDIMIENTOS CLÍNICA COLOMBIA 819</t>
  </si>
  <si>
    <t>MARÍA CLAUDIA MORA CALDERÓN</t>
  </si>
  <si>
    <t>CALLE 23 No 66-46 CONS 819</t>
  </si>
  <si>
    <t>2202700 EXT 7822 - 5701446</t>
  </si>
  <si>
    <t>110013592801</t>
  </si>
  <si>
    <t>ENFERCARE</t>
  </si>
  <si>
    <t>ALEXANDER DIAZ ALARCON</t>
  </si>
  <si>
    <t>Avenida Calle 145 91 19 Bq 12 Lc 204</t>
  </si>
  <si>
    <t>3176353366</t>
  </si>
  <si>
    <t>enfercaredc@gmail.com</t>
  </si>
  <si>
    <t>1100106213</t>
  </si>
  <si>
    <t>ENFERMERAS DOMICILIARIAS ASOCIADAS ENFASO SAS</t>
  </si>
  <si>
    <t>DUEÑAS CARDENAS MARTHA HELENA</t>
  </si>
  <si>
    <t>AC 127 # 20 16 Ofc 215</t>
  </si>
  <si>
    <t>6232105</t>
  </si>
  <si>
    <t>enfaso@enfaso.com</t>
  </si>
  <si>
    <t>www.enfaso.com</t>
  </si>
  <si>
    <t>1100107138</t>
  </si>
  <si>
    <t>ENFETER SA</t>
  </si>
  <si>
    <t>RIVEROS AHUMADA JORGE HERNANDO</t>
  </si>
  <si>
    <t>AC 116 No 9-72 Consultorio 601 y 501</t>
  </si>
  <si>
    <t>7420030 4894228</t>
  </si>
  <si>
    <t>info.legal@enfeter.com.co</t>
  </si>
  <si>
    <t>110011031001</t>
  </si>
  <si>
    <t>ENTORNO &amp; COMPAÑÍA LTDA</t>
  </si>
  <si>
    <t>LEYLA VERONICA ROSSI SARMIENTO</t>
  </si>
  <si>
    <t>Transversal 19a # 98-28 piso 4to</t>
  </si>
  <si>
    <t>7463261 - 3153361884</t>
  </si>
  <si>
    <t>calidad@entornoycia.co</t>
  </si>
  <si>
    <t>110013946601</t>
  </si>
  <si>
    <t>EO DENTAL GROUP SAS</t>
  </si>
  <si>
    <t>RAFAEL ALBERTO OSMA CANO</t>
  </si>
  <si>
    <t>AK 58 128 A 03 PISO 1</t>
  </si>
  <si>
    <t>3147752016</t>
  </si>
  <si>
    <t>colombiadentalcare@gmail.com</t>
  </si>
  <si>
    <t>110014197301</t>
  </si>
  <si>
    <t>EQUILIBRIO ASISTENCIAL IPS SAS SIGLA EAI</t>
  </si>
  <si>
    <t>LUZMILA ARARAT VIVEROS</t>
  </si>
  <si>
    <t>Avenida Calle 24 40 58 Oficina 501</t>
  </si>
  <si>
    <t>3016977921</t>
  </si>
  <si>
    <t>equilibrioasistencialips@gmail.com</t>
  </si>
  <si>
    <t>1100109562</t>
  </si>
  <si>
    <t>EQUILIBRIO S.A.S</t>
  </si>
  <si>
    <t>GEMPLER RUEDA JUANITA</t>
  </si>
  <si>
    <t>CALLE 118 # 47 A - 12</t>
  </si>
  <si>
    <t>8050025</t>
  </si>
  <si>
    <t>d.admin@programaequilibrio.org</t>
  </si>
  <si>
    <t>110012324801</t>
  </si>
  <si>
    <t>ERMEDICALLS S.A.S</t>
  </si>
  <si>
    <t>SANDRA MARCELA DIAZ WILCHEZ</t>
  </si>
  <si>
    <t>CALLE 87 BIS # 85 - 39</t>
  </si>
  <si>
    <t>4580666 - 4580667</t>
  </si>
  <si>
    <t>ermedicalls@gmail.com</t>
  </si>
  <si>
    <t>110013845001</t>
  </si>
  <si>
    <t>ES VITAL CENTER S.A.S</t>
  </si>
  <si>
    <t>ANGELICA MARIA DOMINGUEZ DUARTE</t>
  </si>
  <si>
    <t>Ak 9 # 116-20 CS 502-518-520-708</t>
  </si>
  <si>
    <t>3152573400</t>
  </si>
  <si>
    <t>angelicadominguezduarte@gmail.com</t>
  </si>
  <si>
    <t>110012225001</t>
  </si>
  <si>
    <t>ESALUD OCUPACIONAL S.A.S.</t>
  </si>
  <si>
    <t>JUAN CARLOS PÉREZ LEGUÍZAMO</t>
  </si>
  <si>
    <t>CARRERA 48 No. 95 - 87</t>
  </si>
  <si>
    <t>533 11 80</t>
  </si>
  <si>
    <t>jcperezl@esaludocupacional.com</t>
  </si>
  <si>
    <t>110012198701</t>
  </si>
  <si>
    <t>ESENCIAL IPS</t>
  </si>
  <si>
    <t>JULIAN PABON GOMEZ</t>
  </si>
  <si>
    <t>CRA 13 N° 48- 26 CONSULTORIO 205 CENTRO EMPRESARIAL ELITE</t>
  </si>
  <si>
    <t>3174339515 - 3213176723</t>
  </si>
  <si>
    <t>c.calidad@esencial-ips.com</t>
  </si>
  <si>
    <t>110013760601</t>
  </si>
  <si>
    <t>ESMEDICA CIRUPLASTICA SAS</t>
  </si>
  <si>
    <t>ANGELICA CASTILLO MORALES</t>
  </si>
  <si>
    <t>CARRERA 19 A 90 - 13 CONSULTORIO 507</t>
  </si>
  <si>
    <t>3123828881</t>
  </si>
  <si>
    <t>ciruplastica10@gmail.com</t>
  </si>
  <si>
    <t>110012592801</t>
  </si>
  <si>
    <t>ESPECIALISTAS CIRUJANOS PLÁSTICOS S.A.S. SIGLA: ECIPLAST S.A.S</t>
  </si>
  <si>
    <t>JORGE ERNESTO CANTINI ARDILA</t>
  </si>
  <si>
    <t>calle 120 A 7-05 piso M</t>
  </si>
  <si>
    <t>3102948583</t>
  </si>
  <si>
    <t>eciplast@gmail.com</t>
  </si>
  <si>
    <t>110013804401</t>
  </si>
  <si>
    <t>ESPECIALISTAS EN SALUD MENTAL S.A.S</t>
  </si>
  <si>
    <t>LUISA FERNANDA PARRA GODOY</t>
  </si>
  <si>
    <t>KR 7 C bis# 139 - 18 OF 506</t>
  </si>
  <si>
    <t>3203379561</t>
  </si>
  <si>
    <t>contacto@psicologa.co</t>
  </si>
  <si>
    <t>1100119765</t>
  </si>
  <si>
    <t>ESPECIALISTAS EN SALUD OCUPACIONAL GENESLAB LTDA</t>
  </si>
  <si>
    <t>BIANETH RODRIGUEZ HERNANDEZ</t>
  </si>
  <si>
    <t>CL 98 No 15 - 17 CS 201</t>
  </si>
  <si>
    <t>6213745-3028440955</t>
  </si>
  <si>
    <t>geneslab2001@yahoo.es</t>
  </si>
  <si>
    <t>110011593001</t>
  </si>
  <si>
    <t>ESPLENDENT</t>
  </si>
  <si>
    <t>JUAN SEBASTIAN GALLEGO CORREA</t>
  </si>
  <si>
    <t>KR 59 A # 136 95 LC 203</t>
  </si>
  <si>
    <t>6960047</t>
  </si>
  <si>
    <t>comercial@esplendent.com</t>
  </si>
  <si>
    <t>1100115930</t>
  </si>
  <si>
    <t>ESPLENDENT S A S SIGLA ESPLENDENT</t>
  </si>
  <si>
    <t>KR 59 A# 136 95 LC 203</t>
  </si>
  <si>
    <t>1100118635</t>
  </si>
  <si>
    <t>ESTACION DENTAL S.A.S.</t>
  </si>
  <si>
    <t>EDGAR CARVAJAL HERMIDA</t>
  </si>
  <si>
    <t>KR 47 A #114-19 Piso 1</t>
  </si>
  <si>
    <t>601 6129930 - 3112151875</t>
  </si>
  <si>
    <t>dentistacolombia@yahoo.com</t>
  </si>
  <si>
    <t>110013765102</t>
  </si>
  <si>
    <t>ESTRATEGO IPS QUINTA CAMACHO</t>
  </si>
  <si>
    <t>CARLOS ALFONSO BETANCOURTH LOPEZ</t>
  </si>
  <si>
    <t>CARRERA 13 N° 71-57</t>
  </si>
  <si>
    <t>3118192624</t>
  </si>
  <si>
    <t>estrategoips@gmail.com</t>
  </si>
  <si>
    <t>110013765101</t>
  </si>
  <si>
    <t>ESTRATEGO IPS SAS</t>
  </si>
  <si>
    <t>CARRERA 92 # 151-01 LOCAL 2-02</t>
  </si>
  <si>
    <t>8915833</t>
  </si>
  <si>
    <t>1100110582</t>
  </si>
  <si>
    <t>ESTUDIOS ANATOMOPATOLOGICOS LTDA</t>
  </si>
  <si>
    <t>VARGAS LEON LUZ MERY</t>
  </si>
  <si>
    <t>AV carrera 19 # 95-31/55 OF 510-511</t>
  </si>
  <si>
    <t>3463573</t>
  </si>
  <si>
    <t>eapestudios@hotmail.com</t>
  </si>
  <si>
    <t>110014351401</t>
  </si>
  <si>
    <t>ETERNA MEDICAL CLINIC</t>
  </si>
  <si>
    <t>Freddy Jose Alfaro Martinez</t>
  </si>
  <si>
    <t>CLL 117 #6A-60 Oficina 307</t>
  </si>
  <si>
    <t>3041306066</t>
  </si>
  <si>
    <t>falfaro87@gmail.com</t>
  </si>
  <si>
    <t>110014223501</t>
  </si>
  <si>
    <t>ETERNIA BY DR. CAMILO HENAO IPS S.A.S</t>
  </si>
  <si>
    <t>JUAN CAMILO HENAO SALAMANCA</t>
  </si>
  <si>
    <t>CALLE 98 9 A 46 OFICINA 401</t>
  </si>
  <si>
    <t>3154398052</t>
  </si>
  <si>
    <t>DR.CAMILOHENAO@GMAIL.COM</t>
  </si>
  <si>
    <t>1100100224</t>
  </si>
  <si>
    <t>ETICA ORAL LIMITADA</t>
  </si>
  <si>
    <t>VILA VALERA HUMBERTO</t>
  </si>
  <si>
    <t>CL 127 No 19A -44/62 P2 CONS 202-203 ACOMEDICA 2</t>
  </si>
  <si>
    <t>6025050</t>
  </si>
  <si>
    <t>servietica@yahoo.com</t>
  </si>
  <si>
    <t>110014046301</t>
  </si>
  <si>
    <t>EURITMIA MAS SALUD MENTAL INTEGRAL</t>
  </si>
  <si>
    <t>DIEGO FELIPE FONSECA PERDOMO</t>
  </si>
  <si>
    <t>AK 19 N° 108 - 45 OF 404</t>
  </si>
  <si>
    <t>3112778036</t>
  </si>
  <si>
    <t>mas.saludmentalintegral@gmail.com</t>
  </si>
  <si>
    <t>110014291101</t>
  </si>
  <si>
    <t>EUROCLINIK SAS</t>
  </si>
  <si>
    <t>FABIO SEGURA DIAZ</t>
  </si>
  <si>
    <t>AC 127 No. 14 - 54 LC 307</t>
  </si>
  <si>
    <t>3144622697</t>
  </si>
  <si>
    <t>calidadeuroclinik@gmail.com</t>
  </si>
  <si>
    <t>110013088001</t>
  </si>
  <si>
    <t>EURODIGEST S.A.S.</t>
  </si>
  <si>
    <t>LUIS CARLOS SABBAGH SANVICENTE</t>
  </si>
  <si>
    <t>AC 127 NO. 21 - 60 CONSULTORIO 401</t>
  </si>
  <si>
    <t>6157911 - 3112505495</t>
  </si>
  <si>
    <t>eurodigestsas@gmail.com</t>
  </si>
  <si>
    <t>110010822203</t>
  </si>
  <si>
    <t>EUSALUD CLINICA DE TRAUMATOLOGIA Y ORTOPEDIA</t>
  </si>
  <si>
    <t>LUIS RAMON MONTAGUT CIFUENTES</t>
  </si>
  <si>
    <t>KR 78 # 3 A 40</t>
  </si>
  <si>
    <t>1100108222</t>
  </si>
  <si>
    <t>EUSALUD S.A</t>
  </si>
  <si>
    <t>MONTAGUT CIFUENTES VICTOR GUILLERMO</t>
  </si>
  <si>
    <t>calidad.direccion@eusalud.com</t>
  </si>
  <si>
    <t>www.eusalud.com</t>
  </si>
  <si>
    <t>110012174505</t>
  </si>
  <si>
    <t>EVALUA IPS TOBERIN 1</t>
  </si>
  <si>
    <t>WILLIAM JAVIER MORALES NARANJO</t>
  </si>
  <si>
    <t>Carrera 21 166 34 Piso 1</t>
  </si>
  <si>
    <t>6019172205</t>
  </si>
  <si>
    <t>gerencia@evaluasalud.com</t>
  </si>
  <si>
    <t>110012174504</t>
  </si>
  <si>
    <t>EVALUA SALUD DORADO PLAZA 3</t>
  </si>
  <si>
    <t>Avenida Calle 26 85 D 55 Local Exterior 20A,21 Y 22</t>
  </si>
  <si>
    <t>6013907146</t>
  </si>
  <si>
    <t>110012174503</t>
  </si>
  <si>
    <t>EVALUA SALUD IPS</t>
  </si>
  <si>
    <t>CARRERA 65 A No. 5A - 35 CASA PISO 1</t>
  </si>
  <si>
    <t>3907146</t>
  </si>
  <si>
    <t>110012174501</t>
  </si>
  <si>
    <t>EVALUA SALUD OCUPACIONAL</t>
  </si>
  <si>
    <t>DIAMA ROJAS JARAMILLO</t>
  </si>
  <si>
    <t>Cra 45A N 93-56</t>
  </si>
  <si>
    <t>8012047 CEL: 3174389390</t>
  </si>
  <si>
    <t>110012216001</t>
  </si>
  <si>
    <t>EVALUACION MEDICA PARA CONDUCTORES SAN DIEGO</t>
  </si>
  <si>
    <t>ROSA NELLY RAMIREZ MURCIA</t>
  </si>
  <si>
    <t>CR 13A N 28 38 LOCALES 152-153-154-156-157</t>
  </si>
  <si>
    <t>3142515887</t>
  </si>
  <si>
    <t>EMCIPSSAS@HOTMAIL.COM</t>
  </si>
  <si>
    <t>110012517901</t>
  </si>
  <si>
    <t>EVENTOS MASIVOS CIUDAD JARDIN SAS SIGLA EVENMAS SAS</t>
  </si>
  <si>
    <t>CARLOS ERBERTO RINCON HORTUA</t>
  </si>
  <si>
    <t>CRA 11 A N° 17 sur 34</t>
  </si>
  <si>
    <t>6098498</t>
  </si>
  <si>
    <t>evenmascj@gmail.com</t>
  </si>
  <si>
    <t>110012274101</t>
  </si>
  <si>
    <t>EVENTOS MEDICOS SALUD S.A.S SIGLA EVENMEC</t>
  </si>
  <si>
    <t>DIANA CONSUELO GUASCA CRISTANCHO</t>
  </si>
  <si>
    <t>Calle 163 A #19 A 95 Piso 1</t>
  </si>
  <si>
    <t>3208484519</t>
  </si>
  <si>
    <t>operaciones1@evenmec.com</t>
  </si>
  <si>
    <t>110013357301</t>
  </si>
  <si>
    <t>EVOLUCIA</t>
  </si>
  <si>
    <t>CARLOS AUGUSTO MEDINA SIERVO</t>
  </si>
  <si>
    <t>CARRERA 23 NUMERO 45C 31 CONSULTORIO 505A</t>
  </si>
  <si>
    <t>2870157 3102719359</t>
  </si>
  <si>
    <t>gestioncalidad@evolucia.com.co</t>
  </si>
  <si>
    <t>1100103279</t>
  </si>
  <si>
    <t>EVOLUCIONAR SERVICIOS DE SALUD SAS</t>
  </si>
  <si>
    <t>ESTRADA MADRIGAL CLAUDIA ISABEL</t>
  </si>
  <si>
    <t>CL 95 No. 11-51 of. 201-204</t>
  </si>
  <si>
    <t>3138542565</t>
  </si>
  <si>
    <t>claudiaricaurte@evolucionar.com.co</t>
  </si>
  <si>
    <t>www.evolucionar.com.co</t>
  </si>
  <si>
    <t>1100118369</t>
  </si>
  <si>
    <t>EVOLUTION DENTAL &amp; ORTHODONTIC CENTER S.A.S</t>
  </si>
  <si>
    <t>ANDREA VERGARA</t>
  </si>
  <si>
    <t>CL 119 # 11 D 18 PS 2 CONSULTORIO 201 202 203</t>
  </si>
  <si>
    <t>2153091</t>
  </si>
  <si>
    <t>anverag@yahoo.com</t>
  </si>
  <si>
    <t>www.evolutionk.com</t>
  </si>
  <si>
    <t>1100109667</t>
  </si>
  <si>
    <t>EVOLUTION MEDICAL CENTER SAS</t>
  </si>
  <si>
    <t>HOYOS ARIZA ALFREDO ERNESTO</t>
  </si>
  <si>
    <t>CARRERA 11 D N 119-21</t>
  </si>
  <si>
    <t>2139564 - 2136058</t>
  </si>
  <si>
    <t>gerencia@evolution.com.co</t>
  </si>
  <si>
    <t>www.evolution.com.co</t>
  </si>
  <si>
    <t>110014142301</t>
  </si>
  <si>
    <t>EWAH S.A.S</t>
  </si>
  <si>
    <t>Claudia Lorena Pinzon Chaparro</t>
  </si>
  <si>
    <t>CARRERA 23 124 87 EDIFICIO ZENTAI TORRE 1 CONSULTORIO 602</t>
  </si>
  <si>
    <t>3024509408</t>
  </si>
  <si>
    <t>lorenapinzon@yahoo.es</t>
  </si>
  <si>
    <t>110014131401</t>
  </si>
  <si>
    <t>EXALUD SAS</t>
  </si>
  <si>
    <t>Yeily Carreño Beltrán</t>
  </si>
  <si>
    <t>Cl 6A # 69 F - 14 Piso 3</t>
  </si>
  <si>
    <t>6017680337</t>
  </si>
  <si>
    <t>exaludsas@gmail.com</t>
  </si>
  <si>
    <t>110011044702</t>
  </si>
  <si>
    <t>EXAMENES DIAGNOSTICOS</t>
  </si>
  <si>
    <t>DIANA MARIA OVIEDO GOMEZ</t>
  </si>
  <si>
    <t>CL 86 A # 13 A 09 OF 301</t>
  </si>
  <si>
    <t>6164736</t>
  </si>
  <si>
    <t>calidad@hablemosdesalud.com.co</t>
  </si>
  <si>
    <t>110013721701</t>
  </si>
  <si>
    <t>EXAMINARTE</t>
  </si>
  <si>
    <t>Nicolás Leal Poveda</t>
  </si>
  <si>
    <t>Ac 147 19 50 Lc 18 Cc Futuro 147</t>
  </si>
  <si>
    <t>Tel: (601) 2160418- (601) 7810226</t>
  </si>
  <si>
    <t>calidad@controlmedgroup.com</t>
  </si>
  <si>
    <t>110011964605</t>
  </si>
  <si>
    <t>EXPOVISION MAPAGO</t>
  </si>
  <si>
    <t>MARIA JUDITH ARISTIZABAL JIMENEZ</t>
  </si>
  <si>
    <t>CL 19 # 12 57 PISO 1</t>
  </si>
  <si>
    <t>3415151</t>
  </si>
  <si>
    <t>compras@megacentrovision.com</t>
  </si>
  <si>
    <t>110011964606</t>
  </si>
  <si>
    <t>EXPOVISION MAPAGO 2</t>
  </si>
  <si>
    <t>CL 19 # 13 - 21</t>
  </si>
  <si>
    <t>2836889</t>
  </si>
  <si>
    <t>110010561817</t>
  </si>
  <si>
    <t>Edificio Ambulatorio</t>
  </si>
  <si>
    <t>CALLE 119 # 7-80 Piso 2, 6 y 9</t>
  </si>
  <si>
    <t>110010561818</t>
  </si>
  <si>
    <t>Edificio Ambulatorio FSFB Piso 1,3,4,5,7,8,10 y 11</t>
  </si>
  <si>
    <t>Calle 119 # 7- 80 Piso 1, Piso 3 C: 301,302,303,304,305,306,307,308,309,310,316,317,318,319, Piso 4 C: 401,402,403,404,405,406,407,408,409,410, Piso 5 C:501,502,503,504,505,506,507,508,509,510,511,Piso 7, Piso 8, Piso 10 consultorio 1004, Piso 11.</t>
  </si>
  <si>
    <t>6016030303</t>
  </si>
  <si>
    <t>110012756901</t>
  </si>
  <si>
    <t>Emdiagnostica SAS</t>
  </si>
  <si>
    <t>Jenny Molano Caro</t>
  </si>
  <si>
    <t>KR 18 # 84 11 CS 401</t>
  </si>
  <si>
    <t>7041234-7041238-3102825618-3102816993-3102750788</t>
  </si>
  <si>
    <t>emdiagnostica@gmail.com</t>
  </si>
  <si>
    <t>110011472101</t>
  </si>
  <si>
    <t>Emergencias Médicas 911 Ltda.</t>
  </si>
  <si>
    <t>Alejandro García Garrido</t>
  </si>
  <si>
    <t>KR 32B 4-59</t>
  </si>
  <si>
    <t>805 11 09 -3124470634</t>
  </si>
  <si>
    <t>EMERGENCIAS911@GMAIL.COM</t>
  </si>
  <si>
    <t>110011087903</t>
  </si>
  <si>
    <t>Emermedica Odontologica</t>
  </si>
  <si>
    <t>Calle 97 # 23-10 Consultorio 101</t>
  </si>
  <si>
    <t>6013559675</t>
  </si>
  <si>
    <t>110012754701</t>
  </si>
  <si>
    <t>Emotion Fit Center SAS</t>
  </si>
  <si>
    <t>olga romero</t>
  </si>
  <si>
    <t>ak 58 # 131 a - 06</t>
  </si>
  <si>
    <t>3124344215</t>
  </si>
  <si>
    <t>olgaro_j@hotmail.com</t>
  </si>
  <si>
    <t>110011889501</t>
  </si>
  <si>
    <t>Empresalud Ocupacional E.U.</t>
  </si>
  <si>
    <t>NAYDU PEÑA</t>
  </si>
  <si>
    <t>110012016501</t>
  </si>
  <si>
    <t>En Casa Terapias y Salud</t>
  </si>
  <si>
    <t>DIANA MARIA VARGAS</t>
  </si>
  <si>
    <t>CARRERA 13 59 24 LOCAL 133 CENTRO COMERCIAL AQUARIUM</t>
  </si>
  <si>
    <t>2554438</t>
  </si>
  <si>
    <t>diana.vargas@encasasalud.com</t>
  </si>
  <si>
    <t>110012075301</t>
  </si>
  <si>
    <t>FALCK HOMECARE</t>
  </si>
  <si>
    <t>MONICA JOHANNA GONZALEZ PEÑUELA</t>
  </si>
  <si>
    <t>AK 68 D #18 - 30 Interior 3</t>
  </si>
  <si>
    <t>6017452026-3015997382</t>
  </si>
  <si>
    <t>falckhomecare@falck.co</t>
  </si>
  <si>
    <t>110011228901</t>
  </si>
  <si>
    <t>FAMI CARE CLINICA DIA S.A.S.</t>
  </si>
  <si>
    <t>JORGUE IVAN BUSTAMANTE GOMEZ</t>
  </si>
  <si>
    <t>CARRERA 24 86 A 12</t>
  </si>
  <si>
    <t>7461630</t>
  </si>
  <si>
    <t>INFO@FAMICARECLINICADIA.COM</t>
  </si>
  <si>
    <t>1100112289</t>
  </si>
  <si>
    <t>FAMICARE CLINICA DIA S.A.S.</t>
  </si>
  <si>
    <t>Carrera 24 # 86A - 12</t>
  </si>
  <si>
    <t>CALIDAD@FAMICARECLINICADIA.COM</t>
  </si>
  <si>
    <t>WWW.FAMICARECLINICADIA.COM</t>
  </si>
  <si>
    <t>110012280401</t>
  </si>
  <si>
    <t>FAMILY MEDICAL ASSISTANCE SAS</t>
  </si>
  <si>
    <t>ARTURO JOSE CASTRO RODRIGUEZ</t>
  </si>
  <si>
    <t>CALLE 79 60 62</t>
  </si>
  <si>
    <t>3115741883 - 6018089169 - 3004437910</t>
  </si>
  <si>
    <t>familymedicalservicios@gmail.com</t>
  </si>
  <si>
    <t>1100118820</t>
  </si>
  <si>
    <t>FAREIK S.A.S.</t>
  </si>
  <si>
    <t>MARIA ESPERANZA LOZANO LOZANO</t>
  </si>
  <si>
    <t>Calle 134 No 7 - 83 TORRE 3 CONSULTORIO 331 EDIF. ALTOS DEL BOSQUE</t>
  </si>
  <si>
    <t>6037355</t>
  </si>
  <si>
    <t>fareiksas@telmex.net.co</t>
  </si>
  <si>
    <t>110013190201</t>
  </si>
  <si>
    <t>FAST DOCTOR SAS</t>
  </si>
  <si>
    <t>LUIS CARLOS GARZON AZZA</t>
  </si>
  <si>
    <t>CARRERA 94 # 72 A 59 1 PISO</t>
  </si>
  <si>
    <t>3164339311</t>
  </si>
  <si>
    <t>fastdrs@gmail.com</t>
  </si>
  <si>
    <t>1100105040</t>
  </si>
  <si>
    <t>FEDERACION ODONTOLOGICA COLOMBIANA</t>
  </si>
  <si>
    <t>MONTES CAMPUZANO VICTOR HUGO</t>
  </si>
  <si>
    <t>CALLE 93 # 11 39</t>
  </si>
  <si>
    <t>2361414-2184984-3157901758</t>
  </si>
  <si>
    <t>info@federacionodontologicacolombiana.org</t>
  </si>
  <si>
    <t>110013677401</t>
  </si>
  <si>
    <t>FEREST SALUD IPS CENTRO DE REHABILITACION FISICA</t>
  </si>
  <si>
    <t>DAVID FERNANDO HINCAPIE VILLANUEVA</t>
  </si>
  <si>
    <t>TV 18 BIS 13 36 SUR LOCAL 101 PISO 1</t>
  </si>
  <si>
    <t>3114741838 - 3164964198</t>
  </si>
  <si>
    <t>gerencial@ferestsaludips.com</t>
  </si>
  <si>
    <t>110013677402</t>
  </si>
  <si>
    <t>FEREST SALUD IPS SERVICIOS AMBULATORIOS</t>
  </si>
  <si>
    <t>CALLE 63 SUR # 72 - 08</t>
  </si>
  <si>
    <t>GERENCIAL@FERESTSALUDIPS.COM</t>
  </si>
  <si>
    <t>1100115254</t>
  </si>
  <si>
    <t>FERNANDEZ DIAZ Y ASOCIADOS EU - UNIDAD MEDICA AVENIDA</t>
  </si>
  <si>
    <t>OSCAR MAURICIO FERNANDEZ ALDANA</t>
  </si>
  <si>
    <t>TV 94 # 84 25</t>
  </si>
  <si>
    <t>2524906</t>
  </si>
  <si>
    <t>fercholas2@hotmail.com</t>
  </si>
  <si>
    <t>110011831803</t>
  </si>
  <si>
    <t>FIGURELLA INTERNACIONAL</t>
  </si>
  <si>
    <t>MASSIMILIANO VALLUNGA</t>
  </si>
  <si>
    <t>CALLE 134 No.55-30 LOC 217 SAN RAFAEL</t>
  </si>
  <si>
    <t>7465533</t>
  </si>
  <si>
    <t>admon@figurella.com.co</t>
  </si>
  <si>
    <t>1100118318</t>
  </si>
  <si>
    <t>FIGURELLA INTERNACIONAL DE COLOMBIA SAS</t>
  </si>
  <si>
    <t>ADRIANA SANABRIA CASTRO</t>
  </si>
  <si>
    <t>CL 78 # 12 A - 16</t>
  </si>
  <si>
    <t>6168477</t>
  </si>
  <si>
    <t>110011831802</t>
  </si>
  <si>
    <t>FIGURELLA INTERNACIONAL DE COLOMBIA SAS 2</t>
  </si>
  <si>
    <t>CALLE 109 No. 17A - 20 P 2</t>
  </si>
  <si>
    <t>6201877</t>
  </si>
  <si>
    <t>110012923801</t>
  </si>
  <si>
    <t>FINDOLOR SAS</t>
  </si>
  <si>
    <t>LUIS ALBERTO GARZON FERNANDEZ</t>
  </si>
  <si>
    <t>CR 16 97 46 TO 2 CS 705 706</t>
  </si>
  <si>
    <t>3186912799 / 3502604822</t>
  </si>
  <si>
    <t>luis.garzon@findolor.com</t>
  </si>
  <si>
    <t>110013840801</t>
  </si>
  <si>
    <t>FISIO CENTER</t>
  </si>
  <si>
    <t>KATHERINE DIAZ LEON</t>
  </si>
  <si>
    <t>CALLE 35 SUR # 72 L 87 - PISO 1</t>
  </si>
  <si>
    <t>3123100113</t>
  </si>
  <si>
    <t>fisiocenter.bogota@gmail.com</t>
  </si>
  <si>
    <t>110013757001</t>
  </si>
  <si>
    <t>FISIO-PELVIC LUNA IPS SAS SIGLA FISIOPELVIC</t>
  </si>
  <si>
    <t>JOHNNY MAURICIO ARROYAVE AYALA</t>
  </si>
  <si>
    <t>Cl 140 10 A 48 Cs 303 Ed Cedro Point</t>
  </si>
  <si>
    <t>3002831437</t>
  </si>
  <si>
    <t>admon.fisiopelvic@gmail.com</t>
  </si>
  <si>
    <t>110013717901</t>
  </si>
  <si>
    <t>FISIOBOGOTA PLUS SAS</t>
  </si>
  <si>
    <t>IVON LORENA MURCIA ROLDAN</t>
  </si>
  <si>
    <t>CALLE 98 15 17 CS 203 Y 204</t>
  </si>
  <si>
    <t>3233224442</t>
  </si>
  <si>
    <t>fisiobogota1@gmail.com</t>
  </si>
  <si>
    <t>110010629201</t>
  </si>
  <si>
    <t>FISIOEXPRESS LTDA</t>
  </si>
  <si>
    <t>SANDRA SANTACRUZ ESGUERRA</t>
  </si>
  <si>
    <t>KR 7 F # 145 59</t>
  </si>
  <si>
    <t>6261873</t>
  </si>
  <si>
    <t>servicioalcliente@fisioexpress.com</t>
  </si>
  <si>
    <t>110012991101</t>
  </si>
  <si>
    <t>FISIOGESTION S.A.S.</t>
  </si>
  <si>
    <t>ANGELICA ARZAYUS CELIS</t>
  </si>
  <si>
    <t>AV AMERICAS NRO. 62 84 LOCAL 253</t>
  </si>
  <si>
    <t>3187060762</t>
  </si>
  <si>
    <t>fisiogestionsas@hotmail.com</t>
  </si>
  <si>
    <t>110012641201</t>
  </si>
  <si>
    <t>FISIOMEDICAL CENTER SAS</t>
  </si>
  <si>
    <t>OLGA MILENA TELLEZ GONZALEZ</t>
  </si>
  <si>
    <t>CR 53F No. 4B 02</t>
  </si>
  <si>
    <t>4145833- 3113865128 - 3124961682</t>
  </si>
  <si>
    <t>fisiomedical-center@hotmail.com</t>
  </si>
  <si>
    <t>110012069404</t>
  </si>
  <si>
    <t>FISIOPLUS CALLE 13</t>
  </si>
  <si>
    <t>LUZ MARIA GONZALEZ ALVAREZ</t>
  </si>
  <si>
    <t>AC 13 65 21 LOCALES 21-24A-27-28-29</t>
  </si>
  <si>
    <t>4897333 - 315 3529173</t>
  </si>
  <si>
    <t>gerencia@fisioplus.co</t>
  </si>
  <si>
    <t>110012069401</t>
  </si>
  <si>
    <t>FISIOPLUS SAS</t>
  </si>
  <si>
    <t>CL 23 66 46 IN 4 CN 419</t>
  </si>
  <si>
    <t>110012734402</t>
  </si>
  <si>
    <t>FISIORAD SAS</t>
  </si>
  <si>
    <t>Diana Paola Jimenez Bernal</t>
  </si>
  <si>
    <t>Carrera 21 87 85</t>
  </si>
  <si>
    <t>3175635696- 3002433- 6952932- 3196470624</t>
  </si>
  <si>
    <t>fisioradips@fisiorad.com.co</t>
  </si>
  <si>
    <t>110012409301</t>
  </si>
  <si>
    <t>FISIOS CENTRO DE TERAPIAS SAS</t>
  </si>
  <si>
    <t>Maria Esperanza Mejia Montoya</t>
  </si>
  <si>
    <t>AK 45 # 106 25 OF 102 301 401</t>
  </si>
  <si>
    <t>3202702754</t>
  </si>
  <si>
    <t>esperanza.mejia@fisios.com.co</t>
  </si>
  <si>
    <t>1100112808</t>
  </si>
  <si>
    <t>FISIOSPORT LTDA</t>
  </si>
  <si>
    <t>HERRERA TORRES DORIS YAZMINA</t>
  </si>
  <si>
    <t>CALLE 50 # 8 24 OF 505</t>
  </si>
  <si>
    <t>3101279</t>
  </si>
  <si>
    <t>sandpinz@hotmail.com</t>
  </si>
  <si>
    <t>1100101969</t>
  </si>
  <si>
    <t>FISIOTERAPIA AVANZADA S.A.S</t>
  </si>
  <si>
    <t>VILLALBA BOTERO AMPARO</t>
  </si>
  <si>
    <t>CALLE 134 # 7B - 83 OFICINA 913</t>
  </si>
  <si>
    <t>3228938355</t>
  </si>
  <si>
    <t>info@fisioavanzada.com.co</t>
  </si>
  <si>
    <t>www.fisioavanzada.com.co</t>
  </si>
  <si>
    <t>110013609301</t>
  </si>
  <si>
    <t>FISIOWOMEN</t>
  </si>
  <si>
    <t>ANA LUCIA PARDO ROA</t>
  </si>
  <si>
    <t>calle 106 # 23 61 consultorio 206</t>
  </si>
  <si>
    <t>3165592036</t>
  </si>
  <si>
    <t>INFO@FISIOWOMEN.COM</t>
  </si>
  <si>
    <t>1100117578</t>
  </si>
  <si>
    <t>FOMACI EU</t>
  </si>
  <si>
    <t>Adriana Isabel Monsalve Ortiz</t>
  </si>
  <si>
    <t>CL 127 A N 7 -19 CS 608 A</t>
  </si>
  <si>
    <t>3162270571 3143549325</t>
  </si>
  <si>
    <t>fomaci@yahoo.com</t>
  </si>
  <si>
    <t>www.fomaci.com</t>
  </si>
  <si>
    <t>110013996901</t>
  </si>
  <si>
    <t>FONO CARE &amp; REHAB SAS</t>
  </si>
  <si>
    <t>TATIANA LINARES MALDONADO</t>
  </si>
  <si>
    <t>AVENIDA CALLE 134 -7B- 83 CON 217</t>
  </si>
  <si>
    <t>3028151997</t>
  </si>
  <si>
    <t>INFO@FONO-CARE.COM</t>
  </si>
  <si>
    <t>110011937401</t>
  </si>
  <si>
    <t>FORJA EMPRESAS</t>
  </si>
  <si>
    <t>ADRIANA MARIA ORTEGON ACUÑA</t>
  </si>
  <si>
    <t>Calle 99 No. 49 -38 Oficina 501</t>
  </si>
  <si>
    <t>7447050 - 3002083932</t>
  </si>
  <si>
    <t>gerencia@forjaempresas.com</t>
  </si>
  <si>
    <t>1100103543</t>
  </si>
  <si>
    <t>FOTOTERAPIA BOJANINI Y LOPEZ SAS</t>
  </si>
  <si>
    <t>BOJANINI MORRON GIOVANI JOSE</t>
  </si>
  <si>
    <t>Calle 127 Bis # 19-25, Consultorio 302 - Edificio Imagen 127</t>
  </si>
  <si>
    <t>3003303</t>
  </si>
  <si>
    <t>angelalopezfajardo8@hotmail.com</t>
  </si>
  <si>
    <t>110010354302</t>
  </si>
  <si>
    <t>FOTOTERAPIA BOJANINI Y LOPEZ SAS CALLE 66</t>
  </si>
  <si>
    <t>ANGELA SUSANA LOPEZ FAJARDO</t>
  </si>
  <si>
    <t>Calle 66 #11-50 Oficina 502-505-506</t>
  </si>
  <si>
    <t>3099228 - 3099229</t>
  </si>
  <si>
    <t>110012386303</t>
  </si>
  <si>
    <t>FRANCIA ELENA HERMIDA IPS S A S</t>
  </si>
  <si>
    <t>FRANCIA ELENA HERMIDA RINCON</t>
  </si>
  <si>
    <t>AC 127 # 20 78 CS 1- 201</t>
  </si>
  <si>
    <t>6156429-3223607762</t>
  </si>
  <si>
    <t>hermidafrancia@hotmail.com</t>
  </si>
  <si>
    <t>1100106447</t>
  </si>
  <si>
    <t>FUNDACION ABOOD SHAIO</t>
  </si>
  <si>
    <t>OBANDO IRAGORRI LUZ MARIA</t>
  </si>
  <si>
    <t>DIAG 115 A # 70 C 75</t>
  </si>
  <si>
    <t>2261025</t>
  </si>
  <si>
    <t>direcciongeneral@shaio.org</t>
  </si>
  <si>
    <t>https://www.shaio.org/</t>
  </si>
  <si>
    <t>1100108627</t>
  </si>
  <si>
    <t>FUNDACION AMAR</t>
  </si>
  <si>
    <t>ROJAS REYES MARTHA YANETH</t>
  </si>
  <si>
    <t>CRA 73 # 73 90</t>
  </si>
  <si>
    <t>4360864</t>
  </si>
  <si>
    <t>amarlafundacion_2000@yahoo.es</t>
  </si>
  <si>
    <t>110012039501</t>
  </si>
  <si>
    <t>FUNDACION APRENDER A VIVIR</t>
  </si>
  <si>
    <t>JOHN ALEXANDER PAEZ VALENCIA</t>
  </si>
  <si>
    <t>CRA. 71 No. 53-52</t>
  </si>
  <si>
    <t>4446600 - 3103330027</t>
  </si>
  <si>
    <t>direccionclaritza@fundacionaprenderavivir.com</t>
  </si>
  <si>
    <t>1100106971</t>
  </si>
  <si>
    <t>FUNDACION ARTHUR STANLEY GILLOW</t>
  </si>
  <si>
    <t>GIRALDO RIOS ALEJANDRO</t>
  </si>
  <si>
    <t>AV. CALLE 100 # 11 B 04</t>
  </si>
  <si>
    <t>6200937</t>
  </si>
  <si>
    <t>CONTACTENOS@FUNDACIONGILLOW.ORG</t>
  </si>
  <si>
    <t>1100104573</t>
  </si>
  <si>
    <t>FUNDACION AVANTE</t>
  </si>
  <si>
    <t>ACOSTA ZAMBRANO NUBIA PATRICIA</t>
  </si>
  <si>
    <t>Carrera 65 No. 4 G - 30 - Barrio:La Pradera</t>
  </si>
  <si>
    <t>601 4661276 -6012077609 Whatsapp:3212230220</t>
  </si>
  <si>
    <t>fundavante@hotmail.com</t>
  </si>
  <si>
    <t>1100109111</t>
  </si>
  <si>
    <t>FUNDACION CARDIO INFANTIL INSTITUTO DE CARDIOLOGIA</t>
  </si>
  <si>
    <t>CABRERA POLANIA REINALDO</t>
  </si>
  <si>
    <t>CL 163 A No 13 B 60</t>
  </si>
  <si>
    <t>6672727 Ext. 53304</t>
  </si>
  <si>
    <t>www.cardioinfantil.org</t>
  </si>
  <si>
    <t>1100111359</t>
  </si>
  <si>
    <t>FUNDACION CASA DE LA COMUNIDAD VEDRUNA</t>
  </si>
  <si>
    <t>ASEGUINOLAZA INZA MARIA DOLORES</t>
  </si>
  <si>
    <t>CALLE 1 B # 11 B 04 ESTE</t>
  </si>
  <si>
    <t>2890234</t>
  </si>
  <si>
    <t>CASACOMUNIDAD@TUTOPIA.COM</t>
  </si>
  <si>
    <t>110011505101</t>
  </si>
  <si>
    <t>FUNDACION CEDHI - CENTRO DE DESARROLLO HUMANO INTEGRAL</t>
  </si>
  <si>
    <t>SANDRA MILENA BEJARANO MORENO</t>
  </si>
  <si>
    <t>CALLE 97 # 64 - 19</t>
  </si>
  <si>
    <t>6955994 - 3124522705</t>
  </si>
  <si>
    <t>sandrabejarano.0902@gmail.com</t>
  </si>
  <si>
    <t>110011505102</t>
  </si>
  <si>
    <t>FUNDACION CEDHI - CENTRO DE DESARROLLO HUMANO INTEGRAL - MANDALAY KENNEDY</t>
  </si>
  <si>
    <t>CALLE 5 B # 78 H 12</t>
  </si>
  <si>
    <t>3124522705 3024062942</t>
  </si>
  <si>
    <t>fundacioncedhi@gmail.com</t>
  </si>
  <si>
    <t>1100104155</t>
  </si>
  <si>
    <t>FUNDACION CENTRO DE ESTIMULACION NIVELACION Y DESARROLLO-CEDESNID</t>
  </si>
  <si>
    <t>DEL RIO MANTILLA GLORIA MARINA</t>
  </si>
  <si>
    <t>AVENIDA CARRERA 45 #95-29</t>
  </si>
  <si>
    <t>3202752005</t>
  </si>
  <si>
    <t>contacto@cedesnid.org.co</t>
  </si>
  <si>
    <t>1100100930</t>
  </si>
  <si>
    <t>FUNDACION CENTRO DE INVESTIGACION E INFORMACION EN DEFICIENCIAS AUDITIVAS-""CINDA"""</t>
  </si>
  <si>
    <t>DI-COLLOREDO MELS PALAU PAOLA MARIA PIA TADEA</t>
  </si>
  <si>
    <t>CALLE 35 No. 17-24</t>
  </si>
  <si>
    <t>2455509-2881801-3166243334-3174383710</t>
  </si>
  <si>
    <t>administracion@fundacioncinda.org</t>
  </si>
  <si>
    <t>1100107408</t>
  </si>
  <si>
    <t>FUNDACION CENTRO DE INVESTIGACION Y ESTUDIOS ODONTOLOGICOS CIEO</t>
  </si>
  <si>
    <t>MEJIA BURGOS ENRIQUE</t>
  </si>
  <si>
    <t>CRA 5 # 118 10</t>
  </si>
  <si>
    <t>6371160</t>
  </si>
  <si>
    <t>FUNDACION_CIEO@YAHOO.COM</t>
  </si>
  <si>
    <t>1100108265</t>
  </si>
  <si>
    <t>FUNDACION CENTRO DE REHABILITACION DEL NIÑO ESPECIAL CERES</t>
  </si>
  <si>
    <t>MATIZ RUGE FABIOLA</t>
  </si>
  <si>
    <t>CL 44 # 67 A 40/28/54</t>
  </si>
  <si>
    <t>2216880</t>
  </si>
  <si>
    <t>ceresadmon@gmail.com</t>
  </si>
  <si>
    <t>1100109116</t>
  </si>
  <si>
    <t>FUNDACION CLINICA HOSPITAL JUAN N CORPAS Y CENTROS ASISTENCIALES AFINES</t>
  </si>
  <si>
    <t>Carrera 111 159 A - 61</t>
  </si>
  <si>
    <t>6865014</t>
  </si>
  <si>
    <t>calidad_corpasalternativa@juanncorpas.edu.co</t>
  </si>
  <si>
    <t>1100107987</t>
  </si>
  <si>
    <t>FUNDACION CLINICA MEGASALUD</t>
  </si>
  <si>
    <t>SERNA FIGUEROA SILVIA VICTORIA</t>
  </si>
  <si>
    <t>KR 70 # 51 41</t>
  </si>
  <si>
    <t>3192397214</t>
  </si>
  <si>
    <t>funclinicameg@gmail.com</t>
  </si>
  <si>
    <t>1100111140</t>
  </si>
  <si>
    <t>FUNDACION CRESER</t>
  </si>
  <si>
    <t>BETTIN OSORIO MIGUEL ENRIQUE</t>
  </si>
  <si>
    <t>CALLE 112 # 18 A-09</t>
  </si>
  <si>
    <t>7513562</t>
  </si>
  <si>
    <t>direccion.fundacioncreser@hotmail.com</t>
  </si>
  <si>
    <t>110013853701</t>
  </si>
  <si>
    <t>FUNDACION CTIC - CENTRO DE TRATAMIENTO E INVESTIGACION SOBRE CANCER LUIS CARLOS SARMIENTO ANGULO</t>
  </si>
  <si>
    <t>RAFAEL ANTONIO SANCHEZ PARIS</t>
  </si>
  <si>
    <t>Calle 168 14 42 Torre 1, Torre 2 Edificio investigación Piso 1, piso2, piso 3 y piso 4 Consultorios 401, 402, 403, 404, 405</t>
  </si>
  <si>
    <t>6017454421</t>
  </si>
  <si>
    <t>hospital@fctic.org</t>
  </si>
  <si>
    <t>1100108974</t>
  </si>
  <si>
    <t>FUNDACION DE REHABILITACION INTEGRAL LUDUS</t>
  </si>
  <si>
    <t>HAROLD ANDRES ACEVEDO SIERRA</t>
  </si>
  <si>
    <t>DG 88 # 27 - 34</t>
  </si>
  <si>
    <t>2561374 - 2561366 - 3165304548</t>
  </si>
  <si>
    <t>director.ludus@gmail.com</t>
  </si>
  <si>
    <t>WWW.FUNDACIONLUDUS.ORG</t>
  </si>
  <si>
    <t>1100103998</t>
  </si>
  <si>
    <t>FUNDACION DEL QUEMADO</t>
  </si>
  <si>
    <t>GUERRERO SERRANO CLARA HERLINDA</t>
  </si>
  <si>
    <t>CL 128 B # 59 B 20</t>
  </si>
  <si>
    <t>6433318</t>
  </si>
  <si>
    <t>contacto@fundaciondelquemado.org</t>
  </si>
  <si>
    <t>www.fundaciondelquemado.org</t>
  </si>
  <si>
    <t>1100107968</t>
  </si>
  <si>
    <t>FUNDACION FE</t>
  </si>
  <si>
    <t>SANDRA LILIANA GALAN NAVARRO</t>
  </si>
  <si>
    <t>CRA 59 b No. 129 - 45</t>
  </si>
  <si>
    <t>6240507</t>
  </si>
  <si>
    <t>fundacionfe@fundacionfe.org</t>
  </si>
  <si>
    <t>110011876101</t>
  </si>
  <si>
    <t>FUNDACION FUNDEM FUNDACION PARA LA ESCLEROSIS MULTIPLE Y OTRAS ENFERMEDADES</t>
  </si>
  <si>
    <t>XIOMARY BERMUDEZ NUÑEZ</t>
  </si>
  <si>
    <t>AK 9 # 127B 16 CS 208</t>
  </si>
  <si>
    <t>3175106156</t>
  </si>
  <si>
    <t>xbermudez@fundem-co.org</t>
  </si>
  <si>
    <t>1100106033</t>
  </si>
  <si>
    <t>FUNDACION HEMATOLOGICA COLOMBIA</t>
  </si>
  <si>
    <t>MONICA PATRICIA RESTREPO SIERRA</t>
  </si>
  <si>
    <t>CARRERA 65 Nº 81 - 67</t>
  </si>
  <si>
    <t>571 2369099</t>
  </si>
  <si>
    <t>fuheco@etb.net.co</t>
  </si>
  <si>
    <t>1100105681</t>
  </si>
  <si>
    <t>FUNDACION HOSPITAL DE LA MISERICORDIA</t>
  </si>
  <si>
    <t>BARBERI ABADIA JULIO MAURICIO</t>
  </si>
  <si>
    <t>Avenida Carrera 14 No 1-65</t>
  </si>
  <si>
    <t>(601) 4842098</t>
  </si>
  <si>
    <t>lidercalidad@homifundacion.org.co</t>
  </si>
  <si>
    <t>1100116133</t>
  </si>
  <si>
    <t>FUNDACION HOSPITAL INFANTIL UNIVERSITARIO DE SAN JOSE</t>
  </si>
  <si>
    <t>DRA. LAIMA DIDZIULIS GRIGALIUNAS</t>
  </si>
  <si>
    <t>KR. 52 # 67 A 71</t>
  </si>
  <si>
    <t>4377540</t>
  </si>
  <si>
    <t>direccion.general@hospitalinfantildesanjose.org.co</t>
  </si>
  <si>
    <t>www.hospitalinfatildesanjose.org.co</t>
  </si>
  <si>
    <t>1100104131</t>
  </si>
  <si>
    <t>FUNDACION HOSPITAL SAN CARLOS</t>
  </si>
  <si>
    <t>LEON JAIME ZAPATA GARCIA</t>
  </si>
  <si>
    <t>KR 12D 32 44 SUR</t>
  </si>
  <si>
    <t>7443333</t>
  </si>
  <si>
    <t>notificacionesjudiciales@fhsc.org.co</t>
  </si>
  <si>
    <t>110012461002</t>
  </si>
  <si>
    <t>FUNDACION I.P.S. DE REHABILITACION EN SALUD MENTAL, CONDUCTUAL Y EMOCIONAL PARA NIÑOS, NIÑAS Y ADOLESCENTES PSICOREHABILITAR PSICOREHABILITAR IPS</t>
  </si>
  <si>
    <t>JAIRO SEGURA ROMERO</t>
  </si>
  <si>
    <t>AC 6 70B-71</t>
  </si>
  <si>
    <t>6268163 - 3203991392</t>
  </si>
  <si>
    <t>fundacionpsicorehabilitar@gmail.com</t>
  </si>
  <si>
    <t>110013462701</t>
  </si>
  <si>
    <t>FUNDACION LA LUZ - CENTRO NACIONAL PARA EL TRATAMIENTO DE LA DROGADICCION</t>
  </si>
  <si>
    <t>Duvian Fernando Ruiz Salamanca</t>
  </si>
  <si>
    <t>AC. 80 N° 116 B 35 PISO 2</t>
  </si>
  <si>
    <t>3017481056 - 3008294982</t>
  </si>
  <si>
    <t>representantelegal@fundacionlaluz.net</t>
  </si>
  <si>
    <t>1100108371</t>
  </si>
  <si>
    <t>FUNDACION LEONISTICA DE SALUD OCULAR</t>
  </si>
  <si>
    <t>MUÑOZ GUARUMO VICTOR MANUEL</t>
  </si>
  <si>
    <t>CALLE 63 # 18 20</t>
  </si>
  <si>
    <t>601210413</t>
  </si>
  <si>
    <t>fundacionleonistica@hotmail.com</t>
  </si>
  <si>
    <t>1100101935</t>
  </si>
  <si>
    <t>FUNDACION LIGA CENTRAL CONTRA LA EPILEPSIA</t>
  </si>
  <si>
    <t>MEDINA MALO CARLOS HERNANDO</t>
  </si>
  <si>
    <t>CALLE 35 # 17 48 PISO 1</t>
  </si>
  <si>
    <t>2455717-7487058-3223047602</t>
  </si>
  <si>
    <t>administracion@epilepsia.org</t>
  </si>
  <si>
    <t>www.epilepsia.org</t>
  </si>
  <si>
    <t>110010942402</t>
  </si>
  <si>
    <t>FUNDACION MEDICA MIRA TU SALUD</t>
  </si>
  <si>
    <t>HARRISON AUGUSTO BARON AVILA</t>
  </si>
  <si>
    <t>CL 24 A SUR # 68 H 66</t>
  </si>
  <si>
    <t>4173145</t>
  </si>
  <si>
    <t>coordinacionconsultaexterna@miratusalud.com.co</t>
  </si>
  <si>
    <t>1100110251</t>
  </si>
  <si>
    <t>FUNDACION NEUMOLOGICA COLOMBIANA</t>
  </si>
  <si>
    <t>MALDONADO GOMEZ DARIO</t>
  </si>
  <si>
    <t>KR 13 B # 161 85 Torre J Piso 1,2,3 y 4 y Torre H piso 1 Costado Occidental</t>
  </si>
  <si>
    <t>7428900</t>
  </si>
  <si>
    <t>NEUMOLOGICA@NEUMOLOGICA.ORG</t>
  </si>
  <si>
    <t>1100108556</t>
  </si>
  <si>
    <t>FUNDACION NIÑEZ Y DESARROLLO FUNDACION FND COLOMBIA</t>
  </si>
  <si>
    <t>VALLEJO MACIAS DORALISSE</t>
  </si>
  <si>
    <t>AK 60 # 63 63</t>
  </si>
  <si>
    <t>3108260</t>
  </si>
  <si>
    <t>informacion@fndcolombia.org</t>
  </si>
  <si>
    <t>1100103916</t>
  </si>
  <si>
    <t>FUNDACION OFTALMOLOGICA NACIONAL</t>
  </si>
  <si>
    <t>ROCA GARAVITO SANDRA</t>
  </si>
  <si>
    <t>CALLE 50 # 13 50 PISO 1- PISO 2 - PISO 4 (EXCEPTO 407- 409 - 410) Y PISO 5</t>
  </si>
  <si>
    <t>3487349</t>
  </si>
  <si>
    <t>sgerencia@fundonal.org</t>
  </si>
  <si>
    <t>1100105766</t>
  </si>
  <si>
    <t>FUNDACION OPERACION SONRISA COLOMBIA</t>
  </si>
  <si>
    <t>VARGAS DEL VALLE HELENA MARGARITA</t>
  </si>
  <si>
    <t>CALLE 90 No 19C-41</t>
  </si>
  <si>
    <t>6210069</t>
  </si>
  <si>
    <t>cambogota@operacionsonrisa.org.co</t>
  </si>
  <si>
    <t>1100108930</t>
  </si>
  <si>
    <t>FUNDACION ORIENTAME</t>
  </si>
  <si>
    <t>VILLAREAL VELASQUEZ CRISTINA</t>
  </si>
  <si>
    <t>CRA 18 # 33 A 27</t>
  </si>
  <si>
    <t>(601) 9173500 Ext 204 - 430 - 3504997456</t>
  </si>
  <si>
    <t>secgeneral@orientame.org.co</t>
  </si>
  <si>
    <t>www.orientame.org.co</t>
  </si>
  <si>
    <t>1100119306</t>
  </si>
  <si>
    <t>FUNDACION PARA EL AUTISMO Y OTROS TRANSTORNOS DEL DESARROLLO INFANTIL SEXTO SENTIDO</t>
  </si>
  <si>
    <t>MARTHA LUZ MENDOZA MENDOZA</t>
  </si>
  <si>
    <t>CARRERA 47 # 95 - 36</t>
  </si>
  <si>
    <t>7024784 76024835</t>
  </si>
  <si>
    <t>fundacionsextosentido@hotmail.com</t>
  </si>
  <si>
    <t>www.fundacionsextosentido.org</t>
  </si>
  <si>
    <t>110010909801</t>
  </si>
  <si>
    <t>FUNDACION PARA EL DESARROLLO DE LAS CIENCIAS DE LA COMUNICACION SOCIAL FUNDEMOS</t>
  </si>
  <si>
    <t>CARLOS EDUARDO SANCHEZ RIVEROS</t>
  </si>
  <si>
    <t>CARRERA 16 A No 79 - 94</t>
  </si>
  <si>
    <t>546 06 40</t>
  </si>
  <si>
    <t>fundemosips@fundemos.com.co</t>
  </si>
  <si>
    <t>1100109098</t>
  </si>
  <si>
    <t>FUNDACION PARA EL DESARROLLO DE LAS CIENCIAS DE LA COMUNICACIÓN SOCIAL FUNDEMOS IPS</t>
  </si>
  <si>
    <t>JUAN CARLOS BELTRAN GOMEZ</t>
  </si>
  <si>
    <t>AVENIDA CIRCUNVALAR No 60 -00 BLOQUE B - Barrio:EL CASTILLO</t>
  </si>
  <si>
    <t>5460640</t>
  </si>
  <si>
    <t>1100106736</t>
  </si>
  <si>
    <t>FUNDACION PARA EL NIÑO SORDO ICAL</t>
  </si>
  <si>
    <t>FERREIRA CORTES MARTHA PATRICIA</t>
  </si>
  <si>
    <t>Calle 124 No. 7-38 Loc. 203-206 Barrio Santa Barbara</t>
  </si>
  <si>
    <t>2135040</t>
  </si>
  <si>
    <t>direcciongeneral@icalcolombia.org</t>
  </si>
  <si>
    <t>110011473505</t>
  </si>
  <si>
    <t>FUNDACION PARA EL SERVICIO INTEGRAL DE ATENCION MEDICA SEDE B</t>
  </si>
  <si>
    <t>CESAR AUGUSTO BUENO SERRANO</t>
  </si>
  <si>
    <t>CALLE 54 A BIS No. 16-29</t>
  </si>
  <si>
    <t>3176426412</t>
  </si>
  <si>
    <t>calidad@fundacionsiam.org</t>
  </si>
  <si>
    <t>1100108116</t>
  </si>
  <si>
    <t>FUNDACION PARA LA ASISTENCIA DE LA NIÑEZ ABANDONADA "FANA"</t>
  </si>
  <si>
    <t>ROJAS FERRO FLOR ANGELA</t>
  </si>
  <si>
    <t>CRA 96 # 156 B 18</t>
  </si>
  <si>
    <t>6806000</t>
  </si>
  <si>
    <t>FANACOLOMSAT.NET.CO</t>
  </si>
  <si>
    <t>110012134701</t>
  </si>
  <si>
    <t>FUNDACION PARA LA INVESTIGACION CLINICA Y MOLECULAR APLICADA DEL CANCER - FICMAC</t>
  </si>
  <si>
    <t>ANDRES FELIPE CARDONA ZORRILLA</t>
  </si>
  <si>
    <t>CL 116 No. 9 - 72 CS. 516 - 718 - 719</t>
  </si>
  <si>
    <t>8051809 - 3125425688</t>
  </si>
  <si>
    <t>administracion@ficmac.org</t>
  </si>
  <si>
    <t>110010751901</t>
  </si>
  <si>
    <t>FUNDACION PARA LA PREVECNION Y REHABILITACION DE LA DROGADICCION Y EL ALCOHOLISMO "LIBERATE"</t>
  </si>
  <si>
    <t>MARTHA SUESCUN</t>
  </si>
  <si>
    <t>TV 77 No. 166-40</t>
  </si>
  <si>
    <t>680 69 10</t>
  </si>
  <si>
    <t>info@fundacionliberate.org.co</t>
  </si>
  <si>
    <t>110010067001</t>
  </si>
  <si>
    <t>FUNDACION PARA LA REHABILITACION DE ALCOHOLICOS Y ADICTOS - FUNDAR</t>
  </si>
  <si>
    <t>EDGAR ANDRES BARRETO AGUDELO</t>
  </si>
  <si>
    <t>KR 16 # 36 22</t>
  </si>
  <si>
    <t>7324044</t>
  </si>
  <si>
    <t>ffundar@ffundar.org</t>
  </si>
  <si>
    <t>1100100670</t>
  </si>
  <si>
    <t>FUNDACION PARA LA REHABILITACION DE ALCOHOLICOS Y ADICTOS-FUNDAR</t>
  </si>
  <si>
    <t>GUTIERREZ OSORIO JOSE GOETHE</t>
  </si>
  <si>
    <t>CRA 16 # 36 22</t>
  </si>
  <si>
    <t>110010965202</t>
  </si>
  <si>
    <t>FUNDACION PARA LA SALUD LA BIOETICA Y EL MEDIO AMBIENTE FUNSABIAM</t>
  </si>
  <si>
    <t>JAHIR PEDREROS VELASQUEZ</t>
  </si>
  <si>
    <t>Cra 17 No 36 62</t>
  </si>
  <si>
    <t>3737121 -3508131374</t>
  </si>
  <si>
    <t>funsabiam@hotmail.com</t>
  </si>
  <si>
    <t>1100107519</t>
  </si>
  <si>
    <t>FUNDACION PARA PREVENCION Y REHABILITACION DE LA DROGADICCION Y EL ALCOHOLISMO LIBERATE</t>
  </si>
  <si>
    <t>SUESCUN CAMACHO MARTHA CECILIA</t>
  </si>
  <si>
    <t>6806910</t>
  </si>
  <si>
    <t>www.fundacionliberate.org.co</t>
  </si>
  <si>
    <t>1100111242</t>
  </si>
  <si>
    <t>FUNDACION PREVER I.P.S.</t>
  </si>
  <si>
    <t>GLORIA INES DE SALVADOR AHUMADA</t>
  </si>
  <si>
    <t>calle 140 ]No. 11- 45 consultorio 405</t>
  </si>
  <si>
    <t>3155860099</t>
  </si>
  <si>
    <t>gloriadesalvador@fundacionprever.org</t>
  </si>
  <si>
    <t>1100120394</t>
  </si>
  <si>
    <t>FUNDACION SALUD DE LOS ANDES</t>
  </si>
  <si>
    <t>FABIO ENRIQUE MENDEZ FERNANDEZ</t>
  </si>
  <si>
    <t>Cll 44 No.58-05</t>
  </si>
  <si>
    <t>3202735366</t>
  </si>
  <si>
    <t>gerencia@saluddelosandes.com</t>
  </si>
  <si>
    <t>https://www.fundacionsaluddelosandes.org/</t>
  </si>
  <si>
    <t>1100105618</t>
  </si>
  <si>
    <t>FUNDACION SANTA FE DE BOGOTA</t>
  </si>
  <si>
    <t>GOMEZ RODRIGUEZ JESUS ANTONIO</t>
  </si>
  <si>
    <t>CL 119 # 7 75</t>
  </si>
  <si>
    <t>www.fsfb.org.co</t>
  </si>
  <si>
    <t>110010561805</t>
  </si>
  <si>
    <t>FUNDACION SANTA FE DE BOGOTA - CENTRO DE ATENCION PRIORITARIA</t>
  </si>
  <si>
    <t>AV 15 # 123 - 30 LC 2 PI 1 BL 5</t>
  </si>
  <si>
    <t>6030303 ext. 5105</t>
  </si>
  <si>
    <t>110011909501</t>
  </si>
  <si>
    <t>FUNDACION SUEÑO VIGILIA COLOMBIANA FUNDASUVICOL</t>
  </si>
  <si>
    <t>CLAUDIA MARIA SARMIENTO BURGOS</t>
  </si>
  <si>
    <t>CL 33 # 15 14</t>
  </si>
  <si>
    <t>4431360 / 3508063029</t>
  </si>
  <si>
    <t>ymherrerar@fundasuvicol.org</t>
  </si>
  <si>
    <t>110012167803</t>
  </si>
  <si>
    <t>FUNDACION SURCOS</t>
  </si>
  <si>
    <t>ANGELICA OSPINA CASTRO</t>
  </si>
  <si>
    <t>Carrera 77 M # 65 A - 35 SUR</t>
  </si>
  <si>
    <t>3173757809</t>
  </si>
  <si>
    <t>fsurcos@fundacionsurcos.org</t>
  </si>
  <si>
    <t>1100113082</t>
  </si>
  <si>
    <t>FUNDACION UNIVERSITARIA INCCA DE COLOMBIA</t>
  </si>
  <si>
    <t>JOSÉ ENRIQUE CONTI BAUTISTA</t>
  </si>
  <si>
    <t>KR 13 # 24 15</t>
  </si>
  <si>
    <t>4442000/30</t>
  </si>
  <si>
    <t>personal@unincca.edu.co</t>
  </si>
  <si>
    <t>www.unincca.edu.co</t>
  </si>
  <si>
    <t>1100113701</t>
  </si>
  <si>
    <t>FUNDACION UNIVERSITARIA MANUELA BELTRAN - LABORATORIO DE IDENTIFICACION HUMANA</t>
  </si>
  <si>
    <t>CIELO ROCIO PINEDA MONSALVE</t>
  </si>
  <si>
    <t>AV CIRCUNVALAR # 60 00</t>
  </si>
  <si>
    <t>5460625 5460600 EXT 105</t>
  </si>
  <si>
    <t>identificacionhumana@umb.edu.co</t>
  </si>
  <si>
    <t>110012241701</t>
  </si>
  <si>
    <t>FUNDACIÓN CANGURO</t>
  </si>
  <si>
    <t>NATHALIE CHARPAK</t>
  </si>
  <si>
    <t>CL 44B # 53 50</t>
  </si>
  <si>
    <t>7458182</t>
  </si>
  <si>
    <t>fundacioncanguro.admon@gmail.com</t>
  </si>
  <si>
    <t>110010911103</t>
  </si>
  <si>
    <t>FUNDACIÓN CARDIOINFANTIL-INSTITUTO DE CARDIOLOGÍA</t>
  </si>
  <si>
    <t>JUAN GABRIEL CENDALES REY</t>
  </si>
  <si>
    <t>KR 13 B # 161-85 To H Pi1,2,3, To I Pi4 Cs 401, Pi5 Cs 501-502-503-504-508-509-510-511-512-513-514-515-516-517, Pi6 Cs 601-602-603-604-609-611-612-613-615-616-617-618, Pi7 Cs 709-711-712-713-714-716-717-718, Pi8 Cs 801-802-813, Pi10 Cs C01,Pi12 CI1-CI2</t>
  </si>
  <si>
    <t>6672727 ext 53304</t>
  </si>
  <si>
    <t>pcasallas@lacardiol.org</t>
  </si>
  <si>
    <t>110011114004</t>
  </si>
  <si>
    <t>FUNDACIÓN CRESER</t>
  </si>
  <si>
    <t>MIGUEL ENRIQUE BETTIN OSORIO</t>
  </si>
  <si>
    <t>CL 112 # 15 A - 25</t>
  </si>
  <si>
    <t>110010751902</t>
  </si>
  <si>
    <t>FUNDACIÓN LIBERATE - TEUSAQUILLO</t>
  </si>
  <si>
    <t>MARTHA CECILIA SUESCÚN CAMACHO</t>
  </si>
  <si>
    <t>Calle 35 No 20 - 32</t>
  </si>
  <si>
    <t>3107699467</t>
  </si>
  <si>
    <t>1100116994</t>
  </si>
  <si>
    <t>FUNDACIÓN MÉDICA SANTA MARÍA VIRGEN</t>
  </si>
  <si>
    <t>ANA MERCEDES SALCEDO CRUZ</t>
  </si>
  <si>
    <t>CALLE 70A #110-43 PISO 1 - 2</t>
  </si>
  <si>
    <t>4426547 - 4406532</t>
  </si>
  <si>
    <t>fundamedica@yahoo.com</t>
  </si>
  <si>
    <t>110012394601</t>
  </si>
  <si>
    <t>FUNDACIÓN PARA LA INVESTIGACIÓN EN DERMATOLOGÍA - FUNINDERMA</t>
  </si>
  <si>
    <t>IGNACIO LORA ESCOBAR</t>
  </si>
  <si>
    <t>CARRERA 20 No 82-31 consultorios 101-102 y sala de procedimiento</t>
  </si>
  <si>
    <t>5335438-5335441</t>
  </si>
  <si>
    <t>funinderma@gmail.com</t>
  </si>
  <si>
    <t>110012531701</t>
  </si>
  <si>
    <t>FUNDACIÓN SAP SALUD</t>
  </si>
  <si>
    <t>NORMAN ALFREDO RODRÍGUEZ URIBE</t>
  </si>
  <si>
    <t>Carrera 52 No. 67 A-71 Centro médico Consultorio 205 y Consultorio 113</t>
  </si>
  <si>
    <t>3213916407</t>
  </si>
  <si>
    <t>fundacionsapsalud@yahoo.es</t>
  </si>
  <si>
    <t>110011308201</t>
  </si>
  <si>
    <t>FUNDACIÓN UNIVERSIDAD INCCA DE COLOMBIA</t>
  </si>
  <si>
    <t>CL 24 # 13 82</t>
  </si>
  <si>
    <t>091 4442000 - 091 4442030</t>
  </si>
  <si>
    <t>admision@unincca.edu.co</t>
  </si>
  <si>
    <t>110012378401</t>
  </si>
  <si>
    <t>FUNDARRITMIA FUNDACION CARDIOVASCULAR</t>
  </si>
  <si>
    <t>DIEGO IGNACIO VANEGAS CADAVID</t>
  </si>
  <si>
    <t>CALLE 50 N. 8 - 24 CS 203 -401</t>
  </si>
  <si>
    <t>6015353597</t>
  </si>
  <si>
    <t>fundarritmia@gmail.com</t>
  </si>
  <si>
    <t>110013292301</t>
  </si>
  <si>
    <t>Fable Un Mundo Hecho Color</t>
  </si>
  <si>
    <t>Fabiola Camacho</t>
  </si>
  <si>
    <t>TRANSVERSAL 54 # 103 b 03</t>
  </si>
  <si>
    <t>3102107714</t>
  </si>
  <si>
    <t>fableunmundohechocolor@gmail.com</t>
  </si>
  <si>
    <t>110013955301</t>
  </si>
  <si>
    <t>Fisiopelvicas</t>
  </si>
  <si>
    <t>German Eduardo Molina Trujillo</t>
  </si>
  <si>
    <t>AV Cll 26 # 68 C-61 Consultorio 230</t>
  </si>
  <si>
    <t>3007869034</t>
  </si>
  <si>
    <t>solucionesmedicasfisiopelvicas@gmail.com</t>
  </si>
  <si>
    <t>110013955302</t>
  </si>
  <si>
    <t>Fisiopelvicas 127</t>
  </si>
  <si>
    <t>Calle 127 # 19 A 28, consultorio 612 Edificio Acomedica 1</t>
  </si>
  <si>
    <t>110011601601</t>
  </si>
  <si>
    <t>Fundacion La Casa deBill</t>
  </si>
  <si>
    <t>Pedro German Sicard Salazar</t>
  </si>
  <si>
    <t>KR 36A Nº 54 - 77</t>
  </si>
  <si>
    <t>6940460</t>
  </si>
  <si>
    <t>lacasadebill@hotmail.com</t>
  </si>
  <si>
    <t>110010842301</t>
  </si>
  <si>
    <t>Fundacion Los Pisingos</t>
  </si>
  <si>
    <t>Daniel Fernandez Castrillón</t>
  </si>
  <si>
    <t>Carrera 7 No 158 - 41</t>
  </si>
  <si>
    <t>6708686</t>
  </si>
  <si>
    <t>oportunidad@lospisingos.com</t>
  </si>
  <si>
    <t>1100118761</t>
  </si>
  <si>
    <t>Fundacion fundem Fundacion para la esclerosis multiple y otras enfermedades</t>
  </si>
  <si>
    <t>HERNEY ALONSO CUARTAS MARTINEZ</t>
  </si>
  <si>
    <t>AK 9#127 B 16 CS 208</t>
  </si>
  <si>
    <t>https://fundem-co.org/</t>
  </si>
  <si>
    <t>1100116016</t>
  </si>
  <si>
    <t>Fundacion la Casa de Bill</t>
  </si>
  <si>
    <t>GERMAN SICARD SALAZAR</t>
  </si>
  <si>
    <t>www.lacasadebill.net</t>
  </si>
  <si>
    <t>110011473508</t>
  </si>
  <si>
    <t>Fundacion para el servicio integral de atencion medica- FONTIBON</t>
  </si>
  <si>
    <t>Carrera 78 No. 17-55 centro empresarial Meridiano 13 piso 5 consultorio 1</t>
  </si>
  <si>
    <t>110011473507</t>
  </si>
  <si>
    <t>Fundacion para el servicio integral de atencion medica- SUBA</t>
  </si>
  <si>
    <t>calle 140C No. 94D-38 Piso 4 consultorio 6</t>
  </si>
  <si>
    <t>1100109145</t>
  </si>
  <si>
    <t>Fundación Centro Materno Infantil Nuestra Señora de Belén</t>
  </si>
  <si>
    <t>Eulcides Carreño Mora</t>
  </si>
  <si>
    <t>KR 93 # 129 A 64 PISO 4</t>
  </si>
  <si>
    <t>3508676164</t>
  </si>
  <si>
    <t>cmifundacion@gmail.com</t>
  </si>
  <si>
    <t>1100109199</t>
  </si>
  <si>
    <t>Fundación Javeriana de Servicios Medico Odontologicos Interuniversitarios Carlos Marquez Villegas-Javesalud</t>
  </si>
  <si>
    <t>GIEDELMANN VASQUEZ JUAN CARLOS</t>
  </si>
  <si>
    <t>KR 19B # 166 96</t>
  </si>
  <si>
    <t>110012482001</t>
  </si>
  <si>
    <t>Fundación Mujer y Familia</t>
  </si>
  <si>
    <t>Dalila González Ortiz</t>
  </si>
  <si>
    <t>Carrera 9 No. 23 -49 Local 601 Centro Comercial Intercentro</t>
  </si>
  <si>
    <t>3602026/4087128</t>
  </si>
  <si>
    <t>fundacionmujeryfamilia@hotmail.com</t>
  </si>
  <si>
    <t>110011473502</t>
  </si>
  <si>
    <t>Fundación SIAM - Bogotá</t>
  </si>
  <si>
    <t>CL 58 A # 35 A 12</t>
  </si>
  <si>
    <t>6015635802</t>
  </si>
  <si>
    <t>1100114735</t>
  </si>
  <si>
    <t>Fundación para el Servicio Integral de Atención Médica - Fundación SIAM</t>
  </si>
  <si>
    <t>SANDRA MONICA BONILLA GONZALEZ</t>
  </si>
  <si>
    <t>2219283</t>
  </si>
  <si>
    <t>WWW.FUNDACIONSIAM.ORG</t>
  </si>
  <si>
    <t>110012167801</t>
  </si>
  <si>
    <t>Fundación para la atención integral de niños y niñas con habilidades y necesidades especiales. SURCOS</t>
  </si>
  <si>
    <t>Angelica Ospina Castro</t>
  </si>
  <si>
    <t>CALLE 39 # 29-50</t>
  </si>
  <si>
    <t>3174283829</t>
  </si>
  <si>
    <t>aospina@fundacionsurcos.net</t>
  </si>
  <si>
    <t>110013092004</t>
  </si>
  <si>
    <t>GAES BOGOTA ANDINO</t>
  </si>
  <si>
    <t>OSCAR ALBERTO CEPEDA ALZATE</t>
  </si>
  <si>
    <t>CRA 11 # 82 - 71 Piso 2 Local 227</t>
  </si>
  <si>
    <t>3009015</t>
  </si>
  <si>
    <t>bogotacountry@amplifon.com</t>
  </si>
  <si>
    <t>110013092010</t>
  </si>
  <si>
    <t>GAES BOGOTA CENTRO MAYOR</t>
  </si>
  <si>
    <t>Calle 38 A Sur 34 D 51 Local 1-012</t>
  </si>
  <si>
    <t>3160101962</t>
  </si>
  <si>
    <t>luisa.marulanda@amplifon.com</t>
  </si>
  <si>
    <t>110013092006</t>
  </si>
  <si>
    <t>GAES BOGOTA PLAZA DE LAS AMERICAS</t>
  </si>
  <si>
    <t>TRANSVERSAL 71 D # 6-94 SUR LOCAL 1040 CC PLAZA DE LAS AMERICAS</t>
  </si>
  <si>
    <t>LUISA.MARULANDA@AMPLIFON.COM</t>
  </si>
  <si>
    <t>110013092011</t>
  </si>
  <si>
    <t>GAES BOGOTA PLAZA IMPERIAL</t>
  </si>
  <si>
    <t>Calle 146 A # 106 - 20 Local 2-79 y 2-80 CC Plaza Imperial</t>
  </si>
  <si>
    <t>110013092005</t>
  </si>
  <si>
    <t>GAES BOGOTA RESTREPO</t>
  </si>
  <si>
    <t>ELENA SANTACLARA MENENDEZ</t>
  </si>
  <si>
    <t>CR 19 NO. 20-49 SUR</t>
  </si>
  <si>
    <t>7468638</t>
  </si>
  <si>
    <t>bogotarestrepo@amplifon.com</t>
  </si>
  <si>
    <t>110013092009</t>
  </si>
  <si>
    <t>GAES BOGOTA SANTAFE</t>
  </si>
  <si>
    <t>Calle 185 # 45-13 Local N1-96</t>
  </si>
  <si>
    <t>110013092001</t>
  </si>
  <si>
    <t>GAES BOGOTA UNICENTRO</t>
  </si>
  <si>
    <t>Diego Mauricio Ospina Fernandez</t>
  </si>
  <si>
    <t>carrera 14a#127-15 local 1</t>
  </si>
  <si>
    <t>bogotaunicentro@amplifon.com</t>
  </si>
  <si>
    <t>110013092007</t>
  </si>
  <si>
    <t>GAES GRAN ESTACIÓN</t>
  </si>
  <si>
    <t>AC 26 # 60-47 LOCAL 1-078 CC GRAN ESTACIÓN</t>
  </si>
  <si>
    <t>110013092008</t>
  </si>
  <si>
    <t>GAES TITAN</t>
  </si>
  <si>
    <t>Avenida Carrera 72 80 94 Local 1-47</t>
  </si>
  <si>
    <t>110014297901</t>
  </si>
  <si>
    <t>GALENE MEDSKIN INSTITUTE</t>
  </si>
  <si>
    <t>ANGEL CAMILO PEÑARANDA URBINA</t>
  </si>
  <si>
    <t>Cll 96 # 10 - 72 Of 502</t>
  </si>
  <si>
    <t>3173310427</t>
  </si>
  <si>
    <t>skinpowersas@gmail.com</t>
  </si>
  <si>
    <t>110013129401</t>
  </si>
  <si>
    <t>GASTRICARE SAS</t>
  </si>
  <si>
    <t>CLAUDIA COBOS RODRIGUEZ</t>
  </si>
  <si>
    <t>CALLE 83 No 16A- 44 Consultorio 301- 303- 603- 605</t>
  </si>
  <si>
    <t>6956787-3108063077</t>
  </si>
  <si>
    <t>clau141171@yahoo.com.mx</t>
  </si>
  <si>
    <t>110012929703</t>
  </si>
  <si>
    <t>GASTROADVANCED PALERMO</t>
  </si>
  <si>
    <t>CRISTIAN FABIAN FLOREZ SARMIENTO</t>
  </si>
  <si>
    <t>CARRERA 23 # 45C-31 LOCAL # 1 Y 5</t>
  </si>
  <si>
    <t>2881301 - 3188010138</t>
  </si>
  <si>
    <t>cristianfflorez@gmail.com</t>
  </si>
  <si>
    <t>110012075701</t>
  </si>
  <si>
    <t>GASTROMEDICALL LTDA</t>
  </si>
  <si>
    <t>Benedicto Velasco Sepulveda</t>
  </si>
  <si>
    <t>AC 127 No. 19A-44 CS 512-513-514-305</t>
  </si>
  <si>
    <t>5185118-3152891778</t>
  </si>
  <si>
    <t>cvivas@gastromedicall.com.co</t>
  </si>
  <si>
    <t>110013793201</t>
  </si>
  <si>
    <t>GASTROSERVICIOS BOGOTÁ</t>
  </si>
  <si>
    <t>JUAN GUILLERMO CARVAJAL PATIÑO</t>
  </si>
  <si>
    <t>Calle 127 Bis # 19 25 Oficinas 402, 408 Y 414</t>
  </si>
  <si>
    <t>3192407437</t>
  </si>
  <si>
    <t>gcarvajalm@hotmail.com</t>
  </si>
  <si>
    <t>110012452603</t>
  </si>
  <si>
    <t>GENCELL PHARMA CENTRO NACIONAL DE SECUENCIACION</t>
  </si>
  <si>
    <t>FABIO ANDRES ZAPATA GOMEZ</t>
  </si>
  <si>
    <t>TRANSVERSAL 93 #51 98 UNIDAD 7</t>
  </si>
  <si>
    <t>3107388623-7425961</t>
  </si>
  <si>
    <t>smmatorel@labgencell.com</t>
  </si>
  <si>
    <t>110012452601</t>
  </si>
  <si>
    <t>GENCELL PHARMA S.A.S.</t>
  </si>
  <si>
    <t>Carrera 18 # 82-15</t>
  </si>
  <si>
    <t>110013060401</t>
  </si>
  <si>
    <t>GENESYS LABORAL MEDICINE SAS</t>
  </si>
  <si>
    <t>RUTH RAMIREZ NUÑEZ</t>
  </si>
  <si>
    <t>CALLE 86A 23 12</t>
  </si>
  <si>
    <t>3739055-3739387 - 3208555106</t>
  </si>
  <si>
    <t>gerencia@genesyslm.com.co</t>
  </si>
  <si>
    <t>1100115658</t>
  </si>
  <si>
    <t>GENETICA HUMANA E.U.</t>
  </si>
  <si>
    <t>LUIS ARTURO LIZCANO GIL</t>
  </si>
  <si>
    <t>Avenida Calle 116 # 9-72 consultorio 605</t>
  </si>
  <si>
    <t>2141275</t>
  </si>
  <si>
    <t>genetica.humana@gmail.com</t>
  </si>
  <si>
    <t>110011038101</t>
  </si>
  <si>
    <t>GENETICA MOLECULAR DE COLOMBIA S.A.S</t>
  </si>
  <si>
    <t>DORA JANETH FONSECA MENDOZA</t>
  </si>
  <si>
    <t>CARRERA 47 No. 91-51</t>
  </si>
  <si>
    <t>(571) 7551413</t>
  </si>
  <si>
    <t>administracion@geneticamolecular.co</t>
  </si>
  <si>
    <t>1100110381</t>
  </si>
  <si>
    <t>GENETICA MOLECULAR DE COLOMBIA S.A.S.</t>
  </si>
  <si>
    <t>FONSECA MENDOZA DORA JANNETH</t>
  </si>
  <si>
    <t>www.geneticamolecular.co</t>
  </si>
  <si>
    <t>1100117792</t>
  </si>
  <si>
    <t>GENETIX SAS</t>
  </si>
  <si>
    <t>CLAUDIA JULIANA SERRANO SERRANO</t>
  </si>
  <si>
    <t>110014007201</t>
  </si>
  <si>
    <t>GENMEDIS SALUD</t>
  </si>
  <si>
    <t>Hernel David Alvarado Galeano</t>
  </si>
  <si>
    <t>Carrera 18 82 23 Piso 1</t>
  </si>
  <si>
    <t>7425961</t>
  </si>
  <si>
    <t>info@genmedis.com.co</t>
  </si>
  <si>
    <t>110011565801</t>
  </si>
  <si>
    <t>GENÉTICA HUMANA E.U.</t>
  </si>
  <si>
    <t>Avenida Calle 116 # 9 -72 Cons 605-517-313</t>
  </si>
  <si>
    <t>110012227401</t>
  </si>
  <si>
    <t>GERIZIM SALUD Y SEGURIDAD EN EL TRABAJO SAS SIGLA GERIZIM SST</t>
  </si>
  <si>
    <t>NUBIA STELLA OSPINA TRUJILLO</t>
  </si>
  <si>
    <t>Calle 98 21 36 Oficina 401 - Edificio Centro 98 Bogota D.C</t>
  </si>
  <si>
    <t>601 5391111 - 3204824982</t>
  </si>
  <si>
    <t>ceo@gerizimsalud.com</t>
  </si>
  <si>
    <t>110013840601</t>
  </si>
  <si>
    <t>GESTION INTEGRAL EN SALUD, SEGURIDAD Y AMBIENTE S.A.S GEMSSA S.A.S</t>
  </si>
  <si>
    <t>Deysi Astrid Yañez Villamizar</t>
  </si>
  <si>
    <t>Calle 23 F #75-21 Piso 1</t>
  </si>
  <si>
    <t>3147284115</t>
  </si>
  <si>
    <t>gemssa.gerencia@gmail.com</t>
  </si>
  <si>
    <t>110012877401</t>
  </si>
  <si>
    <t>GESTION MEDICA EN SALUD SAS</t>
  </si>
  <si>
    <t>John Eugenio Sepulveda Grajales</t>
  </si>
  <si>
    <t>KR 14 # 119 89</t>
  </si>
  <si>
    <t>3248216810 - 3166297019-3124348898</t>
  </si>
  <si>
    <t>110011195101</t>
  </si>
  <si>
    <t>GIMNASIO DE EDUCACION ESPECIAL FEDERICO FROEBEL</t>
  </si>
  <si>
    <t>STELLA MARIA OLIVEROS DE AMADOR</t>
  </si>
  <si>
    <t>CL 169 A # 62-95</t>
  </si>
  <si>
    <t>091 6708300</t>
  </si>
  <si>
    <t>fffroebel@hotmail.com</t>
  </si>
  <si>
    <t>1100111951</t>
  </si>
  <si>
    <t>GIMNASIO DE EDUCACION ESPECIAL FEDERICO FROEBEL LTDA</t>
  </si>
  <si>
    <t>1 6708300</t>
  </si>
  <si>
    <t>110014010701</t>
  </si>
  <si>
    <t>GLOBAL CARE NEURODIAGNOSTIC</t>
  </si>
  <si>
    <t>MARIA OBDULIA SALAZAR DE GONZALEZ</t>
  </si>
  <si>
    <t>AC 127 # 20 78 CS 609</t>
  </si>
  <si>
    <t>3158895505</t>
  </si>
  <si>
    <t>admon@globalneuro.care</t>
  </si>
  <si>
    <t>1100117870</t>
  </si>
  <si>
    <t>GLOBAL LIFE AMBULANCIAS SAS</t>
  </si>
  <si>
    <t>JAVIER FERNANDO NIETO BELLO</t>
  </si>
  <si>
    <t>CALLE 163 No. 16 C 62</t>
  </si>
  <si>
    <t>3102842445</t>
  </si>
  <si>
    <t>calidad@glambulancias.com</t>
  </si>
  <si>
    <t>www.glambulancias.com</t>
  </si>
  <si>
    <t>110013846301</t>
  </si>
  <si>
    <t>GLOBAL MEDICAL HSE SAS IPS</t>
  </si>
  <si>
    <t>María José Hoyos Peña</t>
  </si>
  <si>
    <t>carrera 49 # 91-73 consultorios 1,2,4,5,6,8</t>
  </si>
  <si>
    <t>3202152228</t>
  </si>
  <si>
    <t>gerencia@globalmedicalhse.com</t>
  </si>
  <si>
    <t>110014247001</t>
  </si>
  <si>
    <t>GLOBAL OBESITY INVESTMENST SAS</t>
  </si>
  <si>
    <t>ANGELA PAOLA SANCHEZ HERRERA</t>
  </si>
  <si>
    <t>AK 19 # 114-65 LOCAL 2B PISO 1</t>
  </si>
  <si>
    <t>3105767857</t>
  </si>
  <si>
    <t>gerencia1.gog@gmail.com</t>
  </si>
  <si>
    <t>110012844301</t>
  </si>
  <si>
    <t>GNOSTIKA S.A.S SIGLA GNOSTIKA S.A.S</t>
  </si>
  <si>
    <t>ADRIANA ANDREA SANABRIA RINCON</t>
  </si>
  <si>
    <t>cr 7B Bis N° 132-38 CONSULTORIO 409</t>
  </si>
  <si>
    <t>3906321</t>
  </si>
  <si>
    <t>pamecgnostika@gmail.com</t>
  </si>
  <si>
    <t>110011643001</t>
  </si>
  <si>
    <t>GNQ</t>
  </si>
  <si>
    <t>NORMA CAROLINA PEREZ LUCENA</t>
  </si>
  <si>
    <t>CL 102 # 14 A 15 TERCER PISO</t>
  </si>
  <si>
    <t>7422244</t>
  </si>
  <si>
    <t>gerencia@gnqsas.com</t>
  </si>
  <si>
    <t>1100116430</t>
  </si>
  <si>
    <t>GNQ MEDICINA ANTIENVEJECIMIENTO S A S SIGLA GNQ</t>
  </si>
  <si>
    <t>ANDRES LUCENA PEREZ</t>
  </si>
  <si>
    <t>CL 102 # 14 A 15 PISO 3</t>
  </si>
  <si>
    <t>110012942501</t>
  </si>
  <si>
    <t>GO DOCTOR SERVICIOS MEDICOS SAS</t>
  </si>
  <si>
    <t>Pablo Enrique Alvarado Valencia</t>
  </si>
  <si>
    <t>Carrera 10 #134-07 oficina 316</t>
  </si>
  <si>
    <t>7350556 3102632552 3112747368</t>
  </si>
  <si>
    <t>godoctorvirtual@gmail.com</t>
  </si>
  <si>
    <t>110011908706</t>
  </si>
  <si>
    <t>GOLEMAN SEDE KENNEDY</t>
  </si>
  <si>
    <t>CAROL YISEL GUEVARA CARDENAS</t>
  </si>
  <si>
    <t>CAR 72 I Sur # 37C - 04 PISO 1, 2, 3</t>
  </si>
  <si>
    <t>6017944011</t>
  </si>
  <si>
    <t>direccion.calidad@ipsgoleman.com.co gerencia@ipsgoleman.com.co</t>
  </si>
  <si>
    <t>110011908708</t>
  </si>
  <si>
    <t>GOLEMAN SEDE LA CASTELLANA</t>
  </si>
  <si>
    <t>CAROL GUEVARA</t>
  </si>
  <si>
    <t>KR 49 B 94 40</t>
  </si>
  <si>
    <t>110012233701</t>
  </si>
  <si>
    <t>GOMEZ ASOCIADOS SALUD OCUPACIONAL SAS</t>
  </si>
  <si>
    <t>Doris Jacinta Cabra Lopez</t>
  </si>
  <si>
    <t>CARRERA 47#91-39 INTERIOR 1</t>
  </si>
  <si>
    <t>9261915 - 3132514624 - 3102334534</t>
  </si>
  <si>
    <t>doris.cabra@gomezasociadosltda.com</t>
  </si>
  <si>
    <t>110010651605</t>
  </si>
  <si>
    <t>GOMEZ VESGA SABANA 2</t>
  </si>
  <si>
    <t>AV CRA. 7 No. 119-14 LOCAL 104 A</t>
  </si>
  <si>
    <t>110011964603</t>
  </si>
  <si>
    <t>GROUP CITY VISION</t>
  </si>
  <si>
    <t>CALLE 19 12 - 85 LOCAL 03</t>
  </si>
  <si>
    <t>742 72 86</t>
  </si>
  <si>
    <t>110013699601</t>
  </si>
  <si>
    <t>GROUP MEDICAL HEALTH SERVICES SAS</t>
  </si>
  <si>
    <t>JHONNY STEVEN OSPINA MARTINEZ</t>
  </si>
  <si>
    <t>CARRERA 15 # 88 - 64 OFICINA 301.</t>
  </si>
  <si>
    <t>3188698832-3102618643-3102618599-</t>
  </si>
  <si>
    <t>groupmedicalhealthservices@gmail.com</t>
  </si>
  <si>
    <t>110013642701</t>
  </si>
  <si>
    <t>GRUPO AVALER. S.A.S SIGLA AVALER.</t>
  </si>
  <si>
    <t>Adriana del Pilar Valero Beltrán</t>
  </si>
  <si>
    <t>Calle 102 N 70-41 Bodega Piso1</t>
  </si>
  <si>
    <t>3173794230</t>
  </si>
  <si>
    <t>avaler.medical@gmail.com</t>
  </si>
  <si>
    <t>1100119440</t>
  </si>
  <si>
    <t>GRUPO CIMCO SAS.</t>
  </si>
  <si>
    <t>Esmeralda Prieto Rojas</t>
  </si>
  <si>
    <t>AV CARRERA 68 # 45-62 piso 1 local 101</t>
  </si>
  <si>
    <t>110013024601</t>
  </si>
  <si>
    <t>GRUPO DE APOYO MULTIDISCIPLINARIO PARA EL MANEJO DE LA OBESIDAD S.A.S GRAMMO S.A.S</t>
  </si>
  <si>
    <t>CESAR ERNESTO GUEVARA PEREZ</t>
  </si>
  <si>
    <t>Carrera 18 # 80 - 32 Consultorios 307-1 Y 307-2</t>
  </si>
  <si>
    <t>7428220 - 7440091</t>
  </si>
  <si>
    <t>gestor@grammo.org</t>
  </si>
  <si>
    <t>1100117658</t>
  </si>
  <si>
    <t>GRUPO DE INVERSIONES EMPRESARIALES SAS GIEM SAS</t>
  </si>
  <si>
    <t>BECERRA DIAZ LINA ESPERANZA</t>
  </si>
  <si>
    <t>AC 26 N° 68 C 61 - LCO 107</t>
  </si>
  <si>
    <t>7461111 - 3107862504 - 4273466 - 3204880062 - 3107865147</t>
  </si>
  <si>
    <t>calidadyfranquicias@marlonbecerra.co</t>
  </si>
  <si>
    <t>110014137901</t>
  </si>
  <si>
    <t>GRUPO DE ORTOPEDIA INFANTIL GOI SAS</t>
  </si>
  <si>
    <t>JORGE ENRIQUE ROJAS SALCEDO</t>
  </si>
  <si>
    <t>CARRERA 18 N 80 42/52 CONS. 205 CENTRO MEDICO ALENTA</t>
  </si>
  <si>
    <t>3214412606</t>
  </si>
  <si>
    <t>grupoortopediagoi@yahoo.com</t>
  </si>
  <si>
    <t>1100117786</t>
  </si>
  <si>
    <t>GRUPO DEPILAGE LTDA</t>
  </si>
  <si>
    <t>JUAN DIEGO AMAYA ESPINOSA</t>
  </si>
  <si>
    <t>cra 7 no 115-60 Lc B106</t>
  </si>
  <si>
    <t>3099878</t>
  </si>
  <si>
    <t>info@depilee.com</t>
  </si>
  <si>
    <t>110014122801</t>
  </si>
  <si>
    <t>GRUPO DMEDICS VIVA LA VIDA S.A.S</t>
  </si>
  <si>
    <t>DIANA MARCELA FINO CARANTON</t>
  </si>
  <si>
    <t>Calle 106 #57 11 Oficina 507</t>
  </si>
  <si>
    <t>3015680239</t>
  </si>
  <si>
    <t>nanafino@hotmail.com</t>
  </si>
  <si>
    <t>110012688101</t>
  </si>
  <si>
    <t>GRUPO EMPRESARIAL ALIANZA ESTRATEGICA EN SALUD OCUPACIONAL SAS- GRUPO EMPRESARIAL ALESO SAS</t>
  </si>
  <si>
    <t>ALEXANDRA MUÑOZ</t>
  </si>
  <si>
    <t>CALLE 63 No. 11-45 AP 303 OF 303 AP 402 OF 402</t>
  </si>
  <si>
    <t>6014661243</t>
  </si>
  <si>
    <t>gerencia@alesoips.com</t>
  </si>
  <si>
    <t>1100120165</t>
  </si>
  <si>
    <t>GRUPO EMPRESARIAL EN CASA SAS</t>
  </si>
  <si>
    <t>2554438-2487695</t>
  </si>
  <si>
    <t>www.encasasalud.com</t>
  </si>
  <si>
    <t>110013097001</t>
  </si>
  <si>
    <t>GRUPO EMPRESARIAL JARBSALUD IPS S.A.S.</t>
  </si>
  <si>
    <t>JAIME ANDRES ROJAS BLANCO</t>
  </si>
  <si>
    <t>Calle 33 bis No. 15 - 64</t>
  </si>
  <si>
    <t>4673216 - 7561334</t>
  </si>
  <si>
    <t>jarbsalud.gerencia@gmail.com</t>
  </si>
  <si>
    <t>110013868901</t>
  </si>
  <si>
    <t>GRUPO EMPRESARIAL NEXUS SALUD SAS</t>
  </si>
  <si>
    <t>RUBY HAZBLEIDY PALACIOS RENTERIA</t>
  </si>
  <si>
    <t>CR 19 39 31 OFICINA 102</t>
  </si>
  <si>
    <t>3133402770</t>
  </si>
  <si>
    <t>serviciosysaludsas@gmail.com</t>
  </si>
  <si>
    <t>1100117708</t>
  </si>
  <si>
    <t>GRUPO EMPRESARIAL P&amp;P S.A.S.</t>
  </si>
  <si>
    <t>AC 26 # 69 D 91 OF 601 TO AVENIDA EL DORADO</t>
  </si>
  <si>
    <t>3161839</t>
  </si>
  <si>
    <t>110012388401</t>
  </si>
  <si>
    <t>GRUPO EMPRESARIAL SALUD COLOMBIA SAS</t>
  </si>
  <si>
    <t>claudia milena olaya arenas</t>
  </si>
  <si>
    <t>CARRERA 72C # 23 F - 22 PRIMER PISO</t>
  </si>
  <si>
    <t>8059671</t>
  </si>
  <si>
    <t>gerencia@gruposoc.com.co</t>
  </si>
  <si>
    <t>110012208001</t>
  </si>
  <si>
    <t>GRUPO EMPRESARIAL SALUD POSITIVA S.A.S. sede 1 Polo Club</t>
  </si>
  <si>
    <t>ALEXANDRA QUINCHE GONZALEZ</t>
  </si>
  <si>
    <t>CL 86 #27 51 Piso 1</t>
  </si>
  <si>
    <t>601 7954600 - 3174381675</t>
  </si>
  <si>
    <t>aquinche@saludpositivaips.com</t>
  </si>
  <si>
    <t>110012409601</t>
  </si>
  <si>
    <t>GRUPO LABORAL OCUPACIONAL SAS</t>
  </si>
  <si>
    <t>FRANCILENA MONROY MONSALVE</t>
  </si>
  <si>
    <t>KR 49 # 94-35 PISO 1</t>
  </si>
  <si>
    <t>7512005 - 3163946337</t>
  </si>
  <si>
    <t>fmmm129@hotmail.com</t>
  </si>
  <si>
    <t>110012298601</t>
  </si>
  <si>
    <t>GRUPO MANDARINE SAS</t>
  </si>
  <si>
    <t>ODALYS GABRIELA PEREZ GARCIA</t>
  </si>
  <si>
    <t>CL 127 No. 19 A 28 CS 606</t>
  </si>
  <si>
    <t>3202020767 - 3143148414</t>
  </si>
  <si>
    <t>grupomandarine@mandarine.com.co</t>
  </si>
  <si>
    <t>110011858803</t>
  </si>
  <si>
    <t>GRUPO MEDICAS GRAN PLAZA BOSA</t>
  </si>
  <si>
    <t>LILIANA MARGARITA ADAME ERAZO</t>
  </si>
  <si>
    <t>CL 65 SUR # 78 H 51 LC 302</t>
  </si>
  <si>
    <t>3106099878</t>
  </si>
  <si>
    <t>adame.liliana@yahoo.com</t>
  </si>
  <si>
    <t>1100118588</t>
  </si>
  <si>
    <t>GRUPO MEDICAS SAS</t>
  </si>
  <si>
    <t>liliana adame erazo</t>
  </si>
  <si>
    <t>CL 68 NO. 23-48, PISO 1</t>
  </si>
  <si>
    <t>310 6099878</t>
  </si>
  <si>
    <t>110011858801</t>
  </si>
  <si>
    <t>GRUPO MEDICAS SAS SEDE 1</t>
  </si>
  <si>
    <t>CL 68 NO. 23-48 PISO 1</t>
  </si>
  <si>
    <t>3479334</t>
  </si>
  <si>
    <t>1100120044</t>
  </si>
  <si>
    <t>GRUPO MEDICO INCOLGER SAS</t>
  </si>
  <si>
    <t>AK 70 (AV ROJAS ) # 66-14</t>
  </si>
  <si>
    <t>5175304</t>
  </si>
  <si>
    <t>110013819801</t>
  </si>
  <si>
    <t>GRUPO MEDICOS ALTERNATIVOS Y ASOCIADOS S.A.S</t>
  </si>
  <si>
    <t>WILLIAM ANDRES BERNAL RIVERA</t>
  </si>
  <si>
    <t>CARRERA 20 #49-59 PISO 1 OFICINA 101</t>
  </si>
  <si>
    <t>3005699054</t>
  </si>
  <si>
    <t>info@grupomedicoalternativo.com</t>
  </si>
  <si>
    <t>1100119646</t>
  </si>
  <si>
    <t>GRUPO MEGACENTRO INTERNACIONAL DE LA VISION SAS</t>
  </si>
  <si>
    <t>MARIA EFIGENIA ARISTIZABAL JIMENEZ</t>
  </si>
  <si>
    <t>CALLE 19 12-85 LOCAL 01</t>
  </si>
  <si>
    <t>742 72 84</t>
  </si>
  <si>
    <t>1100117439</t>
  </si>
  <si>
    <t>GRUPO OCUPACIONAL LTDA</t>
  </si>
  <si>
    <t>SANDRA CONSTANZA USECHE GARCIA</t>
  </si>
  <si>
    <t>CARRERA 27 A # 52-48</t>
  </si>
  <si>
    <t>7551842 - 7551843 - 7551844</t>
  </si>
  <si>
    <t>grupoocupacional@gmail.com</t>
  </si>
  <si>
    <t>110013843201</t>
  </si>
  <si>
    <t>GRUPO ODONTOS SAS Sigla: GRUPO ODONTOS SAS</t>
  </si>
  <si>
    <t>CLAUDIA MARITZA RODRIGUEZ MAHECHA</t>
  </si>
  <si>
    <t>Cl 18 No. 77 67 Of 303 304</t>
  </si>
  <si>
    <t>2222208</t>
  </si>
  <si>
    <t>grupodontos@gmail.com</t>
  </si>
  <si>
    <t>110012886201</t>
  </si>
  <si>
    <t>GRUPO ORAL HOME S.A. BOGOTA - SUCURSAL</t>
  </si>
  <si>
    <t>Gabriel Jaime Velasquez Urrego</t>
  </si>
  <si>
    <t>CRA 68D NRO 18-30 INTERIOR 1</t>
  </si>
  <si>
    <t>315 3330505</t>
  </si>
  <si>
    <t>oralhome@oralhome.com.co</t>
  </si>
  <si>
    <t>110012886202</t>
  </si>
  <si>
    <t>GRUPO ORAL HOME SAS</t>
  </si>
  <si>
    <t>GABRIEL JAIME VELASQUEZ URREGO</t>
  </si>
  <si>
    <t>Cr 67A # 95-32 Local Primer Piso</t>
  </si>
  <si>
    <t>110014022601</t>
  </si>
  <si>
    <t>GRUPO PRESENZA IPS SAS</t>
  </si>
  <si>
    <t>SANDRA TIBYSAY SUAREZ ACEVEDO</t>
  </si>
  <si>
    <t>CALLE 106#23 - 61 OF 601-602-603-604</t>
  </si>
  <si>
    <t>3154215900</t>
  </si>
  <si>
    <t>facturacion@presenza.co</t>
  </si>
  <si>
    <t>110013439701</t>
  </si>
  <si>
    <t>GUADALUPE MEDICAL CENTER MP CALLEJA</t>
  </si>
  <si>
    <t>JULIAN RICARDO ARBOLEDA PINEDA</t>
  </si>
  <si>
    <t>CALLE 127 BIS N° 19-25 OFICINA 202A-203-208 EDIFICIO IMAGEN</t>
  </si>
  <si>
    <t>3174323587-3164537618</t>
  </si>
  <si>
    <t>gerenciaguadalupe127@gmail.com - julioarboleda8@hotmail.com</t>
  </si>
  <si>
    <t>110014189601</t>
  </si>
  <si>
    <t>GUATIBONZA CLINICS</t>
  </si>
  <si>
    <t>Marcela Guatibonza</t>
  </si>
  <si>
    <t>Carrera 71 D 6 94 Sur Lc 4503 Cc Plaza De Las Americas</t>
  </si>
  <si>
    <t>3123602102</t>
  </si>
  <si>
    <t>coordinacioncalidad@Guatibonzaclinics.com</t>
  </si>
  <si>
    <t>110014189603</t>
  </si>
  <si>
    <t>GUATIBONZA CLINICS SEDE PLAZA</t>
  </si>
  <si>
    <t>Angelica Marcela Guatibonza Huérfano</t>
  </si>
  <si>
    <t>Carrera 71 D 6 94 Sur Local 3513 CC Plaza De Las Americas</t>
  </si>
  <si>
    <t>3125437134</t>
  </si>
  <si>
    <t>110012621302</t>
  </si>
  <si>
    <t>GUIAR SALUD IPS Y HSEQ S EN CS COLON</t>
  </si>
  <si>
    <t>STELLA QUINTERO GARZON</t>
  </si>
  <si>
    <t>CL 3A # 53F 74 PI 1 Y 2</t>
  </si>
  <si>
    <t>2603016-4206565-3103414647</t>
  </si>
  <si>
    <t>guiarsaludips@gmail.com</t>
  </si>
  <si>
    <t>110010061601</t>
  </si>
  <si>
    <t>GUTMEDICA ALMIRANTE</t>
  </si>
  <si>
    <t>ADRIANNA LUCIA BONILLA GARZON</t>
  </si>
  <si>
    <t>CR 16 # 84A - 09 CS 311</t>
  </si>
  <si>
    <t>110010061602</t>
  </si>
  <si>
    <t>GUTMEDICA DALI</t>
  </si>
  <si>
    <t>Cl 97 # 23-37 Cs 302, 303. 315-11,315-6,315-5, Areas 315,204 Y 201</t>
  </si>
  <si>
    <t>110014318701</t>
  </si>
  <si>
    <t>GZ Y ASOCIADOS S.A.S.</t>
  </si>
  <si>
    <t>Juan Carlos Zambrano Burgl</t>
  </si>
  <si>
    <t>calle 127 A No. 7 - 53 Consultorios 7001-7002</t>
  </si>
  <si>
    <t>3232348414</t>
  </si>
  <si>
    <t>consult.plasticmd@gmail.com</t>
  </si>
  <si>
    <t>110013092003</t>
  </si>
  <si>
    <t>Gaes Bogota Chapinero</t>
  </si>
  <si>
    <t>Cra 13 # 48 - 91 Local 5 Edificio Calle 49</t>
  </si>
  <si>
    <t>7455047</t>
  </si>
  <si>
    <t>bogotachapinero@amplifon.com</t>
  </si>
  <si>
    <t>110013092002</t>
  </si>
  <si>
    <t>Gaes Bogota Jasban</t>
  </si>
  <si>
    <t>Mauricio Ospina</t>
  </si>
  <si>
    <t>Calle 106 # 23 - 61 local 101</t>
  </si>
  <si>
    <t>7433422</t>
  </si>
  <si>
    <t>bogotajasban@amplifon.com</t>
  </si>
  <si>
    <t>110014189602</t>
  </si>
  <si>
    <t>Guatibonza clinics sede Norte</t>
  </si>
  <si>
    <t>Angelica Marcela Guatibonza Huerfano</t>
  </si>
  <si>
    <t>Carrera 14 #75-82, Piso 5, Bogotá</t>
  </si>
  <si>
    <t>3102716395</t>
  </si>
  <si>
    <t>110012101001</t>
  </si>
  <si>
    <t>H &amp;H LAB LABORATORIO DE REFERENCIA EN HEMOSTASIA Y HEMATOLOGIA SAS</t>
  </si>
  <si>
    <t>JOHN RICHARD BENAVIDES MUÑOZ</t>
  </si>
  <si>
    <t>CRA 16 N 80- 77 CONSULTORIO 208-209</t>
  </si>
  <si>
    <t>2960563/64</t>
  </si>
  <si>
    <t>direccioncientificahyh@gmail.com</t>
  </si>
  <si>
    <t>110013347601</t>
  </si>
  <si>
    <t>H&amp;R AMBULANCIAS IPS S.A.S H&amp;R AMBULANCIAS</t>
  </si>
  <si>
    <t>Heidi Cecilia Carvajal Mejia</t>
  </si>
  <si>
    <t>CALLE 5 78 B-60</t>
  </si>
  <si>
    <t>3477671</t>
  </si>
  <si>
    <t>referencia.hyrambulancias@gmail.com</t>
  </si>
  <si>
    <t>110014073801</t>
  </si>
  <si>
    <t>HARMONY ESTETIC DB MEDICINA AVANZADA IPS SAS</t>
  </si>
  <si>
    <t>DIANA YANET BOGOTA GORDILLO</t>
  </si>
  <si>
    <t>AK 9 # 127 C - 60 CONSULTORIO 309</t>
  </si>
  <si>
    <t>3108734949</t>
  </si>
  <si>
    <t>harmonyesteticdb@gmail.com</t>
  </si>
  <si>
    <t>110012894211</t>
  </si>
  <si>
    <t>HEALTH &amp; LIFE IPS SAS SEDE AMERICAS</t>
  </si>
  <si>
    <t>Mariana Rodriguez Rodrigiuez</t>
  </si>
  <si>
    <t>AVENIDA CALLE 6 49 9</t>
  </si>
  <si>
    <t>3009121102</t>
  </si>
  <si>
    <t>mariana.rodriguez@heli.com.co</t>
  </si>
  <si>
    <t>110012894208</t>
  </si>
  <si>
    <t>HEALTH &amp; LIFE IPS SAS SEDE CASTELLANA</t>
  </si>
  <si>
    <t>MARIANA RODRIGUEZ RODRIGUEZ</t>
  </si>
  <si>
    <t>AK 45 94 51</t>
  </si>
  <si>
    <t>110012894204</t>
  </si>
  <si>
    <t>HEALTH &amp; LIFE IPS SAS SEDE CHAPINERO</t>
  </si>
  <si>
    <t>AC 57 14 A 16 LC</t>
  </si>
  <si>
    <t>110012894202</t>
  </si>
  <si>
    <t>HEALTH &amp; LIFE IPS SAS SEDE JJ VARGAS</t>
  </si>
  <si>
    <t>Mariana Rodríguez Rodríguez</t>
  </si>
  <si>
    <t>CARRERA 66 # 67G-30</t>
  </si>
  <si>
    <t>110012894209</t>
  </si>
  <si>
    <t>HEALTH &amp; LIFE IPS SAS SEDE MODELIA</t>
  </si>
  <si>
    <t>Avenida Calle 24 81 C 71</t>
  </si>
  <si>
    <t>110012894205</t>
  </si>
  <si>
    <t>HEALTH &amp; LIFE IPS SAS SEDE MONTEVIDEO</t>
  </si>
  <si>
    <t>Av Carrera 68 # 13 - 73</t>
  </si>
  <si>
    <t>110012894210</t>
  </si>
  <si>
    <t>HEALTH &amp; LIFE IPS SEDE TOBERIN</t>
  </si>
  <si>
    <t>Mariana Rodriguez Rodriguez</t>
  </si>
  <si>
    <t>Cra 22 # 166 - 90</t>
  </si>
  <si>
    <t>110012432901</t>
  </si>
  <si>
    <t>HEALTH DELIVER SOLUTIONS SAS</t>
  </si>
  <si>
    <t>EDWIN NOVOA</t>
  </si>
  <si>
    <t>KR 93 # 132 - 74</t>
  </si>
  <si>
    <t>3142069001</t>
  </si>
  <si>
    <t>724hds@gmail.com</t>
  </si>
  <si>
    <t>110013518901</t>
  </si>
  <si>
    <t>HEALTH GROUP SAS RESTREPO</t>
  </si>
  <si>
    <t>MARITZA LILIANA CRISTANCHO AREVALO</t>
  </si>
  <si>
    <t>CALLE 15 SUR # 18-54 PISO 1 LOCAL 1</t>
  </si>
  <si>
    <t>3124560928-3125732665</t>
  </si>
  <si>
    <t>calidadhealthgroupsas@gmail.com</t>
  </si>
  <si>
    <t>110013318501</t>
  </si>
  <si>
    <t>HEALTH PLUS IPS</t>
  </si>
  <si>
    <t>Martha Milena Porras Salas</t>
  </si>
  <si>
    <t>Calle 120 No. 45A-20</t>
  </si>
  <si>
    <t>3168763506</t>
  </si>
  <si>
    <t>comitecientificohealthplus@gmail.com</t>
  </si>
  <si>
    <t>110013378501</t>
  </si>
  <si>
    <t>HEALTH SUPPORT A.R. SAS</t>
  </si>
  <si>
    <t>ADRIANA PAOLA RIVERA CLAVIJO 1032358137</t>
  </si>
  <si>
    <t>CARRERA 54 N° 37 A 39 SUR PISO 1</t>
  </si>
  <si>
    <t>3004330307 - 3002101703</t>
  </si>
  <si>
    <t>calidad@healthsupport.com.co</t>
  </si>
  <si>
    <t>110012829103</t>
  </si>
  <si>
    <t>HEALTHY NIZA</t>
  </si>
  <si>
    <t>Yubelly Villareal Garzón</t>
  </si>
  <si>
    <t>Tr 60 # 120-27 P 1 LC 2</t>
  </si>
  <si>
    <t>3133279685</t>
  </si>
  <si>
    <t>clinicashealthyadelgazamiento@gmail.com</t>
  </si>
  <si>
    <t>110012084501</t>
  </si>
  <si>
    <t>HEALTHY RENT SAS</t>
  </si>
  <si>
    <t>ADRIANA MARIA ARARAT ORJUELA</t>
  </si>
  <si>
    <t>CALLE 93 B # 18-12 OFC 302</t>
  </si>
  <si>
    <t>7420686</t>
  </si>
  <si>
    <t>administrativo@healthyrent.co</t>
  </si>
  <si>
    <t>110012433901</t>
  </si>
  <si>
    <t>HELP OCUPACIONAL SAS</t>
  </si>
  <si>
    <t>MAYRA ESMERALDA RAMOS HERNANDEZ</t>
  </si>
  <si>
    <t>KR 18 A # 53 50 CS 101</t>
  </si>
  <si>
    <t>3505211627</t>
  </si>
  <si>
    <t>recepcionhelpocupacional@gmail.com</t>
  </si>
  <si>
    <t>110014040001</t>
  </si>
  <si>
    <t>HEMATOLOGIA Y ONCOLOGIA DEL ORIENTE SAS</t>
  </si>
  <si>
    <t>Mayra Danely Jaimes Martinez</t>
  </si>
  <si>
    <t>CARRERA 12 N° 98-64 403</t>
  </si>
  <si>
    <t>3126603565</t>
  </si>
  <si>
    <t>hyogerencia@gmail.com - hematologiayoncologia@gmail.com</t>
  </si>
  <si>
    <t>110013502901</t>
  </si>
  <si>
    <t>HERO INSTITUTE BOGOTA SAS</t>
  </si>
  <si>
    <t>JUAN CARLOS MALDONADO ESCOBAR</t>
  </si>
  <si>
    <t>CALLE 117 # 6 A 60 OFICINA 509</t>
  </si>
  <si>
    <t>3155692698</t>
  </si>
  <si>
    <t>info@heroinstitute.co</t>
  </si>
  <si>
    <t>110013851901</t>
  </si>
  <si>
    <t>HIDROREHABILITAR SALUD SAS</t>
  </si>
  <si>
    <t>CALLE 76 #84a -01</t>
  </si>
  <si>
    <t>3157840045</t>
  </si>
  <si>
    <t>hidrorehabilitar@gmail.com</t>
  </si>
  <si>
    <t>110013850701</t>
  </si>
  <si>
    <t>HILIFE, ALTO DESEMPEÑO MÉDICO Y FÍSICO S.A.S</t>
  </si>
  <si>
    <t>JORGE MARIO CABRERA GARAVITO</t>
  </si>
  <si>
    <t>CALLE 105 A 14 92 CONSULTORIO 101</t>
  </si>
  <si>
    <t>3003186335</t>
  </si>
  <si>
    <t>jmcabrerag@unal.edu.co</t>
  </si>
  <si>
    <t>1100119949</t>
  </si>
  <si>
    <t>HISTOLAD EU</t>
  </si>
  <si>
    <t>LADYS ESTHER SARMIENTO LACERA</t>
  </si>
  <si>
    <t>AK45 No 118-86 of 203</t>
  </si>
  <si>
    <t>6476623</t>
  </si>
  <si>
    <t>sarmiento62@yahoo.com</t>
  </si>
  <si>
    <t>1100107594</t>
  </si>
  <si>
    <t>HOME SALUD SAS</t>
  </si>
  <si>
    <t>LAHUD SANCHEZ YESID EDUARDO</t>
  </si>
  <si>
    <t>CALLE 89 21 - 30</t>
  </si>
  <si>
    <t>6350935</t>
  </si>
  <si>
    <t>homesalud@homesalud.com</t>
  </si>
  <si>
    <t>110012815201</t>
  </si>
  <si>
    <t>HOMEMEDICAL CARE S.A.S.</t>
  </si>
  <si>
    <t>YULY ANDREA ALBA BLANCO</t>
  </si>
  <si>
    <t>CALLE 93 #19B-67 OF 505 Edificio Bridge</t>
  </si>
  <si>
    <t>7510566-3134037359</t>
  </si>
  <si>
    <t>hmc_gerencia@hotmail.com</t>
  </si>
  <si>
    <t>1100107458</t>
  </si>
  <si>
    <t>HOPE WORLDWIDE COLOMBIA</t>
  </si>
  <si>
    <t>BORRAS MANZI GABRIEL</t>
  </si>
  <si>
    <t>CALLE 48 SUR # 02 D 13 ESTE</t>
  </si>
  <si>
    <t>7720642</t>
  </si>
  <si>
    <t>HOPEWWCOL@NEUTEL.COM.CO</t>
  </si>
  <si>
    <t>110011607601</t>
  </si>
  <si>
    <t>HORIZONTES ABA TERAPIA INTEGRAL</t>
  </si>
  <si>
    <t>HERMENCIA DEL CARMEN GARCIA CEPEDA</t>
  </si>
  <si>
    <t>Transversal 28B No 37 20</t>
  </si>
  <si>
    <t>2222385- 3125009117 - 3103105333</t>
  </si>
  <si>
    <t>administracion@horizontesaba.com</t>
  </si>
  <si>
    <t>1100116076</t>
  </si>
  <si>
    <t>HORIZONTES ABA TERAPIA INTEGRAL LTDA</t>
  </si>
  <si>
    <t>Transversal 28 B No 37 20</t>
  </si>
  <si>
    <t>2222385 - 3103105333</t>
  </si>
  <si>
    <t>110010845606</t>
  </si>
  <si>
    <t>HORUS EDIFICIO AVENIDA CALLE 85</t>
  </si>
  <si>
    <t>JORGE BERTRAN</t>
  </si>
  <si>
    <t>AV. Cl 85 # 19B - 22 LOCAL 2: CONSULTORIO 1-2-3 OFICINA 503/504 CONSULTORIO: 1-2-3</t>
  </si>
  <si>
    <t>2180209</t>
  </si>
  <si>
    <t>calidad@horusgo.com</t>
  </si>
  <si>
    <t>1100108456</t>
  </si>
  <si>
    <t>HORUS GRUPO OFTALMOLOGICO S.A</t>
  </si>
  <si>
    <t>CORRALES RAMIREZ LEONCIO</t>
  </si>
  <si>
    <t>KR. 19 B # 84 65 PISO 1</t>
  </si>
  <si>
    <t>(601) 7434335 - 300 3239501</t>
  </si>
  <si>
    <t>admin@horusgo.com</t>
  </si>
  <si>
    <t>110010845602</t>
  </si>
  <si>
    <t>HORUS GRUPO OFTALMOLOGICO S.A.</t>
  </si>
  <si>
    <t>JORGE BERTRAN GOMEZ</t>
  </si>
  <si>
    <t>CRA 19B Nº 84-48</t>
  </si>
  <si>
    <t>6358100</t>
  </si>
  <si>
    <t>110010845601</t>
  </si>
  <si>
    <t>HORUS PRINCIPAL</t>
  </si>
  <si>
    <t>110013816201</t>
  </si>
  <si>
    <t>HOSPICLAB</t>
  </si>
  <si>
    <t>RAUL DARIO RIVERA ROZO</t>
  </si>
  <si>
    <t>Cra 47a # 95 48</t>
  </si>
  <si>
    <t>3146096180</t>
  </si>
  <si>
    <t>coordinacionhospiclab@gmail.com</t>
  </si>
  <si>
    <t>110012999903</t>
  </si>
  <si>
    <t>HOSPITAL PARA TODOS - PROTEGER IPS BOGOTA</t>
  </si>
  <si>
    <t>CLAUDIA PATRICIA GALINDO RIOS</t>
  </si>
  <si>
    <t>CL 93 # 57 - 25 PISO 1</t>
  </si>
  <si>
    <t>73201812 310 8537501 321 2773106</t>
  </si>
  <si>
    <t>GERENCIABOGOTA@PROTEGERIPS.COM</t>
  </si>
  <si>
    <t>110011864202</t>
  </si>
  <si>
    <t>HOSPITAL UNIVERSITARIO BARRIOS UNIDOS-MEDERI</t>
  </si>
  <si>
    <t>NELSON SIERRA FORERO</t>
  </si>
  <si>
    <t>CL 66 A # 52 25</t>
  </si>
  <si>
    <t>4855970 ext 6214</t>
  </si>
  <si>
    <t>1100105668</t>
  </si>
  <si>
    <t>HOSPITAL UNIVERSITARIO CLINICA SAN RAFAEL</t>
  </si>
  <si>
    <t>OSES ORTEGA RAUL ARMANDO</t>
  </si>
  <si>
    <t>CRA 8 # 17 45 SUR</t>
  </si>
  <si>
    <t>7464714 ext 2740</t>
  </si>
  <si>
    <t>direcciongeneral1@stewardcolombia.org</t>
  </si>
  <si>
    <t>110011864201</t>
  </si>
  <si>
    <t>HOSPITAL UNIVERSITARIO MAYOR-MEDERI</t>
  </si>
  <si>
    <t>7055999 Ext 4140</t>
  </si>
  <si>
    <t>110012760501</t>
  </si>
  <si>
    <t>HOSPITAL UNIVERSITARIO NACIONAL DE COLOMBIA</t>
  </si>
  <si>
    <t>OSCAR ALONSO DUEÑAS ARAQUE</t>
  </si>
  <si>
    <t>CL 44 # 59 75</t>
  </si>
  <si>
    <t>Fijo 3904888 Extensión 12703</t>
  </si>
  <si>
    <t>corporacionsaludun@hun.edu.co</t>
  </si>
  <si>
    <t>1100109456</t>
  </si>
  <si>
    <t>HOSPITAL UNIVERSITARIO SAN IGNACIO</t>
  </si>
  <si>
    <t>JIMENEZ ALMANZA HERNAN AMADOR</t>
  </si>
  <si>
    <t>CRA 7 # 40 62</t>
  </si>
  <si>
    <t>110010945610</t>
  </si>
  <si>
    <t>HOSPITAL UNIVERSITARIO SAN IGNACIO LABORATORIO CLINICO DE ERRORES INNATOS DEL METABOLISMO</t>
  </si>
  <si>
    <t>KR 7 # 43 - 82 EDF 53 JESÚS EMILIO RAMIREZ LAB 303 A</t>
  </si>
  <si>
    <t>110012947001</t>
  </si>
  <si>
    <t>HSEQ UNIDAD MEDICA LABOR VITAL SAS</t>
  </si>
  <si>
    <t>NORMA CONSTANZA RAMIREZ PAEZ</t>
  </si>
  <si>
    <t>CR 103 A N° 17 A - 44</t>
  </si>
  <si>
    <t>2983537 - 3166180134</t>
  </si>
  <si>
    <t>normac.ramirezp@gmail.com</t>
  </si>
  <si>
    <t>110013738201</t>
  </si>
  <si>
    <t>HUMAN GROUP CORP IPS SAS</t>
  </si>
  <si>
    <t>FREDY ALEXANDER RODRIGUEZ MENDOZA</t>
  </si>
  <si>
    <t>Cl 102 A No. 45 A 03</t>
  </si>
  <si>
    <t>3186082963</t>
  </si>
  <si>
    <t>FALEXANDERRM@GMAIL.COM</t>
  </si>
  <si>
    <t>110013824801</t>
  </si>
  <si>
    <t>HUMAN TISSUE CARE S.A.S</t>
  </si>
  <si>
    <t>LUIS FREDY BALLEN DIAZ</t>
  </si>
  <si>
    <t>CALLE 79 89 A 40 LOCAL 201 CENTRO PRIMAVERA PLAZA COMERCIAL P.H</t>
  </si>
  <si>
    <t>3124419771</t>
  </si>
  <si>
    <t>ipshumantissue@outlook.com</t>
  </si>
  <si>
    <t>110013896701</t>
  </si>
  <si>
    <t>HYPNOS IPS - SAS</t>
  </si>
  <si>
    <t>Liliana Suárez Aguilar</t>
  </si>
  <si>
    <t>Calle 99 # 49 - 38 CENTUM Oficina 1410</t>
  </si>
  <si>
    <t>3219769146</t>
  </si>
  <si>
    <t>contacto@hypnosanestesia.com</t>
  </si>
  <si>
    <t>110012829102</t>
  </si>
  <si>
    <t>Healthy Clinicas de Adelgazamiento Santa</t>
  </si>
  <si>
    <t>Yubelly Villareal Garzon</t>
  </si>
  <si>
    <t>Av Cra 30 #2 B - 27 P 1 LC 101</t>
  </si>
  <si>
    <t>110013523701</t>
  </si>
  <si>
    <t>Helistar SAS IPS</t>
  </si>
  <si>
    <t>CARLO EMMANUEL CABRA MARTINEZ</t>
  </si>
  <si>
    <t>AER El Dorado En 1 In 8 OF M-103</t>
  </si>
  <si>
    <t>3143574028 / 3124506370</t>
  </si>
  <si>
    <t>directormedico@helistaraviacion.com</t>
  </si>
  <si>
    <t>110012136101</t>
  </si>
  <si>
    <t>Helpharma Bavaria</t>
  </si>
  <si>
    <t>LUIS FELIPE CARDONA PARRA</t>
  </si>
  <si>
    <t>Calle 31 No. 13A 51 Of 318</t>
  </si>
  <si>
    <t>6052555</t>
  </si>
  <si>
    <t>notificaciones@helpharma.com</t>
  </si>
  <si>
    <t>110012137701</t>
  </si>
  <si>
    <t>Hemato Oncologos Asociados S.A.</t>
  </si>
  <si>
    <t>Joaquin Hernando Guerra Villamizar</t>
  </si>
  <si>
    <t>AC 134 # 7 83 TO 2 PI 2 CS 224-225, PI 5 CS 251</t>
  </si>
  <si>
    <t>3330333423-3598086</t>
  </si>
  <si>
    <t>direcciondecalidad@hemato-oncologos.com</t>
  </si>
  <si>
    <t>110011607602</t>
  </si>
  <si>
    <t>Horizontes Country</t>
  </si>
  <si>
    <t>Nelson González Cepeda</t>
  </si>
  <si>
    <t>Calle 83 # 19 36 Consultorio 204</t>
  </si>
  <si>
    <t>3103105333</t>
  </si>
  <si>
    <t>110011731301</t>
  </si>
  <si>
    <t>I P S DENTI EXPRESS E U</t>
  </si>
  <si>
    <t>ANDREA DEL PILAR URUEAÑA PRADA</t>
  </si>
  <si>
    <t>Cra 63 No 57 B - 27 SUR</t>
  </si>
  <si>
    <t>7100164 - 3133533818</t>
  </si>
  <si>
    <t>andrea.uruena@yahoo.es</t>
  </si>
  <si>
    <t>110012532001</t>
  </si>
  <si>
    <t>I S H INTEGRAL SOLUTIONS IN HEALTH SAS</t>
  </si>
  <si>
    <t>OLGA LUCIA BARRAGAN PARDO</t>
  </si>
  <si>
    <t>Carrera 21 24 80 sur local 35 Centro Comercial Olaya Plaza</t>
  </si>
  <si>
    <t>6017629912</t>
  </si>
  <si>
    <t>ish.gerenciageneral@outlook.com</t>
  </si>
  <si>
    <t>1100119087</t>
  </si>
  <si>
    <t>I.P.S GOLEMAN SERVICIO INTEGRAL S.A.S.</t>
  </si>
  <si>
    <t>YENNY ZORAYA SALAZAR M.</t>
  </si>
  <si>
    <t>CAR 72 I Sur # 37C - 04 PISO 1, 2, 3 - Barrio:KENNEDY CARVAJAL</t>
  </si>
  <si>
    <t>601-7944011</t>
  </si>
  <si>
    <t>www.goleman.com.co</t>
  </si>
  <si>
    <t>110013854102</t>
  </si>
  <si>
    <t>I.P.S. LIFE PRO GALERIAS</t>
  </si>
  <si>
    <t>MIGUEL ANGEL ENRIQUEZ HERAZO</t>
  </si>
  <si>
    <t>CL 53 B # 25 21 LC 1116-1025-1026</t>
  </si>
  <si>
    <t>3102805363</t>
  </si>
  <si>
    <t>ipslifepro@gmail.com</t>
  </si>
  <si>
    <t>110010744004</t>
  </si>
  <si>
    <t>ICSN Montserrat Consulta Externa</t>
  </si>
  <si>
    <t>Omar Antonio Cuellar Alvarado</t>
  </si>
  <si>
    <t>CARRERA 19 # 135 - 25 PISO 2 Y 3</t>
  </si>
  <si>
    <t>2596000</t>
  </si>
  <si>
    <t>direccion@icsn.co</t>
  </si>
  <si>
    <t>110010744003</t>
  </si>
  <si>
    <t>ICSN Montserrat SERVICIOS AMBULATORIOS</t>
  </si>
  <si>
    <t>Transversal 60 # 115 - 27 35</t>
  </si>
  <si>
    <t>110012096501</t>
  </si>
  <si>
    <t>IDEARG S.A.S.</t>
  </si>
  <si>
    <t>RENATO GUZMAN</t>
  </si>
  <si>
    <t>AK 20 # 83 67</t>
  </si>
  <si>
    <t>3102210924-8059697</t>
  </si>
  <si>
    <t>idearg.sas@gmail.com</t>
  </si>
  <si>
    <t>110010240403</t>
  </si>
  <si>
    <t>IDIME LA CAROLINA</t>
  </si>
  <si>
    <t>LIDA YAMILE GONZALEZ BOLIVAR</t>
  </si>
  <si>
    <t>KR 14 # 127 11 CS 101</t>
  </si>
  <si>
    <t>3143615683 - 3229071832 - 310 552 46 69</t>
  </si>
  <si>
    <t>legal@idime.com.co, contabilidad@idime.com.co, notificaciones.calidad@idime.com.co</t>
  </si>
  <si>
    <t>110010240401</t>
  </si>
  <si>
    <t>IDIME S.A SEDE LAGO</t>
  </si>
  <si>
    <t>CALLE 76 # 13 46</t>
  </si>
  <si>
    <t>http://www.idime.com.co</t>
  </si>
  <si>
    <t>110010240402</t>
  </si>
  <si>
    <t>IDIME S.A SEDE NORTE</t>
  </si>
  <si>
    <t>AK 45 # 122 68</t>
  </si>
  <si>
    <t>110010240417</t>
  </si>
  <si>
    <t>IDIME SEDE LAGO CALLE 77</t>
  </si>
  <si>
    <t>CALLE 77 # 13 35</t>
  </si>
  <si>
    <t>3143615683 - 3229071832 - 310552 46 69</t>
  </si>
  <si>
    <t>110010426108</t>
  </si>
  <si>
    <t>IECO CLINICA ODONTOLOGICA LAS AMERICAS</t>
  </si>
  <si>
    <t>AV AMERICAS Nº 62 - 84 LC 2-65 PISO 1</t>
  </si>
  <si>
    <t>7455560</t>
  </si>
  <si>
    <t>110010426106</t>
  </si>
  <si>
    <t>IECO IMAGENES DIAGNOSTICAS CLINICA COLOMBIA</t>
  </si>
  <si>
    <t>CALLE 23 No. 66-46 IN 4 CS 510</t>
  </si>
  <si>
    <t>7569869 - 3114403600</t>
  </si>
  <si>
    <t>110013951901</t>
  </si>
  <si>
    <t>IKI SKIN EXPERTS COLOMBIA SAS</t>
  </si>
  <si>
    <t>Leonardo Jose Laviosa Noguera</t>
  </si>
  <si>
    <t>Cl 120 A No. 7 - 36 Oficina 803</t>
  </si>
  <si>
    <t>3226066338</t>
  </si>
  <si>
    <t>lurbani@ikiskinexperts.com</t>
  </si>
  <si>
    <t>1100117475</t>
  </si>
  <si>
    <t>IMAGEN Y RADIOLOGIA ORAL SAS SIGLA IRO SAS</t>
  </si>
  <si>
    <t>MONICA GRANADOS MORA</t>
  </si>
  <si>
    <t>CL 4 # 56- 04 PI 2</t>
  </si>
  <si>
    <t>3049620-3107773218</t>
  </si>
  <si>
    <t>irodigital@gmail.com</t>
  </si>
  <si>
    <t>www.iroradiologiaoral.com</t>
  </si>
  <si>
    <t>110010449002</t>
  </si>
  <si>
    <t>IMAGENES DIAGNOSTICAS DEL COUNTRY</t>
  </si>
  <si>
    <t>KR 16 A No. 82-37 PISO 1 Y 3</t>
  </si>
  <si>
    <t>resomagsa@rmcs.com.co</t>
  </si>
  <si>
    <t>110011777801</t>
  </si>
  <si>
    <t>IMAGENES DIAGNOSTICAS TEUSA</t>
  </si>
  <si>
    <t>KARIN PATRICIA RONDON PAYARES</t>
  </si>
  <si>
    <t>KR 18 # 80 - 32 CS 305</t>
  </si>
  <si>
    <t>2454340</t>
  </si>
  <si>
    <t>contacto@ecografiasteusa.com</t>
  </si>
  <si>
    <t>1100117778</t>
  </si>
  <si>
    <t>IMAGENES DIAGNOSTICAS TEUSA SAS</t>
  </si>
  <si>
    <t>CARLOS HERNAN OCHOA MARQUEZ</t>
  </si>
  <si>
    <t>110013850101</t>
  </si>
  <si>
    <t>IME1DOC3 IPS SAS</t>
  </si>
  <si>
    <t>JAVIER ANDRES CARDONA MORA</t>
  </si>
  <si>
    <t>CARRERA 12 # 98 - 64, CONSULTORIO 408 TORRE 1</t>
  </si>
  <si>
    <t>3153113581</t>
  </si>
  <si>
    <t>jcardona@1doc3.com</t>
  </si>
  <si>
    <t>110013896801</t>
  </si>
  <si>
    <t>IMEDHEALTH S.A.S. IPS. SIGLA IMEDH S.A.S.</t>
  </si>
  <si>
    <t>JULIETH RUIZ ORTEGA</t>
  </si>
  <si>
    <t>Calle 93 B # 18 12 Oficina 303</t>
  </si>
  <si>
    <t>3016771276</t>
  </si>
  <si>
    <t>info@imedh.com.co</t>
  </si>
  <si>
    <t>110011776101</t>
  </si>
  <si>
    <t>IMEDICAS DIAGNOSTICAS E.U</t>
  </si>
  <si>
    <t>PEDRO ELIECER VASQUEZ BELTRAN</t>
  </si>
  <si>
    <t>CARRERA 21 No 22-76 SUR</t>
  </si>
  <si>
    <t>2728420-3112624474</t>
  </si>
  <si>
    <t>imedicas88@hotmail.com</t>
  </si>
  <si>
    <t>1100117761</t>
  </si>
  <si>
    <t>IMEDICAS DIAGNOSTICAS E.U.</t>
  </si>
  <si>
    <t>1100102317</t>
  </si>
  <si>
    <t>IMEVI SAS</t>
  </si>
  <si>
    <t>GOMEZ QUIN TITO EDUARDO</t>
  </si>
  <si>
    <t>CALLE 75A # 20C-19 PISO 1 - Barrio:SAN FELIPE</t>
  </si>
  <si>
    <t>7462749 - 3155776677</t>
  </si>
  <si>
    <t>110014146401</t>
  </si>
  <si>
    <t>IMMAGIN SAS</t>
  </si>
  <si>
    <t>EDICSON RIVERA DELGADO</t>
  </si>
  <si>
    <t>CR 102 B # 150 - 19 LC 5</t>
  </si>
  <si>
    <t>3006233875</t>
  </si>
  <si>
    <t>immaginodontologia@gmail.com</t>
  </si>
  <si>
    <t>110014074201</t>
  </si>
  <si>
    <t>IMMIMED S.A.S Sigla: IMMIMED IPS</t>
  </si>
  <si>
    <t>PAUL VAILLANCOURT URREA</t>
  </si>
  <si>
    <t>Cra 11 94A - 25 Cons 401-1</t>
  </si>
  <si>
    <t>3112716223</t>
  </si>
  <si>
    <t>papuchopaul@me.co</t>
  </si>
  <si>
    <t>110014261001</t>
  </si>
  <si>
    <t>IMNOVA DENT S.A.S.</t>
  </si>
  <si>
    <t>PAOLA ANDREA MONGUI ALBARRACIN</t>
  </si>
  <si>
    <t>AVENICA CARRERA 9 #127 C-60. OFICINA 409</t>
  </si>
  <si>
    <t>3125845066</t>
  </si>
  <si>
    <t>pamongui78@gmail.com</t>
  </si>
  <si>
    <t>110013839101</t>
  </si>
  <si>
    <t>IMPORGAFAS ARGI 1</t>
  </si>
  <si>
    <t>HERMES EDILSON GIRALDO GIRALDO</t>
  </si>
  <si>
    <t>CARRERA 9#11-16 EDIFICIO 11-24 OFICINA 303</t>
  </si>
  <si>
    <t>3106409121</t>
  </si>
  <si>
    <t>girbroargi1124@gmail.com</t>
  </si>
  <si>
    <t>110012449301</t>
  </si>
  <si>
    <t>INFECTOLOGOS CLINICOS DE COLOMBIA SAS INFECTOCLINICOS</t>
  </si>
  <si>
    <t>OTTO ALBERTO SUSSMANN PEÑA</t>
  </si>
  <si>
    <t>Cll 42 # 13 - 28 Of 101</t>
  </si>
  <si>
    <t>6313942 6313943</t>
  </si>
  <si>
    <t>osussmann@gmail.com</t>
  </si>
  <si>
    <t>110012449302</t>
  </si>
  <si>
    <t>INFECTOLOGOS CLINICOS DE COLOMBIA SAS SEDE SOMEC</t>
  </si>
  <si>
    <t>Otto Alberto Sussmann Peña</t>
  </si>
  <si>
    <t>Calle 50 8 27 CS 207 - 210</t>
  </si>
  <si>
    <t>6313942</t>
  </si>
  <si>
    <t>1100119549</t>
  </si>
  <si>
    <t>INMUGEN CORPORATION S.A.S.</t>
  </si>
  <si>
    <t>JHANN ANDRES ARTURO</t>
  </si>
  <si>
    <t>CR 45 A 103 B-52 PISO 1</t>
  </si>
  <si>
    <t>7049861/ 7049872</t>
  </si>
  <si>
    <t>inmugen@gmail.com</t>
  </si>
  <si>
    <t>www.inmugencorp.com</t>
  </si>
  <si>
    <t>110010526203</t>
  </si>
  <si>
    <t>INMUNOLOGIA Y DIAGNOSTICO ESPECIALIZADO</t>
  </si>
  <si>
    <t>NELLY LUPE MARTINEZ ORTIZ</t>
  </si>
  <si>
    <t>KR 7 No 119-14 CS 323</t>
  </si>
  <si>
    <t>3174022912 - 3183403377- 2149403</t>
  </si>
  <si>
    <t>info@vacunacionide.com</t>
  </si>
  <si>
    <t>1100105262</t>
  </si>
  <si>
    <t>INMUNOLOGIA Y DIAGNOSTICO ESPECIALIZADO IDE SAS</t>
  </si>
  <si>
    <t>MARTINEZ ORTIZ NELLY LUPE</t>
  </si>
  <si>
    <t>CRA 9 # 48 40 CONS 402</t>
  </si>
  <si>
    <t>3102106024 - 7453330</t>
  </si>
  <si>
    <t>gerencia@vacunacionide.com</t>
  </si>
  <si>
    <t>www.vacunacionide.com</t>
  </si>
  <si>
    <t>110013826601</t>
  </si>
  <si>
    <t>INMUNOPRINT SAS</t>
  </si>
  <si>
    <t>ANDRES FELIPE CASTRO ARBELAEZ</t>
  </si>
  <si>
    <t>Cra 16 82 - 95 CONSULTORIO 302 CONSULTORIO 303 CONSULTORIO 304 Y CONSULTORIO 706 UNIDAD MEDICA DEL COUNTRY</t>
  </si>
  <si>
    <t>7630221</t>
  </si>
  <si>
    <t>inmunoprint@gmail.com</t>
  </si>
  <si>
    <t>1100114343</t>
  </si>
  <si>
    <t>INMUNOTECH LABORATORIES S.A.S.</t>
  </si>
  <si>
    <t>Mauricio Eduardo Díaz Mondragón</t>
  </si>
  <si>
    <t>CRA 9 No 48-40 PISO 5</t>
  </si>
  <si>
    <t>3143997827</t>
  </si>
  <si>
    <t>gerencia@inmunotechlab.com</t>
  </si>
  <si>
    <t>110013258101</t>
  </si>
  <si>
    <t>INNOVA HEALTH CENTER SAS</t>
  </si>
  <si>
    <t>DANNEY LISHLANNY PAMPLONA CARDENAS</t>
  </si>
  <si>
    <t>KR 14 # 57 - 48 SUR Local 1</t>
  </si>
  <si>
    <t>2777142 - 3212409060</t>
  </si>
  <si>
    <t>innovahealthcentersas@gmail.com</t>
  </si>
  <si>
    <t>110012436601</t>
  </si>
  <si>
    <t>INNOVA LASER CENTER S.A.S</t>
  </si>
  <si>
    <t>ALEJANDRA BUILES JIMENEZ</t>
  </si>
  <si>
    <t>CALLE 103 N. 14A-53 CONS 504</t>
  </si>
  <si>
    <t>6210236</t>
  </si>
  <si>
    <t>INNOVALASERCENTER@HOTMAIL.COM</t>
  </si>
  <si>
    <t>110013265101</t>
  </si>
  <si>
    <t>INNOVA RETAIL S.A.S</t>
  </si>
  <si>
    <t>SOPHIE AZOUT KASSIN</t>
  </si>
  <si>
    <t>Calle 127 A # 7 - 19 CS 503</t>
  </si>
  <si>
    <t>3143592257</t>
  </si>
  <si>
    <t>sophie.azout@gmail.com</t>
  </si>
  <si>
    <t>110013857201</t>
  </si>
  <si>
    <t>INNOVART MEDICAL 1 IPS SAS</t>
  </si>
  <si>
    <t>GLORIS JUDITH MORALES FUENTES</t>
  </si>
  <si>
    <t>AC 116 # 9 - 72 ED GLOBAL MEDICAL CENTER CS 405/502</t>
  </si>
  <si>
    <t>3106272064</t>
  </si>
  <si>
    <t>calidadinnovartmedicalsas@gmail.com</t>
  </si>
  <si>
    <t>110013857202</t>
  </si>
  <si>
    <t>INNOVART MEDICAL CALLE 119</t>
  </si>
  <si>
    <t>Av Cra 9 No. 119 - 10</t>
  </si>
  <si>
    <t>1100101847</t>
  </si>
  <si>
    <t>INSTITUTO AMERICANO DE OFTALMOLOGIA S.A.S</t>
  </si>
  <si>
    <t>ASTUDILLO MUÑOZ ITALO</t>
  </si>
  <si>
    <t>KR 15 # 88-20 PISO 2</t>
  </si>
  <si>
    <t>2573064 - 2566081</t>
  </si>
  <si>
    <t>calidad.iao@gmail.com</t>
  </si>
  <si>
    <t>1100107524</t>
  </si>
  <si>
    <t>INSTITUTO COLOMBIANO DE ENFERMEDADES VASCULARES ICEV LTDA</t>
  </si>
  <si>
    <t>MURCIA GOMEZ JORGE ALVARO</t>
  </si>
  <si>
    <t>AK 45 # 106 30 CONS 203</t>
  </si>
  <si>
    <t>5239373</t>
  </si>
  <si>
    <t>CLINICANAVARRA@EMPRESARIO</t>
  </si>
  <si>
    <t>1100117172</t>
  </si>
  <si>
    <t>INSTITUTO COLOMBIANO DE GENETICA Y ONCOLOGIA MOLECULAR SAS / INCOGEM</t>
  </si>
  <si>
    <t>GONZALO GUEVARA PARDO</t>
  </si>
  <si>
    <t>Avenida Carrera 70 # 108-49 Morato</t>
  </si>
  <si>
    <t>3106181361- 3176388239</t>
  </si>
  <si>
    <t>incogem@yahoo.com</t>
  </si>
  <si>
    <t>110011717201</t>
  </si>
  <si>
    <t>INSTITUTO COLOMBIANO DE GENETICA Y ONCOLOGIA MOLECULAR SAS/INCOGEM</t>
  </si>
  <si>
    <t>110012004401</t>
  </si>
  <si>
    <t>INSTITUTO COLOMBIANO DE GERONTOLOGIA Y GERIATRIA SAS SIGLA INCOLGER IPS SAS</t>
  </si>
  <si>
    <t>KR 73 BIS Nº 55-74</t>
  </si>
  <si>
    <t>4296022</t>
  </si>
  <si>
    <t>incolger@gmail.com</t>
  </si>
  <si>
    <t>110010744001</t>
  </si>
  <si>
    <t>INSTITUTO COLOMBIANO DEL SISTEMA NERVIOSO - CLINICA MONTSERRAT</t>
  </si>
  <si>
    <t>CL 134 # 17 71</t>
  </si>
  <si>
    <t>1100107440</t>
  </si>
  <si>
    <t>INSTITUTO COLOMBIANO DEL SISTEMA NERVIOSO - CLINICA MONTSERRAT -</t>
  </si>
  <si>
    <t>GOMEZ FUENTES CARLOS ANTONIO</t>
  </si>
  <si>
    <t>CALLE 134 No. 17-71</t>
  </si>
  <si>
    <t>2596001</t>
  </si>
  <si>
    <t>110013657101</t>
  </si>
  <si>
    <t>INSTITUTO DE CIRGUGIA PLASTICA FACIAL, CORPORAL Y OTORRINOLARINGOLOGIA IPS SAS SIGLA ICONO IPS SAS</t>
  </si>
  <si>
    <t>JAIME ALEXANDER SANCHEZ SANCHEZ</t>
  </si>
  <si>
    <t>AK 30 No. 42-06 PISO 1</t>
  </si>
  <si>
    <t>3124542992</t>
  </si>
  <si>
    <t>iconoips@gmail.com</t>
  </si>
  <si>
    <t>1100107564</t>
  </si>
  <si>
    <t>INSTITUTO DE CIRUGIA OCULAR PALERMO LTDA</t>
  </si>
  <si>
    <t>GAMARRA MURILLO PEDRO NEL</t>
  </si>
  <si>
    <t>CALLE 46 # 13 13</t>
  </si>
  <si>
    <t>2456623-3404577-3215072806</t>
  </si>
  <si>
    <t>icop.palermo@gmail.com</t>
  </si>
  <si>
    <t>110010301601</t>
  </si>
  <si>
    <t>INSTITUTO DE CORNEA</t>
  </si>
  <si>
    <t>ALBERTO CHACON APONTE</t>
  </si>
  <si>
    <t>KR 7A # 121 - 36 PRIMER PISO</t>
  </si>
  <si>
    <t>6128426</t>
  </si>
  <si>
    <t>calidad@incornea.com.co</t>
  </si>
  <si>
    <t>1100103016</t>
  </si>
  <si>
    <t>INSTITUTO DE CORNEA S A S</t>
  </si>
  <si>
    <t>CHACON APONTE ALBERTO</t>
  </si>
  <si>
    <t>KR 7 A # 121 36 PRIMER PISO</t>
  </si>
  <si>
    <t>ALCHACON@INCORNEA.COM.CO</t>
  </si>
  <si>
    <t>1100102404</t>
  </si>
  <si>
    <t>INSTITUTO DE DIAGNOSTICO MEDICO S.A.</t>
  </si>
  <si>
    <t>PATRICIA HERNANDEZ</t>
  </si>
  <si>
    <t>CL 76 # 13 - 46</t>
  </si>
  <si>
    <t>3143615683 - 3117346055 - 310552 46 69</t>
  </si>
  <si>
    <t>WWW.IDIME.COM.CO</t>
  </si>
  <si>
    <t>110010240434</t>
  </si>
  <si>
    <t>INSTITUTO DE DIAGNOSTICO MEDICO S.A. SEDE CLINICA NUEVA EL LAGO</t>
  </si>
  <si>
    <t>Calle 76 No. 15-55 Sótano 1 ( S1-3 S1-4 S1-5) Sótano 2 y Piso 1 (P1-15)</t>
  </si>
  <si>
    <t>110010240416</t>
  </si>
  <si>
    <t>INSTITUTO DE DIAGNOSTICO MEDICO SA SEDE OCCIDENTE</t>
  </si>
  <si>
    <t>AV AMERICAS # 69 C 84 94</t>
  </si>
  <si>
    <t>110010240428</t>
  </si>
  <si>
    <t>INSTITUTO DE DIAGNOSTICO MEDICO SA TOBERIN</t>
  </si>
  <si>
    <t>CR 19 B NO. 168 - 53</t>
  </si>
  <si>
    <t>110010240406</t>
  </si>
  <si>
    <t>INSTITUTO DE DIAGNÓSTICO MEDICO S.A SEDE SUR</t>
  </si>
  <si>
    <t>CARRERA 21 # 22-66/68 SUR TORRE 1 - PISO 1</t>
  </si>
  <si>
    <t>110010426101</t>
  </si>
  <si>
    <t>INSTITUTO DE ESTUDIOS CIENTIFICOS EN ODONTOLOGIA S A SIGLA: IECO</t>
  </si>
  <si>
    <t>CL 150 NO. 16- 56 CONS 3-006,3-010 Y 1-139</t>
  </si>
  <si>
    <t>1100104261</t>
  </si>
  <si>
    <t>INSTITUTO DE ESTUDIOS CIENTIFICOS EN ODONTOLOGIA S.A SIGLA IECO</t>
  </si>
  <si>
    <t>RUBIO GARCIA GUILLERMO</t>
  </si>
  <si>
    <t>Carrera 19-80-74 - Barrio:COUNTRY</t>
  </si>
  <si>
    <t>110012215301</t>
  </si>
  <si>
    <t>INSTITUTO DE FERTILIDAD HUMANA SAS</t>
  </si>
  <si>
    <t>LILIANA SANCHEZ KERGUELEN</t>
  </si>
  <si>
    <t>Calle 117 6 A 60 Edificio Flor Morado Empresarial Piso 2</t>
  </si>
  <si>
    <t>(601) 7469869 op 7</t>
  </si>
  <si>
    <t>calidad@inser.com.co</t>
  </si>
  <si>
    <t>1100117852</t>
  </si>
  <si>
    <t>INSTITUTO DE FORMACIÓN E INVESTIGACIÓN TÉCNICA S.A INFORTEC</t>
  </si>
  <si>
    <t>Jairo Ivan Ramirez Garcia</t>
  </si>
  <si>
    <t>KR 22 BIS # 74 A 19</t>
  </si>
  <si>
    <t>2556167</t>
  </si>
  <si>
    <t>admisiones@infortec.com.co</t>
  </si>
  <si>
    <t>www.infortec.com.co</t>
  </si>
  <si>
    <t>110012207201</t>
  </si>
  <si>
    <t>INSTITUTO DE NEUROCIENCIAS APLICADAS INEA IPS</t>
  </si>
  <si>
    <t>JOHHAN RICARDO CLEVES VELEZ</t>
  </si>
  <si>
    <t>Calle 108 No. 14 -22</t>
  </si>
  <si>
    <t>6007852 6007780- 311 5922332- 310 5569461</t>
  </si>
  <si>
    <t>dir.ejecutiva@inea.com.co</t>
  </si>
  <si>
    <t>110010825801</t>
  </si>
  <si>
    <t>INSTITUTO DE ORTOPEDIA INFANTIL ROOSEVELT</t>
  </si>
  <si>
    <t>JOSE IGNACIO ZAPATA SÁNCHEZ</t>
  </si>
  <si>
    <t>CRA 4 ESTE # 17 50 AV CIRCUNVALAR</t>
  </si>
  <si>
    <t>3534000 Ext. 382 -378</t>
  </si>
  <si>
    <t>jzapata@ioir.org.co</t>
  </si>
  <si>
    <t>1100107950</t>
  </si>
  <si>
    <t>INSTITUTO DE ORTOPEDIA Y CIRUGIA PLASTICA SAS</t>
  </si>
  <si>
    <t>MURCIA MENDEZ GERMAN ALBERTO</t>
  </si>
  <si>
    <t>AK 19 # 114 87 piso 1 y 2 local 4</t>
  </si>
  <si>
    <t>6190311</t>
  </si>
  <si>
    <t>PACIENTESIOCP@HOTMAIL.COM</t>
  </si>
  <si>
    <t>110012689101</t>
  </si>
  <si>
    <t>INSTITUTO DE OSTEOPOROSIS SAS</t>
  </si>
  <si>
    <t>ELIAS CARDONA ABADIA</t>
  </si>
  <si>
    <t>Av. Boyaca No. 54 A - 15</t>
  </si>
  <si>
    <t>4162481-8052353</t>
  </si>
  <si>
    <t>agendainor@hotmail.com</t>
  </si>
  <si>
    <t>110011923913</t>
  </si>
  <si>
    <t>INSTITUTO DE RECONOCIMIENTO DE PERSONAS IRP GALERIAS</t>
  </si>
  <si>
    <t>ROSA MARIA SALAZAR ARANDIA</t>
  </si>
  <si>
    <t>CL 52 NO. 25 44</t>
  </si>
  <si>
    <t>8051336</t>
  </si>
  <si>
    <t>centrosirp@gmail.com</t>
  </si>
  <si>
    <t>110011923914</t>
  </si>
  <si>
    <t>INSTITUTO DE RECONOCIMIENTO DE PERSONAS IRP RESTREPO</t>
  </si>
  <si>
    <t>CR 17 NO. 19 A 40 SUR</t>
  </si>
  <si>
    <t>110011923910</t>
  </si>
  <si>
    <t>INSTITUTO DE RECONOCIMIENTO DE PERSONAS IRP SEVILLANA 1</t>
  </si>
  <si>
    <t>CARRERA 57 N° 45 A 08 SUR local 12 y Oficina 201</t>
  </si>
  <si>
    <t>110013858101</t>
  </si>
  <si>
    <t>INSTITUTO DEL CEREBRO COLOMBIA SAS</t>
  </si>
  <si>
    <t>Diana Maria Porras Gutierrez</t>
  </si>
  <si>
    <t>Calle 144 # 21 04 Piso 1 CONSULTORIO 102, Piso 2, 3, 4 Y 5</t>
  </si>
  <si>
    <t>3173834650</t>
  </si>
  <si>
    <t>sasintegraciondiagnostica@gmail.com</t>
  </si>
  <si>
    <t>110011962901</t>
  </si>
  <si>
    <t>INSTITUTO DEL CORAZON DE BOGOTA</t>
  </si>
  <si>
    <t>RAFAEL ALONSO GONZALEZ OTERO</t>
  </si>
  <si>
    <t>AV CARACAS # 34 47</t>
  </si>
  <si>
    <t>3184327214-3177189863</t>
  </si>
  <si>
    <t>calidad@institutodelcorazon.com</t>
  </si>
  <si>
    <t>1100119629</t>
  </si>
  <si>
    <t>INSTITUTO DEL CORAZON DE BUCARAMANGA S.A.</t>
  </si>
  <si>
    <t>CUSTODIO ELIAS RUIZ BALLESTEROS</t>
  </si>
  <si>
    <t>3177189863-3184327214</t>
  </si>
  <si>
    <t>www.institutodelcorazon.com</t>
  </si>
  <si>
    <t>1100110113</t>
  </si>
  <si>
    <t>INSTITUTO LUIS G. PAEZ</t>
  </si>
  <si>
    <t>HERNANDEZ GOMEZ HECTOR ALFONSO</t>
  </si>
  <si>
    <t>CRA 5 # 65 50</t>
  </si>
  <si>
    <t>6013003278 ext 107-113 Cel. 3227668119</t>
  </si>
  <si>
    <t>gerencia@ipsluisgpaez.com</t>
  </si>
  <si>
    <t>110010975701</t>
  </si>
  <si>
    <t>INSTITUTO MEDICO DE ESPECIALISTAS CLINICA DE ESPECIALISTAS CENTROODONTOLOGICO</t>
  </si>
  <si>
    <t>JORGE BOTERO GARCIA</t>
  </si>
  <si>
    <t>calidad@mascercadeusted.com-clinicadeespecialistas2005@yahoo.es</t>
  </si>
  <si>
    <t>110010577501</t>
  </si>
  <si>
    <t>INSTITUTO MEDICO DE TERAPIA CELULAR SUIZA VIDA PLENA</t>
  </si>
  <si>
    <t>NELLY MARÍA VIVES CAMARGO</t>
  </si>
  <si>
    <t>AK 19 # 108-35 Local 1</t>
  </si>
  <si>
    <t>6160333</t>
  </si>
  <si>
    <t>andrea@inverlayne.com</t>
  </si>
  <si>
    <t>1100118971</t>
  </si>
  <si>
    <t>INSTITUTO MEDICO LA 34 E.U</t>
  </si>
  <si>
    <t>RAIMUNDO DE JESUS FRANCO GUERRERO</t>
  </si>
  <si>
    <t>AV CARACAS No. 34 36 PISO 2</t>
  </si>
  <si>
    <t>2457209</t>
  </si>
  <si>
    <t>INSTMEDICO@HOTMAIL.COM</t>
  </si>
  <si>
    <t>110012817301</t>
  </si>
  <si>
    <t>INSTITUTO NACIONAL DE INVESTIGACION Y MEDICINA ESPECIALIZADA SAS(INVAMES SAS)</t>
  </si>
  <si>
    <t>MAURICIO ROMERO CASTRO</t>
  </si>
  <si>
    <t>CARRERA 14 No.98-95 CONSULTORIO 306</t>
  </si>
  <si>
    <t>6107626 3153429800</t>
  </si>
  <si>
    <t>invames@hotmail.com</t>
  </si>
  <si>
    <t>110012435201</t>
  </si>
  <si>
    <t>INSTITUTO NACIONAL DE OFTALMOLOGIA S.A.</t>
  </si>
  <si>
    <t>MARTHA LUZ DUARTE DÍAZ</t>
  </si>
  <si>
    <t>CALLE 127A N° 7-53 CS 5001 5002 5003 5004 5005 5006</t>
  </si>
  <si>
    <t>6017441989 - 3118767155</t>
  </si>
  <si>
    <t>gerencia@inocolombia.com</t>
  </si>
  <si>
    <t>110010199502</t>
  </si>
  <si>
    <t>INSTITUTO NACIONAL DE OTOLOGIA GARCIA GOMEZ - SANTA ANA MEDICAL CENTER</t>
  </si>
  <si>
    <t>JUAN MANUEL GARCIA GOMEZ</t>
  </si>
  <si>
    <t>CL 119 NO 7 - 14 CS 320 - CS 317 - CS 717</t>
  </si>
  <si>
    <t>601 3161689</t>
  </si>
  <si>
    <t>calidad@juanmanuelgarcia.co</t>
  </si>
  <si>
    <t>1100101824</t>
  </si>
  <si>
    <t>INSTITUTO OFTALMOLOGICO SALAMANCA S.A IOSAL</t>
  </si>
  <si>
    <t>SALAMANCA LOPEZ MANUEL ANTONIO</t>
  </si>
  <si>
    <t>CRA 18 # 79 32 PISO 1-2</t>
  </si>
  <si>
    <t>6102088</t>
  </si>
  <si>
    <t>IOSAL@HOTMAIL.COM</t>
  </si>
  <si>
    <t>1100108258</t>
  </si>
  <si>
    <t>INSTITUTO ROOSEVELT</t>
  </si>
  <si>
    <t>ZAPATA SANCHEZ JOSE IGNACIO</t>
  </si>
  <si>
    <t>3534000 Ext. 382 - 3134722258</t>
  </si>
  <si>
    <t>vagomez@ioir.org.co</t>
  </si>
  <si>
    <t>110014122501</t>
  </si>
  <si>
    <t>INSTITUTOS MEDICOS DE PRESTACIÓN INTEGRADA SAS - SIGLA IMPIS</t>
  </si>
  <si>
    <t>EDNA LILIANA VACA CARVAJAL</t>
  </si>
  <si>
    <t>Calle 144# 21- 04 Piso 1</t>
  </si>
  <si>
    <t>3022942325</t>
  </si>
  <si>
    <t>institutosmedicosdeprestacioni@gmail.com</t>
  </si>
  <si>
    <t>1100102540</t>
  </si>
  <si>
    <t>INTEGRA MEDICA COLOMBIA S.A.</t>
  </si>
  <si>
    <t>DAZA CARREÑO JAIME ORLANDO</t>
  </si>
  <si>
    <t>Cr 14 N. 127-11 Consultorio 303 Mezanine Piso 1</t>
  </si>
  <si>
    <t>3108087950 - 3138867226 - 3204970790</t>
  </si>
  <si>
    <t>gerencia@integramedicacolombia.com</t>
  </si>
  <si>
    <t>https://integramedicacolombia.com</t>
  </si>
  <si>
    <t>110014061703</t>
  </si>
  <si>
    <t>INTEGRA SALUD ORAL KENNEDY</t>
  </si>
  <si>
    <t>MARIELA NIETO</t>
  </si>
  <si>
    <t>CALLE 35 C SUR 78 19</t>
  </si>
  <si>
    <t>3138174029</t>
  </si>
  <si>
    <t>contacto@integrasaludoral.com</t>
  </si>
  <si>
    <t>110014061704</t>
  </si>
  <si>
    <t>INTEGRA SALUD ORAL SUBA</t>
  </si>
  <si>
    <t>Cr 92 #146B-07 Segundo Piso</t>
  </si>
  <si>
    <t>3166505088</t>
  </si>
  <si>
    <t>110014061701</t>
  </si>
  <si>
    <t>INTEGRA SALUD ORAL UNICENTRO</t>
  </si>
  <si>
    <t>MARIELA NIETO MONCADA</t>
  </si>
  <si>
    <t>AVENIDA CALLE 127 N 13 96 OFICINA 701 EDIFICIO PIRAMIDE SIETE II</t>
  </si>
  <si>
    <t>3163436672</t>
  </si>
  <si>
    <t>CONTACTO@INTEGRASALUDORAL.COM</t>
  </si>
  <si>
    <t>110012421001</t>
  </si>
  <si>
    <t>INTEGRAL HEALTH COLOMBIA SAS</t>
  </si>
  <si>
    <t>LEONOR YANETH ZAMORA ACEVEDO</t>
  </si>
  <si>
    <t>Calle 57 # 20-48 barrio san luis Galerias</t>
  </si>
  <si>
    <t>8050923</t>
  </si>
  <si>
    <t>integralhealthsas@gmail.com</t>
  </si>
  <si>
    <t>1100120230</t>
  </si>
  <si>
    <t>INTEGRAL ODONTOLOGIA AVANZADA LTDA</t>
  </si>
  <si>
    <t>GARCIA QUINTERO HORTENCIA LUCIA</t>
  </si>
  <si>
    <t>KR 17#106 16</t>
  </si>
  <si>
    <t>3188269504-3164823788</t>
  </si>
  <si>
    <t>recepfacturasodontoavanzada@gmail.com</t>
  </si>
  <si>
    <t>www.odontoavanzada.com</t>
  </si>
  <si>
    <t>110012402201</t>
  </si>
  <si>
    <t>INTEGRAL SOLUTIONS SD SAS</t>
  </si>
  <si>
    <t>GINA ALEJANDRA DIAZ MOSQUERA</t>
  </si>
  <si>
    <t>CALLE 127A N° 7-19 EDIFICIO ACCESS CONSULTORIO 409</t>
  </si>
  <si>
    <t>3162343921-3173662935-35913853</t>
  </si>
  <si>
    <t>gdiaz@integralsolutionssd.com</t>
  </si>
  <si>
    <t>110013201801</t>
  </si>
  <si>
    <t>INTEGRANDO SONRISAS ODONTOLOGIA ESPECIALIZADA</t>
  </si>
  <si>
    <t>SANDRA MILENA FUENTES NIETO</t>
  </si>
  <si>
    <t>CALLE 19 No 2A - 10 LOCAL 112</t>
  </si>
  <si>
    <t>4329093 - 3183788598</t>
  </si>
  <si>
    <t>godontoespecialistasbacata@gmail.com</t>
  </si>
  <si>
    <t>110012673901</t>
  </si>
  <si>
    <t>INTEGRATIVE IPS SAS</t>
  </si>
  <si>
    <t>MARIA CATALINA QUINTERO</t>
  </si>
  <si>
    <t>CALLE 127 Bis 19-25 Of 310</t>
  </si>
  <si>
    <t>6271380/3164365552</t>
  </si>
  <si>
    <t>gerencia@integrative.com.co</t>
  </si>
  <si>
    <t>110010945612</t>
  </si>
  <si>
    <t>INTELLECTUS CENTRO DE MEMORIA Y COGNICIÓN</t>
  </si>
  <si>
    <t>Kr 16 # 98 - 62</t>
  </si>
  <si>
    <t>110013732101</t>
  </si>
  <si>
    <t>INTELMED SAS</t>
  </si>
  <si>
    <t>JOSE MARÍA RODRIGUEZ ROA</t>
  </si>
  <si>
    <t>AK 19 NO 95 31 OFICINA 901A</t>
  </si>
  <si>
    <t>3108176607</t>
  </si>
  <si>
    <t>intelmedips@gmail.com</t>
  </si>
  <si>
    <t>110013849201</t>
  </si>
  <si>
    <t>INTERCARDIO</t>
  </si>
  <si>
    <t>Jeidi Cardenas Duarte</t>
  </si>
  <si>
    <t>Av Cra 19 # 95 -31 Cs 303</t>
  </si>
  <si>
    <t>3105653478</t>
  </si>
  <si>
    <t>intercardiosas@gmail.com</t>
  </si>
  <si>
    <t>110013849202</t>
  </si>
  <si>
    <t>INTERCARDIO 102</t>
  </si>
  <si>
    <t>JEIDI CARDENAS DUARTE</t>
  </si>
  <si>
    <t>AK 15 # 102-45 CS 201-202</t>
  </si>
  <si>
    <t>3132617638</t>
  </si>
  <si>
    <t>110013954901</t>
  </si>
  <si>
    <t>INTERNATIONAL TOP CARE SAS</t>
  </si>
  <si>
    <t>MARIO EDUARDO MENDOZA OBIRNE</t>
  </si>
  <si>
    <t>CL 124 7 38 local 10</t>
  </si>
  <si>
    <t>3154204701</t>
  </si>
  <si>
    <t>internationaltopcare@gmail.com</t>
  </si>
  <si>
    <t>110012228701</t>
  </si>
  <si>
    <t>INTERVENIR SALUD IPS SAS</t>
  </si>
  <si>
    <t>Luis Armando Prieto Quecan</t>
  </si>
  <si>
    <t>KR 49 # 95 - 34</t>
  </si>
  <si>
    <t>2567574-2360408</t>
  </si>
  <si>
    <t>director@interveirsalud.com</t>
  </si>
  <si>
    <t>1100117694</t>
  </si>
  <si>
    <t>INVERSIONES B CEBALLOS A E U</t>
  </si>
  <si>
    <t>BERNARDO CEBALLOS ANDRADE</t>
  </si>
  <si>
    <t>110013842801</t>
  </si>
  <si>
    <t>INVERSIONES CARIS SAS</t>
  </si>
  <si>
    <t>ANA LUCIA ARANGO YEPES</t>
  </si>
  <si>
    <t>av 19 # 120 - 33/71 OFICINA 508: CONSULTORIOS 508-1, 508-2, 508-3 / SALA DE JUNTAS</t>
  </si>
  <si>
    <t>4824274</t>
  </si>
  <si>
    <t>rsalcedo@caris.com.co</t>
  </si>
  <si>
    <t>1100100130</t>
  </si>
  <si>
    <t>INVERSIONES DAMA SALUD SAS</t>
  </si>
  <si>
    <t>KR 13 # 57-12 - Barrio:CHAPINERO</t>
  </si>
  <si>
    <t>3115892080</t>
  </si>
  <si>
    <t>coordinadorhabilitacion@sonria.com.co</t>
  </si>
  <si>
    <t>WWW.SONRIA.COM.CO</t>
  </si>
  <si>
    <t>110014194401</t>
  </si>
  <si>
    <t>INVERSIONES DANAPALU SAS SIGLA LOVEME</t>
  </si>
  <si>
    <t>LUISA FERNANDA MEJIA MARTINEZ</t>
  </si>
  <si>
    <t>Calle 110 9 25 Consultorio 512</t>
  </si>
  <si>
    <t>3005124459</t>
  </si>
  <si>
    <t>inversionesdanapalu@gmail.com</t>
  </si>
  <si>
    <t>1100104471</t>
  </si>
  <si>
    <t>INVERSIONES DENTALES SANTANDER S.A.S</t>
  </si>
  <si>
    <t>VEGA OSORIO PEDRO FELIPE</t>
  </si>
  <si>
    <t>AV BOYACA # 51 92 LOCAL 101 102</t>
  </si>
  <si>
    <t>5489744</t>
  </si>
  <si>
    <t>gerencia@indesan.net</t>
  </si>
  <si>
    <t>1100101010</t>
  </si>
  <si>
    <t>INVERSIONES EN RECREACION DEPORTE Y SALUD S.A. Sigla: BODYTECH S.A.</t>
  </si>
  <si>
    <t>Raul Pineda</t>
  </si>
  <si>
    <t>carrera 19 B # 83-11</t>
  </si>
  <si>
    <t>7442222- EXT 40257 CELULAR 3213046169</t>
  </si>
  <si>
    <t>constanza.fonseca@bodytechcorp.com</t>
  </si>
  <si>
    <t>www.bodytech.com.co</t>
  </si>
  <si>
    <t>110014082401</t>
  </si>
  <si>
    <t>INVERSIONES HTB SAS</t>
  </si>
  <si>
    <t>RUBEN RAFAEL HERNANDEZ GONZALEZ</t>
  </si>
  <si>
    <t>Avenida Carrera 9 103 A 36 Consultorio 208</t>
  </si>
  <si>
    <t>3012503079</t>
  </si>
  <si>
    <t>angelasolucionesodontologia@gmail.com</t>
  </si>
  <si>
    <t>1100105775</t>
  </si>
  <si>
    <t>INVERSIONES LAYNE S.A.S.</t>
  </si>
  <si>
    <t>VIVES CAMARGO NELLY MARIA</t>
  </si>
  <si>
    <t>3155729586</t>
  </si>
  <si>
    <t>coordinacionoperativavpbg@gmail.com</t>
  </si>
  <si>
    <t>110013993101</t>
  </si>
  <si>
    <t>INVERSIONES RENATA SAS - SIGLA GW CLINICAL IPS</t>
  </si>
  <si>
    <t>JAVIER ANTONIO RODRIGUEZ PIRAJON</t>
  </si>
  <si>
    <t>CR 19B # 82 46 P3 CS 302</t>
  </si>
  <si>
    <t>3107531088</t>
  </si>
  <si>
    <t>gwclinicalips@gmail.com</t>
  </si>
  <si>
    <t>110011764902</t>
  </si>
  <si>
    <t>INVERSIONES Y REPRESENTACIONES ALFA YA LTDA VISION</t>
  </si>
  <si>
    <t>FREDDY JULIAN TORO ORTIZ</t>
  </si>
  <si>
    <t>AV 19 N. 12-23</t>
  </si>
  <si>
    <t>2810827</t>
  </si>
  <si>
    <t>vision.alfa@hotmail.com</t>
  </si>
  <si>
    <t>110014319801</t>
  </si>
  <si>
    <t>IO BIOESTETICA MEDICA S.A.S</t>
  </si>
  <si>
    <t>Diana Maria Forero Parra</t>
  </si>
  <si>
    <t>AK 11 90 55 Piso 3</t>
  </si>
  <si>
    <t>3042093128</t>
  </si>
  <si>
    <t>iobioesteticamedica@gmail.com</t>
  </si>
  <si>
    <t>110014195901</t>
  </si>
  <si>
    <t>IPS AESI PUENTE ARANDA</t>
  </si>
  <si>
    <t>LILIANA USECHE LIBREROS</t>
  </si>
  <si>
    <t>CALLE 9 # 62 - 84 C.C. OUTLET FACTORY LOCAL L2-33A</t>
  </si>
  <si>
    <t>3158284866</t>
  </si>
  <si>
    <t>apoyoensaludintegral.asi@gmail.com</t>
  </si>
  <si>
    <t>110014210503</t>
  </si>
  <si>
    <t>IPS AURAL CENTROS AUDITIVOS NUESTRO BOGOTA</t>
  </si>
  <si>
    <t>Avenida Carrera 86 55 A 75 Local 2-282</t>
  </si>
  <si>
    <t>3206949872</t>
  </si>
  <si>
    <t>110014210501</t>
  </si>
  <si>
    <t>IPS AURAL CENTROS AUDITIVOS PASEO VILLA DEL RIO</t>
  </si>
  <si>
    <t>Diagonal 57 C Sur 62 60 Local 202</t>
  </si>
  <si>
    <t>3104188170</t>
  </si>
  <si>
    <t>110011737704</t>
  </si>
  <si>
    <t>IPS Asisfarma Teusaquillo</t>
  </si>
  <si>
    <t>Juan Carlos Trujillo García</t>
  </si>
  <si>
    <t>Cr 13 # 37 - 37 Piso 6 Edificio Cavipetrol</t>
  </si>
  <si>
    <t>3157976810 - 2482002</t>
  </si>
  <si>
    <t>110013778001</t>
  </si>
  <si>
    <t>IPS BOGOTA 1</t>
  </si>
  <si>
    <t>NICOLAS CAICEDO ORTIZ</t>
  </si>
  <si>
    <t>AC 161 NO. 20-18 PISO 1 ENTRADA 1</t>
  </si>
  <si>
    <t>3126371960</t>
  </si>
  <si>
    <t>ipsapruebacalisas@gmail.com</t>
  </si>
  <si>
    <t>110014181901</t>
  </si>
  <si>
    <t>IPS CAMIHERE SAS</t>
  </si>
  <si>
    <t>KELLY ALEXANDRA GARCIA QUINTERO</t>
  </si>
  <si>
    <t>CL 14 A N° 19 50 SUR P1</t>
  </si>
  <si>
    <t>3112121385</t>
  </si>
  <si>
    <t>IPSCAMIHERESAS@GMAIL.COM</t>
  </si>
  <si>
    <t>110014181902</t>
  </si>
  <si>
    <t>IPS CAMIHERE. SAS</t>
  </si>
  <si>
    <t>Dirección: Cra 20 #16 - 47 Sur Piso 2</t>
  </si>
  <si>
    <t>ipscamiheresas@gmail.com</t>
  </si>
  <si>
    <t>110014089401</t>
  </si>
  <si>
    <t>IPS CARDIOTEAM S.A.S.</t>
  </si>
  <si>
    <t>PABLO ALEJANDRO VILLAMIL MUNEVAR</t>
  </si>
  <si>
    <t>Cl 114 No. 6A 92 OF 405 Local D-402 Piso 4 CC Hacienda Santa Barbara</t>
  </si>
  <si>
    <t>3015899661</t>
  </si>
  <si>
    <t>ipscardioteam@gmail.com</t>
  </si>
  <si>
    <t>110011522105</t>
  </si>
  <si>
    <t>IPS CASTELLANA</t>
  </si>
  <si>
    <t>JOHN ALEXANDER BUITRAGO AGUDELO</t>
  </si>
  <si>
    <t>KR 45 A # 95 90</t>
  </si>
  <si>
    <t>110012159401</t>
  </si>
  <si>
    <t>IPS CENTRO INTERNACIONAL DE ESPECIALISTAS CINÉS Y CLÍNICA INTEGRAL DE APOYO ONCOLÓGICO CIAO- ODONTOFOCAL S.A.S</t>
  </si>
  <si>
    <t>HUBER ANTONIO HOYOS MEDINA</t>
  </si>
  <si>
    <t>CRA 49 NO 91-25</t>
  </si>
  <si>
    <t>6014437010-3112860828</t>
  </si>
  <si>
    <t>gerencia@ipscines.com</t>
  </si>
  <si>
    <t>110010101045</t>
  </si>
  <si>
    <t>IPS CENTRO MEDICO DEPORTIVO ATHLETIC CALLE 147</t>
  </si>
  <si>
    <t>BRAYAN ALEXIS COBOS RINCÓN</t>
  </si>
  <si>
    <t>Cr 7 B # 146 - 90 Cs 1 P1 Y P2</t>
  </si>
  <si>
    <t>3108541424</t>
  </si>
  <si>
    <t>gerente.calle147@athleticgym.com.co</t>
  </si>
  <si>
    <t>110010101044</t>
  </si>
  <si>
    <t>IPS CENTRO MEDICO DEPORTIVO ATHLETIC CALLE 170</t>
  </si>
  <si>
    <t>JACKSON STICK BONILLA SAENZ</t>
  </si>
  <si>
    <t>Cl 169 B # 67 - 61 Cs 1 P1 Y P2</t>
  </si>
  <si>
    <t>3214697071</t>
  </si>
  <si>
    <t>calle170.gerente@athleticgym.com.co</t>
  </si>
  <si>
    <t>110010101047</t>
  </si>
  <si>
    <t>IPS CENTRO MEDICO DEPORTIVO ATHLETIC ENGATIVA</t>
  </si>
  <si>
    <t>FREDY ALEXANDER BONILLA RENTERIA</t>
  </si>
  <si>
    <t>Tv 113 # 66 - 87 Piso 1 Y 2</t>
  </si>
  <si>
    <t>3166195378</t>
  </si>
  <si>
    <t>engativa.gerente@athleticgym.com.co</t>
  </si>
  <si>
    <t>110010101046</t>
  </si>
  <si>
    <t>IPS CENTRO MEDICO DEPORTIVO ATHLETIC FONTIBON</t>
  </si>
  <si>
    <t>YASMIN MORA MORA</t>
  </si>
  <si>
    <t>Cl 17 # 96 A - 56/60 Piso 1 Y 2</t>
  </si>
  <si>
    <t>3193192956 - 3213046169</t>
  </si>
  <si>
    <t>fontibon.gerente@athleticgym.com.co</t>
  </si>
  <si>
    <t>110010101043</t>
  </si>
  <si>
    <t>IPS CENTRO MEDICO DEPORTIVO ATHLETIC GRAN GRANADA</t>
  </si>
  <si>
    <t>GLADYS MARCELA SANCHEZ CALDUCHO</t>
  </si>
  <si>
    <t>Av Cl 80 # 116 B 23 Cs 1 P 1 Y P 2</t>
  </si>
  <si>
    <t>3214697068</t>
  </si>
  <si>
    <t>grangranada.gerente@athleticgym.com.co</t>
  </si>
  <si>
    <t>110010101039</t>
  </si>
  <si>
    <t>IPS CENTRO MEDICO DEPORTIVO ATHLETIC HUB 72</t>
  </si>
  <si>
    <t>ERIK DAVID MESA FERRUCHO</t>
  </si>
  <si>
    <t>CR 24 # 71 A 85</t>
  </si>
  <si>
    <t>3008512774 - 7442222</t>
  </si>
  <si>
    <t>hub72.gerente@athleticgym.com.co</t>
  </si>
  <si>
    <t>110010101040</t>
  </si>
  <si>
    <t>IPS CENTRO MEDICO DEPORTIVO ATHLETIC RESTREPO</t>
  </si>
  <si>
    <t>CAMILO ANDRES DIAZ ESPITIA</t>
  </si>
  <si>
    <t>CR 22 No 14-31 SUR</t>
  </si>
  <si>
    <t>3163184277</t>
  </si>
  <si>
    <t>restrepo.gerente@athleticgym.com.co</t>
  </si>
  <si>
    <t>110010101005</t>
  </si>
  <si>
    <t>IPS CENTRO MEDICO DEPORTIVO ATHLETIC SALITRE</t>
  </si>
  <si>
    <t>MIGUEL ANGEL PEÑA OLAVE</t>
  </si>
  <si>
    <t>AV 68 # 23 45</t>
  </si>
  <si>
    <t>3017158114</t>
  </si>
  <si>
    <t>salitre.gerente@athleticgym.com.co</t>
  </si>
  <si>
    <t>110010101006</t>
  </si>
  <si>
    <t>IPS CENTRO MEDICO DEPORTIVO BODYTECH AUTOPISTA 135</t>
  </si>
  <si>
    <t>YUHEIDYS JOHANNA CERVERA SIERRA</t>
  </si>
  <si>
    <t>CALLE 134 A No 23-72</t>
  </si>
  <si>
    <t>7442222 EXT 41004</t>
  </si>
  <si>
    <t>autopista135@bodytechcorp.com</t>
  </si>
  <si>
    <t>110010101016</t>
  </si>
  <si>
    <t>IPS CENTRO MEDICO DEPORTIVO BODYTECH AUTOPISTA 170</t>
  </si>
  <si>
    <t>AURA DEL ROSARIO MORENO MORA</t>
  </si>
  <si>
    <t>Auto Norte # 167 - 10</t>
  </si>
  <si>
    <t>3142254617</t>
  </si>
  <si>
    <t>autopista170@bodytechcorp.com</t>
  </si>
  <si>
    <t>110010101029</t>
  </si>
  <si>
    <t>IPS CENTRO MEDICO DEPORTIVO BODYTECH BULEVAR</t>
  </si>
  <si>
    <t>MARIA LILIANA BOLIVAR BOLIVAR</t>
  </si>
  <si>
    <t>CR 58 127-29 LC 181 B</t>
  </si>
  <si>
    <t>3102830824-3102677727</t>
  </si>
  <si>
    <t>bulevar@bodytechcorp.com</t>
  </si>
  <si>
    <t>110010101008</t>
  </si>
  <si>
    <t>IPS CENTRO MEDICO DEPORTIVO BODYTECH CABRERA</t>
  </si>
  <si>
    <t>DIANA MILENA ARIAS PRADA</t>
  </si>
  <si>
    <t>CL 85 # 7 13</t>
  </si>
  <si>
    <t>7442222 EXT 41204</t>
  </si>
  <si>
    <t>cabrera@bodytechcorp.com</t>
  </si>
  <si>
    <t>110010101038</t>
  </si>
  <si>
    <t>IPS CENTRO MEDICO DEPORTIVO BODYTECH CALLE 90</t>
  </si>
  <si>
    <t>LYDY YANETH VILLANUEVA HERNANDEZ</t>
  </si>
  <si>
    <t>CL 90 No 16-34</t>
  </si>
  <si>
    <t>7442222 EXT 3800 - 38004</t>
  </si>
  <si>
    <t>calle90@bodytechcorp.com</t>
  </si>
  <si>
    <t>110010101028</t>
  </si>
  <si>
    <t>IPS CENTRO MEDICO DEPORTIVO BODYTECH CARRERA 11</t>
  </si>
  <si>
    <t>JENNY ANGELICA ZALDUA ORJUELA</t>
  </si>
  <si>
    <t>CL 96 - 10-38</t>
  </si>
  <si>
    <t>7442222 EXT 45304</t>
  </si>
  <si>
    <t>carrera11@bodytechcorp.com</t>
  </si>
  <si>
    <t>110010101002</t>
  </si>
  <si>
    <t>IPS CENTRO MEDICO DEPORTIVO BODYTECH CEDRITOS</t>
  </si>
  <si>
    <t>JULIANA MARTINEZ MORENO</t>
  </si>
  <si>
    <t>Cl 147 # 7 - 52 Piso 2 CC Show Place</t>
  </si>
  <si>
    <t>7442222 EXT 41300</t>
  </si>
  <si>
    <t>cedritos@bodytechcorp.com</t>
  </si>
  <si>
    <t>110010101023</t>
  </si>
  <si>
    <t>IPS CENTRO MEDICO DEPORTIVO BODYTECH CENTRO MAYOR</t>
  </si>
  <si>
    <t>LORENA DEL PILAR URZOLA GOMEZ</t>
  </si>
  <si>
    <t>CALLE 38 A SUR NO 34 D- 50 LOC 1-145</t>
  </si>
  <si>
    <t>7442222 EXT 35800</t>
  </si>
  <si>
    <t>centromayor@bodytechcorp.com</t>
  </si>
  <si>
    <t>110010101001</t>
  </si>
  <si>
    <t>IPS CENTRO MEDICO DEPORTIVO BODYTECH CHAPINERO</t>
  </si>
  <si>
    <t>JENNY ALEJANDRA PINZON BOHORQUEZ</t>
  </si>
  <si>
    <t>CRA 7 # 63 25</t>
  </si>
  <si>
    <t>7442222 EXT 42104</t>
  </si>
  <si>
    <t>chapinero@bodytechcorp.com</t>
  </si>
  <si>
    <t>110010101004</t>
  </si>
  <si>
    <t>IPS CENTRO MEDICO DEPORTIVO BODYTECH CHICO</t>
  </si>
  <si>
    <t>ERWIN ALEXANDER ROMERO VELANDIA</t>
  </si>
  <si>
    <t>Av 19 # 102 - 31 Piso 3 Entrada 1</t>
  </si>
  <si>
    <t>7442222 EXT 41504</t>
  </si>
  <si>
    <t>chico@bodytechcorp.com</t>
  </si>
  <si>
    <t>110010101003</t>
  </si>
  <si>
    <t>IPS CENTRO MEDICO DEPORTIVO BODYTECH COLINA</t>
  </si>
  <si>
    <t>GLORIA ALEXANDRA FANDIÑO MATUK</t>
  </si>
  <si>
    <t>AC 138 # 58 -74 PISO 2</t>
  </si>
  <si>
    <t>7442222 EXT 41604</t>
  </si>
  <si>
    <t>colina@bodytechcorp.com</t>
  </si>
  <si>
    <t>110010101042</t>
  </si>
  <si>
    <t>IPS CENTRO MEDICO DEPORTIVO BODYTECH CONNECTA</t>
  </si>
  <si>
    <t>WILSON FABIAN LEON RUIZ</t>
  </si>
  <si>
    <t>Av Cl 26 # 92-32 MD 64 Y 65 PISO 4</t>
  </si>
  <si>
    <t>3148773075</t>
  </si>
  <si>
    <t>conecta@bodytechcorp.com</t>
  </si>
  <si>
    <t>110010101036</t>
  </si>
  <si>
    <t>IPS CENTRO MEDICO DEPORTIVO BODYTECH COUNTRY</t>
  </si>
  <si>
    <t>DIEGO ALEJANDRO MELO DUARTE</t>
  </si>
  <si>
    <t>Calle 138 # 10ª-42</t>
  </si>
  <si>
    <t>3183414098-3183414086</t>
  </si>
  <si>
    <t>gerente.gymhouse@bodytechcorp.com</t>
  </si>
  <si>
    <t>110010101031</t>
  </si>
  <si>
    <t>IPS CENTRO MEDICO DEPORTIVO BODYTECH DIVERPLAZA</t>
  </si>
  <si>
    <t>DARIO URUEÑA MACHADO</t>
  </si>
  <si>
    <t>TV 99 # 70 A 89</t>
  </si>
  <si>
    <t>7422668 - 3103486324</t>
  </si>
  <si>
    <t>diverplaza@bodytechcorp.com</t>
  </si>
  <si>
    <t>110010101037</t>
  </si>
  <si>
    <t>IPS CENTRO MEDICO DEPORTIVO BODYTECH ENSUEÑO</t>
  </si>
  <si>
    <t>MELISA GERALDINE CALVO ORTIZ</t>
  </si>
  <si>
    <t>CARRERA 51 No 59C SUR -93 LOCAL 206</t>
  </si>
  <si>
    <t>3178871398-3213046169</t>
  </si>
  <si>
    <t>ensueno@bodytechcorp.com</t>
  </si>
  <si>
    <t>110010101021</t>
  </si>
  <si>
    <t>IPS CENTRO MEDICO DEPORTIVO BODYTECH FLORESTA</t>
  </si>
  <si>
    <t>SHERYL NICKOLL ALVAREZ ROJAS</t>
  </si>
  <si>
    <t>Avenida Carrera 68 #90 88 Nivel 0</t>
  </si>
  <si>
    <t>3102185548</t>
  </si>
  <si>
    <t>floresta@bodytechcorp.com</t>
  </si>
  <si>
    <t>110010101033</t>
  </si>
  <si>
    <t>IPS CENTRO MEDICO DEPORTIVO BODYTECH GALERIAS</t>
  </si>
  <si>
    <t>carrera 24 No 53-73 piso 6 local 601</t>
  </si>
  <si>
    <t>7442222 EXT 48001</t>
  </si>
  <si>
    <t>galerias@bodytechcorp.com</t>
  </si>
  <si>
    <t>110010101032</t>
  </si>
  <si>
    <t>IPS CENTRO MEDICO DEPORTIVO BODYTECH GRAN ESTACION</t>
  </si>
  <si>
    <t>JAVIER MATEO ZAMBRANO ROCHA</t>
  </si>
  <si>
    <t>AC 26 No 62-47 P 4</t>
  </si>
  <si>
    <t>3014966267</t>
  </si>
  <si>
    <t>granestacion@bodytechcorp.com</t>
  </si>
  <si>
    <t>110010101019</t>
  </si>
  <si>
    <t>IPS CENTRO MEDICO DEPORTIVO BODYTECH HAYUELOS</t>
  </si>
  <si>
    <t>CAROLINA CACERES ESPITIA</t>
  </si>
  <si>
    <t>Calle 20 No. 82-52 Local 4-59</t>
  </si>
  <si>
    <t>7442222 EXT 41800</t>
  </si>
  <si>
    <t>hayuelos@bodytechcorp.com</t>
  </si>
  <si>
    <t>110010101017</t>
  </si>
  <si>
    <t>IPS CENTRO MEDICO DEPORTIVO BODYTECH KENNEDY</t>
  </si>
  <si>
    <t>DIANA MILENA OSORIO VARGAS</t>
  </si>
  <si>
    <t>Transversal 78J No. 41F-05 Sur</t>
  </si>
  <si>
    <t>7442222 EXT 41904</t>
  </si>
  <si>
    <t>kennedy@bodytechcorp.com</t>
  </si>
  <si>
    <t>110010101018</t>
  </si>
  <si>
    <t>IPS CENTRO MEDICO DEPORTIVO BODYTECH NORMANDIA</t>
  </si>
  <si>
    <t>PAOLA ANGELINA CASTAÑEDA CARDENAS</t>
  </si>
  <si>
    <t>AVENIDA BOYACA No. 49-29 PISO 2</t>
  </si>
  <si>
    <t>7442222 EXT 35209</t>
  </si>
  <si>
    <t>normandia@bodytechcorp.com</t>
  </si>
  <si>
    <t>110010101012</t>
  </si>
  <si>
    <t>IPS CENTRO MEDICO DEPORTIVO BODYTECH PABLO VI</t>
  </si>
  <si>
    <t>VIVIANA MARCELA NAVARRETE QUIROGA</t>
  </si>
  <si>
    <t>Cra 52 Bis # 56 B 26 Piso 2</t>
  </si>
  <si>
    <t>7442222 EXT 42200</t>
  </si>
  <si>
    <t>pablovi@bodytechcorp.com</t>
  </si>
  <si>
    <t>110010101007</t>
  </si>
  <si>
    <t>IPS CENTRO MEDICO DEPORTIVO BODYTECH PASADENA</t>
  </si>
  <si>
    <t>CAMILO ANDRES CASTRO MANZO</t>
  </si>
  <si>
    <t>KR 53- 102 A 77 LOCAL 201</t>
  </si>
  <si>
    <t>7442222 EXT 42300</t>
  </si>
  <si>
    <t>pasadena@bodytechcorp.com</t>
  </si>
  <si>
    <t>110010101041</t>
  </si>
  <si>
    <t>IPS CENTRO MEDICO DEPORTIVO BODYTECH PASEO DEL RIO</t>
  </si>
  <si>
    <t>SANDRA YANETH ARAOZ USECHE</t>
  </si>
  <si>
    <t>Dg 57 C Sur # 62 - 60 Piso 4 Local 401 CC Paseo Villa Del Rio</t>
  </si>
  <si>
    <t>3203119132</t>
  </si>
  <si>
    <t>villadelrio@bodytechcorp.com</t>
  </si>
  <si>
    <t>110010101034</t>
  </si>
  <si>
    <t>IPS CENTRO MEDICO DEPORTIVO BODYTECH PLAZA BOSA</t>
  </si>
  <si>
    <t>CALLE 65 SUR N 78H-51 LC 3-14 CC PLAZA BOSA</t>
  </si>
  <si>
    <t>7442222 EXT 48400</t>
  </si>
  <si>
    <t>plazabosa@bodytechcorp.com</t>
  </si>
  <si>
    <t>110010101030</t>
  </si>
  <si>
    <t>IPS CENTRO MEDICO DEPORTIVO BODYTECH PLAZA CENTRAL</t>
  </si>
  <si>
    <t>NIDYA CONSUELO LOPEZ CABALLERO</t>
  </si>
  <si>
    <t>CC PLAZA CENTRAL CRA 65 11-48 L 3-28</t>
  </si>
  <si>
    <t>7422639/3102839346</t>
  </si>
  <si>
    <t>plazacentral@bodytechcorp.com</t>
  </si>
  <si>
    <t>110010101014</t>
  </si>
  <si>
    <t>IPS CENTRO MEDICO DEPORTIVO BODYTECH PORTAL 80</t>
  </si>
  <si>
    <t>JEIMY NATHALY RODRIGUEZ OSORIO</t>
  </si>
  <si>
    <t>Tv 100 A # 80 A 20 Lc 30-01 Centro Comercial Portal 80</t>
  </si>
  <si>
    <t>7442222 EXT 42400</t>
  </si>
  <si>
    <t>portal80@bodytechcorp.com</t>
  </si>
  <si>
    <t>110010101035</t>
  </si>
  <si>
    <t>IPS CENTRO MEDICO DEPORTIVO BODYTECH SANTA ANA</t>
  </si>
  <si>
    <t>CARLOS ANDRES BRICEÑO HUERTAS</t>
  </si>
  <si>
    <t>CL 110 # 9A 10 70 LOC ANCLA 1-2</t>
  </si>
  <si>
    <t>2136076 / 6752270 / 3183060927</t>
  </si>
  <si>
    <t>nordic@bodytechcorp.com</t>
  </si>
  <si>
    <t>110010101013</t>
  </si>
  <si>
    <t>IPS CENTRO MEDICO DEPORTIVO BODYTECH SUBA</t>
  </si>
  <si>
    <t>NATALY RINCON MORA</t>
  </si>
  <si>
    <t>Av Cr 104 # 148 - 07 Loc 269 Cc Plaza Imperial</t>
  </si>
  <si>
    <t>7442222 EXT 42600</t>
  </si>
  <si>
    <t>suba@bodytechcorp.com</t>
  </si>
  <si>
    <t>110010101011</t>
  </si>
  <si>
    <t>IPS CENTRO MEDICO DEPORTIVO BODYTECH SULTANA</t>
  </si>
  <si>
    <t>NELSON GASPAR PENAGOS MENDEZ</t>
  </si>
  <si>
    <t>Calle 12 Sur No. 31-33</t>
  </si>
  <si>
    <t>7442222 EXT 42700</t>
  </si>
  <si>
    <t>sultana@bodytechcorp.com</t>
  </si>
  <si>
    <t>110010101026</t>
  </si>
  <si>
    <t>IPS CENTRO MEDICO DEPORTIVO BODYTECH TITAN PLAZA</t>
  </si>
  <si>
    <t>MIGUEL ANGEL MURCIA PINILLA</t>
  </si>
  <si>
    <t>CR 72 80-94 LC SE 4-27</t>
  </si>
  <si>
    <t>7442222 EXT 45104</t>
  </si>
  <si>
    <t>titanplaza@bodytechcorp.com</t>
  </si>
  <si>
    <t>110010101010</t>
  </si>
  <si>
    <t>IPS CENTRO MEDICO DEPORTIVO BODYTECH TORRE CENTRAL</t>
  </si>
  <si>
    <t>KATHERINE RAMIREZ SUAREZ</t>
  </si>
  <si>
    <t>Calle 26 No 68 C -61 LOCAL 116</t>
  </si>
  <si>
    <t>7442222 EXT 42800</t>
  </si>
  <si>
    <t>torrecentral@bodytechcorp.com</t>
  </si>
  <si>
    <t>110013849401</t>
  </si>
  <si>
    <t>IPS CENTRO MEDICO SAN JOSE DEL SUR SAS</t>
  </si>
  <si>
    <t>JONKA PAOLA GOMEZ CHICA</t>
  </si>
  <si>
    <t>CL 50 A SUR 5 R 18 PISO 1 CONSULTORIOS 1 Y 3</t>
  </si>
  <si>
    <t>3168279779</t>
  </si>
  <si>
    <t>gestioncentromedico@sanjosedelsursalud.co</t>
  </si>
  <si>
    <t>110013683801</t>
  </si>
  <si>
    <t>IPS CENTRO PSICOLOGICO TRASCENDER SAS</t>
  </si>
  <si>
    <t>Gesly Andrea Cita Alvarez</t>
  </si>
  <si>
    <t>Cl. 99 #49-38 Oficina 610</t>
  </si>
  <si>
    <t>3214666882</t>
  </si>
  <si>
    <t>paola.amaya@cptrascender.com</t>
  </si>
  <si>
    <t>110014210505</t>
  </si>
  <si>
    <t>IPS CENTROS AUDITIVOS USAQUEN</t>
  </si>
  <si>
    <t>Carrera 7 N 119-50</t>
  </si>
  <si>
    <t>110012132305</t>
  </si>
  <si>
    <t>IPS CENTUM</t>
  </si>
  <si>
    <t>JUAN CARLOS RODRIGUEZ JAILLIER</t>
  </si>
  <si>
    <t>CLL 99 # 49-38 ED CENTUM PH OF 1602 1603 1604 1605</t>
  </si>
  <si>
    <t>7456670</t>
  </si>
  <si>
    <t>chernandez@medicarte.com.co</t>
  </si>
  <si>
    <t>110013864701</t>
  </si>
  <si>
    <t>IPS CHEQUEOS EJECUTIVOS Y AERONÁUTICOS S.A.S</t>
  </si>
  <si>
    <t>MARTHA ELENA JIMENEZ TOVAR</t>
  </si>
  <si>
    <t>AVENIDA CARRERA 7 119 14 CONSULTORIO 207</t>
  </si>
  <si>
    <t>6012147440</t>
  </si>
  <si>
    <t>chequeosejecutivos@yahoo.com</t>
  </si>
  <si>
    <t>110013847501</t>
  </si>
  <si>
    <t>IPS CITYMEDICAL</t>
  </si>
  <si>
    <t>JOHN OSWALDO BERNAL SANCHEZ</t>
  </si>
  <si>
    <t>AC 145 NO. 92 30 LC 203</t>
  </si>
  <si>
    <t>3202134145</t>
  </si>
  <si>
    <t>ipscitymedical@gmail.com</t>
  </si>
  <si>
    <t>1100108575</t>
  </si>
  <si>
    <t>IPS CLINICA JOSE A RIVAS S.A.</t>
  </si>
  <si>
    <t>RIVAS CORREA JOSE ANTONIO</t>
  </si>
  <si>
    <t>AK 19 N 100-28 - Barrio:CHICO</t>
  </si>
  <si>
    <t>110013034601</t>
  </si>
  <si>
    <t>IPS COMERBAS</t>
  </si>
  <si>
    <t>CRISTHIAN CAMILO CUBILLOS COLLAZOS</t>
  </si>
  <si>
    <t>AV CARRERA 30 NO. 67- 59 PISO 1,2 Y 3.</t>
  </si>
  <si>
    <t>4002546</t>
  </si>
  <si>
    <t>GERENCIA@COMERBAS.COM</t>
  </si>
  <si>
    <t>110013751501</t>
  </si>
  <si>
    <t>IPS CRUZALUD SAS</t>
  </si>
  <si>
    <t>DEISY YISLEM CRUZ SUAREZ</t>
  </si>
  <si>
    <t>Cr 15 # 91-30 Ofc 101</t>
  </si>
  <si>
    <t>3142421233</t>
  </si>
  <si>
    <t>facturacioncruzalud@gmail.com</t>
  </si>
  <si>
    <t>110013501901</t>
  </si>
  <si>
    <t>IPS CUIDAR HQS SAS</t>
  </si>
  <si>
    <t>LUIS ENRIQUE PARRA RODRIGUEZ</t>
  </si>
  <si>
    <t>AK 45 # 168 59/67 PI 5</t>
  </si>
  <si>
    <t>7432427/3115125349</t>
  </si>
  <si>
    <t>cuidarhqs@gmail.com</t>
  </si>
  <si>
    <t>110013252610</t>
  </si>
  <si>
    <t>IPS DE TODOS CIUDAD BOLIVAR</t>
  </si>
  <si>
    <t>INGRID NATALY SANCHEZ ROJAS</t>
  </si>
  <si>
    <t>CLL 63 SUR Nº 72 -19</t>
  </si>
  <si>
    <t>3232225593</t>
  </si>
  <si>
    <t>ciudadbolivar@ipsdetodos.com</t>
  </si>
  <si>
    <t>1100117313</t>
  </si>
  <si>
    <t>IPS DENTI EXPRESS E U</t>
  </si>
  <si>
    <t>ANDREA DEL PILAR URUEÑA PRADA</t>
  </si>
  <si>
    <t>110013954601</t>
  </si>
  <si>
    <t>IPS EN SALUD 1A S.A.S.</t>
  </si>
  <si>
    <t>Maria Eugenia Cardona Hernandez</t>
  </si>
  <si>
    <t>Carrera 19 B No. 26 A 53 Sur Piso 1</t>
  </si>
  <si>
    <t>3214028257</t>
  </si>
  <si>
    <t>ipsensalud1a@gmail.com</t>
  </si>
  <si>
    <t>110013815801</t>
  </si>
  <si>
    <t>IPS EN SALUD SAS</t>
  </si>
  <si>
    <t>JOHAN SEBASTIAN PEREZ VELANDIA</t>
  </si>
  <si>
    <t>Carrera 21 # 23-26 sur</t>
  </si>
  <si>
    <t>3243392138-3005232138</t>
  </si>
  <si>
    <t>administracion@ipsensalud.com.co</t>
  </si>
  <si>
    <t>110013970501</t>
  </si>
  <si>
    <t>IPS EQUILIBRIUM CIENCIA Y SALUD SAS</t>
  </si>
  <si>
    <t>Marlon Orlando Rodriguez Aparicio</t>
  </si>
  <si>
    <t>Carrera 17 No. 49A - 48</t>
  </si>
  <si>
    <t>3054343148</t>
  </si>
  <si>
    <t>gerencia@equilibriumips.com</t>
  </si>
  <si>
    <t>110013630201</t>
  </si>
  <si>
    <t>IPS EXISALUD SAS</t>
  </si>
  <si>
    <t>Cesar Augusto Pedroza Palacio</t>
  </si>
  <si>
    <t>AK 72 64 F 42 P 1</t>
  </si>
  <si>
    <t>3164637448</t>
  </si>
  <si>
    <t>calidadexisalud@gmail.com</t>
  </si>
  <si>
    <t>110013630202</t>
  </si>
  <si>
    <t>IPS EXISALUD SAS SEDE 2</t>
  </si>
  <si>
    <t>CESAR AUGUSTO PEDROZA PALACIO</t>
  </si>
  <si>
    <t>Carrera 17 # 68 - 58</t>
  </si>
  <si>
    <t>110014210401</t>
  </si>
  <si>
    <t>IPS EXPERTSALUD SAS</t>
  </si>
  <si>
    <t>ISRAEL MOLANO ROJAS</t>
  </si>
  <si>
    <t>Calle 53 B 24 80 Piso 6 Oficina 612</t>
  </si>
  <si>
    <t>3002645682</t>
  </si>
  <si>
    <t>expertsaludips@gmail.com</t>
  </si>
  <si>
    <t>110014046801</t>
  </si>
  <si>
    <t>IPS FAMIVIVIR</t>
  </si>
  <si>
    <t>Maryory Trujillo Mendoza</t>
  </si>
  <si>
    <t>AC 24 43A-34</t>
  </si>
  <si>
    <t>3046635843</t>
  </si>
  <si>
    <t>ipsfamivivirbogota@gmail.com</t>
  </si>
  <si>
    <t>110014259001</t>
  </si>
  <si>
    <t>IPS FERNANDEZ ODONTOLOGIA Y MEDICINA S.A.S</t>
  </si>
  <si>
    <t>JUAN SEBASTIAN FERNANDEZ PARDO</t>
  </si>
  <si>
    <t>CLL 93 A NO. 14 17 OF 406 408</t>
  </si>
  <si>
    <t>3228018161</t>
  </si>
  <si>
    <t>ips.fernandezoym@gmail.com</t>
  </si>
  <si>
    <t>110013891901</t>
  </si>
  <si>
    <t>IPS FOR YOUR LIFE - SALUD EN TU HOGAR NUESTRA PRIORIDAD S.A.S</t>
  </si>
  <si>
    <t>JENNY MARCELA RODRIGUEZ SANCHEZ</t>
  </si>
  <si>
    <t>CARRERA 27 # 2 - 68 PISO 1</t>
  </si>
  <si>
    <t>3016721264</t>
  </si>
  <si>
    <t>gerencia@ipsforyourlife.com</t>
  </si>
  <si>
    <t>110013839102</t>
  </si>
  <si>
    <t>IPS GIRBRO 2</t>
  </si>
  <si>
    <t>Cra 9 No 16-72</t>
  </si>
  <si>
    <t>110013734601</t>
  </si>
  <si>
    <t>IPS GRUPO MOK S.A.S.</t>
  </si>
  <si>
    <t>CLAUDIA PATRICIA MORENO FLOREZ</t>
  </si>
  <si>
    <t>Cl 94 A No. 13 42 OF 102</t>
  </si>
  <si>
    <t>6017702119</t>
  </si>
  <si>
    <t>ips@grupomok.com</t>
  </si>
  <si>
    <t>110013868601</t>
  </si>
  <si>
    <t>IPS HUELLAS DE VIDA SERVICIO HUMANIZADO SAS</t>
  </si>
  <si>
    <t>julian esteban robledo muñoz</t>
  </si>
  <si>
    <t>AK 9 # 127b 16 consultorio 205</t>
  </si>
  <si>
    <t>3237992223</t>
  </si>
  <si>
    <t>gerenciahuellasdevida@gmail.com</t>
  </si>
  <si>
    <t>110014115201</t>
  </si>
  <si>
    <t>IPS Integra Health Care Sede 3</t>
  </si>
  <si>
    <t>HEDER JOSÉ XIQUES MOLINA</t>
  </si>
  <si>
    <t>Cra 13 No. 93 - 85 Consultorio 401</t>
  </si>
  <si>
    <t>6053855052</t>
  </si>
  <si>
    <t>info@curelatam.com</t>
  </si>
  <si>
    <t>1100118448</t>
  </si>
  <si>
    <t>IPS JAH RAFA S.A.S.</t>
  </si>
  <si>
    <t>LILIAN PATRICIA SARRIA RIOS</t>
  </si>
  <si>
    <t>Diagonal 45 No. 84-14 Local A121</t>
  </si>
  <si>
    <t>6958360 4048985 6908360 4871413 6052721</t>
  </si>
  <si>
    <t>CONTRATACIONJAHRAFA@GMAIL.COMATENCIONYCALIDADIPSJAHRAFA@GMAIL.COM</t>
  </si>
  <si>
    <t>110013363801</t>
  </si>
  <si>
    <t>IPS KAMALCLINICA DE MEDICINA ESTETICA Y SPA SAS</t>
  </si>
  <si>
    <t>AMPARO MONROY VALBUENA</t>
  </si>
  <si>
    <t>CALLE 97 # 65 - 50 PISO 1</t>
  </si>
  <si>
    <t>3102935083</t>
  </si>
  <si>
    <t>ipskamal1@gmail.com</t>
  </si>
  <si>
    <t>110014201901</t>
  </si>
  <si>
    <t>IPS MONICA BOTERO SAS</t>
  </si>
  <si>
    <t>JOSE MARIA DELGADO FERNANDEZ</t>
  </si>
  <si>
    <t>CL 118 No. 19 52 Co 406</t>
  </si>
  <si>
    <t>3132931231</t>
  </si>
  <si>
    <t>Odontologia.kr.sg@gmail.com</t>
  </si>
  <si>
    <t>1100117560</t>
  </si>
  <si>
    <t>IPS MUNDO SALUD MEDICAL GROUP LTDA</t>
  </si>
  <si>
    <t>CESAR AUGUSTO RUIZ GALLEGO</t>
  </si>
  <si>
    <t>Cl 27 Sur # 19 - 02 P1</t>
  </si>
  <si>
    <t>6967246</t>
  </si>
  <si>
    <t>coordinacion@vacunacionmundosalud.com</t>
  </si>
  <si>
    <t>110013955001</t>
  </si>
  <si>
    <t>IPS NEURO THERAPY SAS</t>
  </si>
  <si>
    <t>JULY ANDREA CARDENAS LANCHEROS</t>
  </si>
  <si>
    <t>CALLE 99 #49-38 CONSULTORIO 711</t>
  </si>
  <si>
    <t>3143064033</t>
  </si>
  <si>
    <t>ipsneurotherapy@gmail.com</t>
  </si>
  <si>
    <t>110014067701</t>
  </si>
  <si>
    <t>IPS NUEVA PIEL TERAPIA OCUPACIONAL SAS</t>
  </si>
  <si>
    <t>YINNA LISED MARTINEZ ROMERO</t>
  </si>
  <si>
    <t>TV 60 No 115-58 to A Of 407</t>
  </si>
  <si>
    <t>3188737173</t>
  </si>
  <si>
    <t>nuevapiel.to@gmail.com</t>
  </si>
  <si>
    <t>110013853902</t>
  </si>
  <si>
    <t>IPS ODONTOLOGICA DRA PC</t>
  </si>
  <si>
    <t>CALLE 57 # 21 - 26 P1 Lc</t>
  </si>
  <si>
    <t>3158946457</t>
  </si>
  <si>
    <t>110013787101</t>
  </si>
  <si>
    <t>IPS OXI 50 S.A.S</t>
  </si>
  <si>
    <t>Claudia Del Pilar Moreno</t>
  </si>
  <si>
    <t>calle 99#49-38 consultorio 1408-1409</t>
  </si>
  <si>
    <t>3183121532</t>
  </si>
  <si>
    <t>ipsoxi50@gmail.com</t>
  </si>
  <si>
    <t>110014236501</t>
  </si>
  <si>
    <t>IPS PACICARE CUIDADO DEL PACIENTE SAS - IPS PACICARE SAS</t>
  </si>
  <si>
    <t>Gloria Isabel Suarez Varon</t>
  </si>
  <si>
    <t>Cr 16 N° 84 a 09 Cn 514</t>
  </si>
  <si>
    <t>3203402643</t>
  </si>
  <si>
    <t>gloriasuarez893@gmail.com</t>
  </si>
  <si>
    <t>110014227701</t>
  </si>
  <si>
    <t>IPS PREVENLAB</t>
  </si>
  <si>
    <t>FELIPE SEBASTIAN SANCHEZ AREVALO</t>
  </si>
  <si>
    <t>Calle 140 C 94 D 38 Consultorio 202</t>
  </si>
  <si>
    <t>3024542680</t>
  </si>
  <si>
    <t>prevencionlaboralmd@gmail.com</t>
  </si>
  <si>
    <t>110012591401</t>
  </si>
  <si>
    <t>IPS PROFESIONALES EN SALUD SAS</t>
  </si>
  <si>
    <t>NOHORA ALEJANDRA RAMIREZ TRIANA</t>
  </si>
  <si>
    <t>Carrera 25 51 37 Local 1</t>
  </si>
  <si>
    <t>2551440/3106888777</t>
  </si>
  <si>
    <t>ipsprofesionalesensaludsas@yahoo.com</t>
  </si>
  <si>
    <t>110012023104</t>
  </si>
  <si>
    <t>IPS Plaza Claro Bogotá</t>
  </si>
  <si>
    <t>DIEGO FERNANDO DIAZ GOMEZ</t>
  </si>
  <si>
    <t>Cr 68 A No. 24 B 10 Cc Plaza Claro To 3 P 6 Of 4</t>
  </si>
  <si>
    <t>3113053278 - 3202753222 - 3209268515</t>
  </si>
  <si>
    <t>calidad@ipsespecializada.com.co</t>
  </si>
  <si>
    <t>110011902301</t>
  </si>
  <si>
    <t>IPS RADIOLOGIA ESPECIALIZADA SAS</t>
  </si>
  <si>
    <t>MAURICIO GONZALEZ RODRIGUEZ</t>
  </si>
  <si>
    <t>AV CALLE 68 # 54 43</t>
  </si>
  <si>
    <t>2319208-3054089293</t>
  </si>
  <si>
    <t>rxespecializada@yahoo.es</t>
  </si>
  <si>
    <t>110013867301</t>
  </si>
  <si>
    <t>IPS RADIOLOGICA OG SAS</t>
  </si>
  <si>
    <t>ORLANDO GONZALEZ BRAVO</t>
  </si>
  <si>
    <t>CL 83 # 16A 44 CS 207</t>
  </si>
  <si>
    <t>6014786787</t>
  </si>
  <si>
    <t>admoncrog@gmail.com</t>
  </si>
  <si>
    <t>110012424402</t>
  </si>
  <si>
    <t>IPS SALUD INTEGRAL SABANA CALLE 100</t>
  </si>
  <si>
    <t>JHON JAIRO MOSQUERA MESA</t>
  </si>
  <si>
    <t>TRANSVERSAL 55 N° 98 A 66 LOCAL 337</t>
  </si>
  <si>
    <t>3105663088</t>
  </si>
  <si>
    <t>ipssaludintegralsabana@gmail.com</t>
  </si>
  <si>
    <t>110012424401</t>
  </si>
  <si>
    <t>IPS SALUD INTEGRAL SABANA SAS</t>
  </si>
  <si>
    <t>CALLE 97 A #51-56</t>
  </si>
  <si>
    <t>6316252</t>
  </si>
  <si>
    <t>110012887101</t>
  </si>
  <si>
    <t>IPS SALUD OCUPACIONAL HORIZONTE LTDA SIGLA SOH</t>
  </si>
  <si>
    <t>NICOLAS VILLAMIZAR MORENO</t>
  </si>
  <si>
    <t>CLL 59 NO.13-33 OFICINA 404</t>
  </si>
  <si>
    <t>6013227118</t>
  </si>
  <si>
    <t>nicolas.villamizar@gsh.com.co</t>
  </si>
  <si>
    <t>110012275401</t>
  </si>
  <si>
    <t>IPS SALUD OCUPACIONAL INTEGRAL COLOMBIANA SAS SIGLA IPS SOINCO SAS</t>
  </si>
  <si>
    <t>MARIA ELENA POLO RAMIREZ</t>
  </si>
  <si>
    <t>CALLE 102 A No. 45A-09. PRIMER PISO</t>
  </si>
  <si>
    <t>7464446-3102093200</t>
  </si>
  <si>
    <t>gerencia@soincoips.com</t>
  </si>
  <si>
    <t>110010778217</t>
  </si>
  <si>
    <t>IPS SALUD SURA USAQUEN</t>
  </si>
  <si>
    <t>YANNETH CASTAÑO CASTAÑO</t>
  </si>
  <si>
    <t>CL 119 A # 7 74</t>
  </si>
  <si>
    <t>3178528626</t>
  </si>
  <si>
    <t>rqext@suramericana.com.co / gpgonzalez@sura.com.co</t>
  </si>
  <si>
    <t>110013907101</t>
  </si>
  <si>
    <t>IPS SAN MARTÍN BOGOTÁ SAS</t>
  </si>
  <si>
    <t>MARTIN EMILIO RODRIGUEZ CARDENAS</t>
  </si>
  <si>
    <t>Cr 54 No. 3 28</t>
  </si>
  <si>
    <t>3176577283</t>
  </si>
  <si>
    <t>admon.ipsanmartin@gmail.com</t>
  </si>
  <si>
    <t>110012378101</t>
  </si>
  <si>
    <t>IPS SANANGEL</t>
  </si>
  <si>
    <t>Gilberto Rodriguez Daza</t>
  </si>
  <si>
    <t>calle 25 g 84 a 61</t>
  </si>
  <si>
    <t>2731671 - 7563301 - 3503189977</t>
  </si>
  <si>
    <t>gerenciaadministrativa@proyectarsalud.com</t>
  </si>
  <si>
    <t>110013493701</t>
  </si>
  <si>
    <t>IPS SOLUCIONES MEDICAS EN SALUD S.A.S</t>
  </si>
  <si>
    <t>SANDRA MILENE PARRA MORALES</t>
  </si>
  <si>
    <t>AVENIDA CARRERA 70 # 108-31 PISO 1</t>
  </si>
  <si>
    <t>3115613315 - 3113128460 - 601 7498384</t>
  </si>
  <si>
    <t>administracion@solucionesmedicasips.com</t>
  </si>
  <si>
    <t>110012132306</t>
  </si>
  <si>
    <t>IPS SUR</t>
  </si>
  <si>
    <t>AV CL 9 62 84 CC OUTLET FACTORY LC L 2 23 L 2 24 L 2 25</t>
  </si>
  <si>
    <t>110010778212</t>
  </si>
  <si>
    <t>IPS SURA COUNTRY</t>
  </si>
  <si>
    <t>CR 16 A NO. 84 - 05 PS 3 - 4- 5 y 7</t>
  </si>
  <si>
    <t>6214541 / 3164625445</t>
  </si>
  <si>
    <t>110010778206</t>
  </si>
  <si>
    <t>IPS SURA OLAYA BOGOTA</t>
  </si>
  <si>
    <t>AK 14 # 26 A 79 SUR</t>
  </si>
  <si>
    <t>110010778216</t>
  </si>
  <si>
    <t>IPS SURA PLAZA CENTRAL</t>
  </si>
  <si>
    <t>CR 65 N° 11-50 LC 3-63</t>
  </si>
  <si>
    <t>110010778214</t>
  </si>
  <si>
    <t>IPS SURA PUNTO DE VISTA SANTA BARBARA</t>
  </si>
  <si>
    <t>CR 19 NO. 120 -71 LC 9 EDF BANCO TORRE FALABELA</t>
  </si>
  <si>
    <t>3178528626 - 3164625445 - 6042602100</t>
  </si>
  <si>
    <t>110010778204</t>
  </si>
  <si>
    <t>IPS SURA SANTA BARBARA</t>
  </si>
  <si>
    <t>AK 19 123 52</t>
  </si>
  <si>
    <t>4824601 / 3164625445</t>
  </si>
  <si>
    <t>110013382401</t>
  </si>
  <si>
    <t>IPS TERAPEUTICA INTEGRAL S.A.S</t>
  </si>
  <si>
    <t>Yenny Paola Ortiz Niño</t>
  </si>
  <si>
    <t>KR 71 B # 55 59</t>
  </si>
  <si>
    <t>3173797362 - 6159347</t>
  </si>
  <si>
    <t>ipsterapeuticaintegral@gmail.com</t>
  </si>
  <si>
    <t>110013792801</t>
  </si>
  <si>
    <t>IPS UNIVERSITARIA DE COLOMBIA SAS</t>
  </si>
  <si>
    <t>ISAAC MORENO DE CARO</t>
  </si>
  <si>
    <t>CL 34 # 5 - 89</t>
  </si>
  <si>
    <t>3108731876</t>
  </si>
  <si>
    <t>ipsuniversitariadecolombia@gmail.com</t>
  </si>
  <si>
    <t>110012180401</t>
  </si>
  <si>
    <t>IPS VACUNAR COLOMBIA SAS</t>
  </si>
  <si>
    <t>EDGAR PINEDA ORTIZ</t>
  </si>
  <si>
    <t>CRA 18C No 26 A- 08 Sur Piso 1</t>
  </si>
  <si>
    <t>8041005 - 3106748224</t>
  </si>
  <si>
    <t>vacunarcolombia2014@gmail.com</t>
  </si>
  <si>
    <t>110012285701</t>
  </si>
  <si>
    <t>IPS VIDAMEDICAL BOGOTA LA CASTELLANA</t>
  </si>
  <si>
    <t>MARCO ANTONIO CARDENAS DIAZ</t>
  </si>
  <si>
    <t>CARRERA 49 No 98 - 08</t>
  </si>
  <si>
    <t>3123567146- 3102048383 - 6017435908</t>
  </si>
  <si>
    <t>calidad@vidamedicalips.com.co coordinacion.castellana@vidamedicalips.com.co</t>
  </si>
  <si>
    <t>110014216601</t>
  </si>
  <si>
    <t>IPS VITALWORK SAS</t>
  </si>
  <si>
    <t>MIGUEL LOPEZ GONZALEZ</t>
  </si>
  <si>
    <t>Kr 16 # 60-12</t>
  </si>
  <si>
    <t>3138078180</t>
  </si>
  <si>
    <t>gerencia@ipsvitalwork.com</t>
  </si>
  <si>
    <t>110013874301</t>
  </si>
  <si>
    <t>IPS VST VIDA SALUD Y TRABAJO SAS</t>
  </si>
  <si>
    <t>LUIS FERNANDO OSPINA GARCIA</t>
  </si>
  <si>
    <t>AC 127 # 20-78 CS 705-728</t>
  </si>
  <si>
    <t>3114736402</t>
  </si>
  <si>
    <t>samito323@gmail.com</t>
  </si>
  <si>
    <t>110013783501</t>
  </si>
  <si>
    <t>IPS WELLNESS HEALTH</t>
  </si>
  <si>
    <t>JOSE LEANDRO PATIÑO GONZALEZ</t>
  </si>
  <si>
    <t>AVENIDA CALLE 19 28 80 LOCAL D 3 P4</t>
  </si>
  <si>
    <t>3107617529</t>
  </si>
  <si>
    <t>ipswellnesshealth@gmail.com</t>
  </si>
  <si>
    <t>110013783503</t>
  </si>
  <si>
    <t>IPS WELLNESS HEALTH RESTREPO</t>
  </si>
  <si>
    <t>LUIS MIGUEL CELI TRUJILLO</t>
  </si>
  <si>
    <t>Calle 14Sur # 22 -37 Piso 1 Lc-01</t>
  </si>
  <si>
    <t>auditoriasjdc2023@gmail.com</t>
  </si>
  <si>
    <t>110012262901</t>
  </si>
  <si>
    <t>IPS WTA LATAM SAS</t>
  </si>
  <si>
    <t>SABRINA MORALES ARBELAEZ</t>
  </si>
  <si>
    <t>Av Carrera 19 # 95-55 Consultorio 207 Edificio Torre Platino</t>
  </si>
  <si>
    <t>3104629573</t>
  </si>
  <si>
    <t>calidad@wtaips.com</t>
  </si>
  <si>
    <t>110013078603</t>
  </si>
  <si>
    <t>IPS ZERBIT CENTRO SUBA</t>
  </si>
  <si>
    <t>MARIA EUGENIA HENRIQUEZ CLAROS</t>
  </si>
  <si>
    <t>CALLE 145 # 91-19 CONSULTORIO 12-207</t>
  </si>
  <si>
    <t>3138173199</t>
  </si>
  <si>
    <t>gerenciazerbit@gmail.com</t>
  </si>
  <si>
    <t>110013252603</t>
  </si>
  <si>
    <t>IPS de TODOS KENNEDY CENTRAL</t>
  </si>
  <si>
    <t>Lesly Yuliana Muñoz Gallego</t>
  </si>
  <si>
    <t>CARRERA 78 K SUR 35 - 39</t>
  </si>
  <si>
    <t>3102080918</t>
  </si>
  <si>
    <t>kennedycentral@ipsdetodos.com</t>
  </si>
  <si>
    <t>110013836201</t>
  </si>
  <si>
    <t>IPS. SERVICIOS MEDICOS ESPECIALIZADOS E&amp;P S.A.S.</t>
  </si>
  <si>
    <t>MANUEL ESPAÑA MENDEZ</t>
  </si>
  <si>
    <t>CRA 58 # 90-26 PISO 1</t>
  </si>
  <si>
    <t>3148648793</t>
  </si>
  <si>
    <t>ipsep.sas@gmail.com</t>
  </si>
  <si>
    <t>110010574201</t>
  </si>
  <si>
    <t>IRME</t>
  </si>
  <si>
    <t>RAUL ANDRES RIBERO CALVO</t>
  </si>
  <si>
    <t>CALLE 116 # 9 - 72 CONSULTORIO 712 -713-714</t>
  </si>
  <si>
    <t>4762774-3152741711</t>
  </si>
  <si>
    <t>irme.ltda.dolor@gmail.com</t>
  </si>
  <si>
    <t>110013938901</t>
  </si>
  <si>
    <t>ISAMA SOCIEDAD POR ACCIONES SIMPLIFICADA</t>
  </si>
  <si>
    <t>RAFAEL AUGUSTO MARIÑO CASTRO</t>
  </si>
  <si>
    <t>CL 127 D # 45 60 PISO 1</t>
  </si>
  <si>
    <t>7044648</t>
  </si>
  <si>
    <t>rmarino@isama.com.co</t>
  </si>
  <si>
    <t>110013589401</t>
  </si>
  <si>
    <t>ISE HEALTH SAS</t>
  </si>
  <si>
    <t>MELISSA ALEJANDRA CANO CEDEÑO</t>
  </si>
  <si>
    <t>CR 67 # 167 61 OFC 419</t>
  </si>
  <si>
    <t>3115502851</t>
  </si>
  <si>
    <t>ingridcvarela@gmail.com</t>
  </si>
  <si>
    <t>110012269801</t>
  </si>
  <si>
    <t>ITAL LENT</t>
  </si>
  <si>
    <t>CARLOS ERNESTO LEAL SIERRA</t>
  </si>
  <si>
    <t>CARRERA 13 118 33</t>
  </si>
  <si>
    <t>7454445</t>
  </si>
  <si>
    <t>v-restrepo@ital-lent.com</t>
  </si>
  <si>
    <t>110012273301</t>
  </si>
  <si>
    <t>Iconmédica S A S</t>
  </si>
  <si>
    <t>Dr. Sergio Colmenares Millán</t>
  </si>
  <si>
    <t>Calle 97 # 23- 37 Cons 615</t>
  </si>
  <si>
    <t>320 20 77 257 311 276 5448</t>
  </si>
  <si>
    <t>sercolme@yahoo.com.ar</t>
  </si>
  <si>
    <t>110012149901</t>
  </si>
  <si>
    <t>Insight Psicologia IPS SAS</t>
  </si>
  <si>
    <t>CAMILO ANDRES GOMEZ SERNA</t>
  </si>
  <si>
    <t>CRA 13A NO. 78 38 OF. 201</t>
  </si>
  <si>
    <t>5301400</t>
  </si>
  <si>
    <t>insightpsicologiaips@gmail.com</t>
  </si>
  <si>
    <t>110012151501</t>
  </si>
  <si>
    <t>Instituto Nacional de Demencias Emanuel C.E.</t>
  </si>
  <si>
    <t>carlos andres perez medellin</t>
  </si>
  <si>
    <t>Cll 136 N° 52A 46</t>
  </si>
  <si>
    <t>3022279061-3173650084</t>
  </si>
  <si>
    <t>110012151502</t>
  </si>
  <si>
    <t>Instituto Nacional de Demencias Emanuel SAS</t>
  </si>
  <si>
    <t>Carlos Andrés Pérez Medellín</t>
  </si>
  <si>
    <t>carrera 17 N° 16 - 31 Sur</t>
  </si>
  <si>
    <t>3173650084</t>
  </si>
  <si>
    <t>inde.emanuel@gmail.com</t>
  </si>
  <si>
    <t>110010966606</t>
  </si>
  <si>
    <t>Instituto de Oncologia y Medicina Especializada del Occidente IOMED</t>
  </si>
  <si>
    <t>Edgar Alirio Ruiz Luengas</t>
  </si>
  <si>
    <t>Calle 5 C No. 71 C 59</t>
  </si>
  <si>
    <t>4254620</t>
  </si>
  <si>
    <t>110011829601</t>
  </si>
  <si>
    <t>Instituto llorente medicina preventiva ltda</t>
  </si>
  <si>
    <t>Jorge Enrique Llorente Perez</t>
  </si>
  <si>
    <t>Diagonal 54 # 16 a 10</t>
  </si>
  <si>
    <t>2171200</t>
  </si>
  <si>
    <t>asist.gerencia.llorente@gmail.com</t>
  </si>
  <si>
    <t>110013367101</t>
  </si>
  <si>
    <t>Instituto para las Neurociencias y la Salud IN&amp;S SAS</t>
  </si>
  <si>
    <t>María Cristina Pinto Dussán</t>
  </si>
  <si>
    <t>Calle 66 #11-50 Piso 6 Edificio Villorio - Office</t>
  </si>
  <si>
    <t>601-8418995</t>
  </si>
  <si>
    <t>institutonys@gmail.com</t>
  </si>
  <si>
    <t>110012069701</t>
  </si>
  <si>
    <t>Intituto Piel Renaissence</t>
  </si>
  <si>
    <t>Claudia Constanza Camacho Perez</t>
  </si>
  <si>
    <t>CL 93 B # 11 A 84 PI 4 LC 403</t>
  </si>
  <si>
    <t>3378912 -3133499734 - 3108562016</t>
  </si>
  <si>
    <t>instituto-piel@hotmail.com</t>
  </si>
  <si>
    <t>110012501601</t>
  </si>
  <si>
    <t>Ips Anmediprev LTDA</t>
  </si>
  <si>
    <t>Manyury Katherine Leal Fonseca</t>
  </si>
  <si>
    <t>avenida Carrera 30 # 22 c 32 local 14-15</t>
  </si>
  <si>
    <t>6017552549 - 3115530524</t>
  </si>
  <si>
    <t>ipsanmediprevgerencia@gmail.com</t>
  </si>
  <si>
    <t>110013570201</t>
  </si>
  <si>
    <t>Ips Santa Maria S.A.S</t>
  </si>
  <si>
    <t>Carmen Lucia Castillo Pulido</t>
  </si>
  <si>
    <t>AV Carrera 19 numero 102-53 Oficina 513</t>
  </si>
  <si>
    <t>8051917-3133170414-3163999889</t>
  </si>
  <si>
    <t>ipsterapiassantamaria@gmail.com</t>
  </si>
  <si>
    <t>110013859301</t>
  </si>
  <si>
    <t>JAASIEL ATENCION INTEGRAL IPS SAS</t>
  </si>
  <si>
    <t>HECTOR ELIESER VASQUEZ LEDESMA</t>
  </si>
  <si>
    <t>CR 13 No. 63 - 39 Cs 308</t>
  </si>
  <si>
    <t>3124796911</t>
  </si>
  <si>
    <t>jaasielsas1@gmail.com</t>
  </si>
  <si>
    <t>110013988701</t>
  </si>
  <si>
    <t>JACQUES CLINICA SEXUAL MASCULINA S.A.S Sigla: Jacques</t>
  </si>
  <si>
    <t>PEDRO JAIME LEGUIZAMON LUGO</t>
  </si>
  <si>
    <t>CARRERA 23 # 124-87 TORRE 2 CONSULTORIO 702</t>
  </si>
  <si>
    <t>3057228657</t>
  </si>
  <si>
    <t>jacquesmedicalcenter@gmail.com</t>
  </si>
  <si>
    <t>110013097004</t>
  </si>
  <si>
    <t>JARBSALUD IPS</t>
  </si>
  <si>
    <t>CALLE 33 N. 15-51 CS 101</t>
  </si>
  <si>
    <t>3835853</t>
  </si>
  <si>
    <t>jarbsaludgerencia@gmail.com</t>
  </si>
  <si>
    <t>110010919912</t>
  </si>
  <si>
    <t>JAVESALUD ALLIANZ</t>
  </si>
  <si>
    <t>Carrera 19 N 102-31</t>
  </si>
  <si>
    <t>110010919913</t>
  </si>
  <si>
    <t>JAVESALUD ALLIANZ SALITRE</t>
  </si>
  <si>
    <t>CARRERA 46 No 22 B - 20 LOCAL 04</t>
  </si>
  <si>
    <t>110010919904</t>
  </si>
  <si>
    <t>JAVESALUD JAVERIANA</t>
  </si>
  <si>
    <t>AK 7 40B 17</t>
  </si>
  <si>
    <t>110010919907</t>
  </si>
  <si>
    <t>JAVESALUD SANTA BEATRIZ</t>
  </si>
  <si>
    <t>Avenida Carrera 45 No. 123-60 (Única Dirección) Piso 1: Local 106- Entrada Costado Sur- Al lado de Cruz Verde y Piso 5. Ingreso por el Lobby del piso 2.</t>
  </si>
  <si>
    <t>110010919901</t>
  </si>
  <si>
    <t>JAVESALUD TOBERIN</t>
  </si>
  <si>
    <t>KR 19 B # 166 96</t>
  </si>
  <si>
    <t>110012692001</t>
  </si>
  <si>
    <t>JAVIER MARQUEZ FABRICA DE SONRISAS</t>
  </si>
  <si>
    <t>JAVIER ALONSO MARQUEZ GARCIA</t>
  </si>
  <si>
    <t>AV CALLE 26 No. 68 C - 61 LOCAL 1-15 EDIF TORRE CENTRAL</t>
  </si>
  <si>
    <t>7031333</t>
  </si>
  <si>
    <t>alonmarquez@yahoo.com</t>
  </si>
  <si>
    <t>110013634701</t>
  </si>
  <si>
    <t>JCH ADVANCE SAS</t>
  </si>
  <si>
    <t>Cr 18 80 32 P2 Cs 212 214, P4 Cs 410 411</t>
  </si>
  <si>
    <t>3102167 - 3102409383</t>
  </si>
  <si>
    <t>1100110816</t>
  </si>
  <si>
    <t>JGC MEDISERVICIOS LTDA</t>
  </si>
  <si>
    <t>GOMEZ CUSNIR JORGE EUGENIO</t>
  </si>
  <si>
    <t>CARRERA 52 NO 67 A - 71 CONSULTORIO 212</t>
  </si>
  <si>
    <t>6233368</t>
  </si>
  <si>
    <t>jgcmediservicios6@gmail.com</t>
  </si>
  <si>
    <t>110013955501</t>
  </si>
  <si>
    <t>JL502 SAS SIGLA: CLINICASIMETRY</t>
  </si>
  <si>
    <t>JOSE IGNACIO OSORIO CARMONA</t>
  </si>
  <si>
    <t>CRA. 23 No. 124 - 87 TORRE 2 CONS 502</t>
  </si>
  <si>
    <t>3013717485</t>
  </si>
  <si>
    <t>admin@osoriomaxilo.com</t>
  </si>
  <si>
    <t>110013796401</t>
  </si>
  <si>
    <t>JM HEALTH GROUP SAS</t>
  </si>
  <si>
    <t>CLAUDIA PATRICIA MUELLE PLAZAS</t>
  </si>
  <si>
    <t>CALLE 77 58 23 PISO 1</t>
  </si>
  <si>
    <t>3136543518</t>
  </si>
  <si>
    <t>jmhealthips@gmail.com</t>
  </si>
  <si>
    <t>110014328601</t>
  </si>
  <si>
    <t>JOSE LUIS ESCOBAR IPS S.A.S.</t>
  </si>
  <si>
    <t>JOSE LUIS ESCOBAR ESTUPIÑAN</t>
  </si>
  <si>
    <t>CR 7 C BIS # 139 - 18 OF 403</t>
  </si>
  <si>
    <t>3132368924</t>
  </si>
  <si>
    <t>ipsjoseluisescobar@gmail.com</t>
  </si>
  <si>
    <t>110013858001</t>
  </si>
  <si>
    <t>JR DIAGNOSTIC IPS</t>
  </si>
  <si>
    <t>Carlos Augusto Jaramillo Ramirez</t>
  </si>
  <si>
    <t>Avenida Calle 9 50 15 Local C 1061, C 1062, C 1063, C 1064, C1067</t>
  </si>
  <si>
    <t>3002080609</t>
  </si>
  <si>
    <t>gerencia@jrdiagnostic.com</t>
  </si>
  <si>
    <t>110014038301</t>
  </si>
  <si>
    <t>JSPORTMEDICINE - MEDICINA DE LA ACTIVIDAD FISICA Y DEL DEPORTE SAS</t>
  </si>
  <si>
    <t>Juan Sebastian Carvajal Arias</t>
  </si>
  <si>
    <t>CRA 7 Bis # 124 - 56 CONS 402</t>
  </si>
  <si>
    <t>3115507375</t>
  </si>
  <si>
    <t>jsmsportmedicine@gmail.com</t>
  </si>
  <si>
    <t>1100108184</t>
  </si>
  <si>
    <t>JUAN BAUTISTA SALUD OCUPACIONAL SAS</t>
  </si>
  <si>
    <t>MARIA CRISTINA ORJUELA GAMBA</t>
  </si>
  <si>
    <t>AK 30 No 46 86 / 90</t>
  </si>
  <si>
    <t>744 40 03</t>
  </si>
  <si>
    <t>gerencia@ocupacionaljb.com</t>
  </si>
  <si>
    <t>www.ocupacionaljb.com</t>
  </si>
  <si>
    <t>110010919917</t>
  </si>
  <si>
    <t>Javesalud Country</t>
  </si>
  <si>
    <t>Calle 85#16-29 Local 105 B</t>
  </si>
  <si>
    <t>110011452401</t>
  </si>
  <si>
    <t>KALIL &amp; CABALLERO ODONTOLOGOS SAS</t>
  </si>
  <si>
    <t>ANA MARIA CABALLERO DURAN</t>
  </si>
  <si>
    <t>CARRERA 23 # 124 - 70 COS 602</t>
  </si>
  <si>
    <t>6371909-6298497</t>
  </si>
  <si>
    <t>correo@kycodontologos.com</t>
  </si>
  <si>
    <t>110012916301</t>
  </si>
  <si>
    <t>KLINIMEQX 147</t>
  </si>
  <si>
    <t>OSCAR JAVIER SANDOVAL ESTUPIÑAN</t>
  </si>
  <si>
    <t>AC 147 # 19 50 LOCAL 6 Y 31</t>
  </si>
  <si>
    <t>2743087 - 7048865 - 3106661949</t>
  </si>
  <si>
    <t>pilileivag@hotmail.com</t>
  </si>
  <si>
    <t>110013886201</t>
  </si>
  <si>
    <t>KOA DEPIL IPS ESTHETIC S.A.S</t>
  </si>
  <si>
    <t>JAVIER ALEXANDER GOMEZ FIGUEROA</t>
  </si>
  <si>
    <t>Transversal 25 57 07 Piso 1</t>
  </si>
  <si>
    <t>3112345121</t>
  </si>
  <si>
    <t>calidadkoa@gmail.com</t>
  </si>
  <si>
    <t>110013540601</t>
  </si>
  <si>
    <t>KOM CARE IPS S.A.S. Sigla KOM CARE IPS S.A.S.</t>
  </si>
  <si>
    <t>Andres Mauricio Zapata Garzon</t>
  </si>
  <si>
    <t>Cr 11 A #98-50 P6</t>
  </si>
  <si>
    <t>3134636856</t>
  </si>
  <si>
    <t>reportes@komcareips.com.co</t>
  </si>
  <si>
    <t>1100119864</t>
  </si>
  <si>
    <t>L I SPA VIVIR NEW STETIC I P S LTDA</t>
  </si>
  <si>
    <t>IRIS MARGOTH ALARCON MENJURA</t>
  </si>
  <si>
    <t>CL 53 # 73 62 PI 2</t>
  </si>
  <si>
    <t>4109574</t>
  </si>
  <si>
    <t>iris_alarcon@hotmail.com</t>
  </si>
  <si>
    <t>110014202801</t>
  </si>
  <si>
    <t>L'ESSENCE BEAUTY CENTER SAS</t>
  </si>
  <si>
    <t>GABRIEL ANDRES BARRERA RAMIREZ</t>
  </si>
  <si>
    <t>CALLE 127 A 7 19 CONS 606-607</t>
  </si>
  <si>
    <t>3138894984</t>
  </si>
  <si>
    <t>doctores606.admon@gmail.com</t>
  </si>
  <si>
    <t>110013220301</t>
  </si>
  <si>
    <t>LA CAROLINA MEDICAL IPS</t>
  </si>
  <si>
    <t>SANTIAGO IDARRAGA ALVAREZ</t>
  </si>
  <si>
    <t>KR 14 #127-11 CS 406-502-503-509-603</t>
  </si>
  <si>
    <t>3123917392- 6581605</t>
  </si>
  <si>
    <t>s.idarraga@lacarolinamedical.com</t>
  </si>
  <si>
    <t>110013220302</t>
  </si>
  <si>
    <t>LA CAROLINA MEDICAL IPS - CONSULTA EXTERNA</t>
  </si>
  <si>
    <t>SANTIAGO IDÁRRAGA ÁLVAREZ</t>
  </si>
  <si>
    <t>CALLE 127 # 14 - 54 OF 602</t>
  </si>
  <si>
    <t>3907147 - 3503189966</t>
  </si>
  <si>
    <t>110013220304</t>
  </si>
  <si>
    <t>LA CAROLINA MEDICAL IPS - SEDE CALLE 104</t>
  </si>
  <si>
    <t>Avenida Carrera 45 104A - 97</t>
  </si>
  <si>
    <t>6013907147</t>
  </si>
  <si>
    <t>110013220305</t>
  </si>
  <si>
    <t>LA CAROLINA MEDICAL IPS-SEDE CENTRO MAYOR</t>
  </si>
  <si>
    <t>CL 38 A SUR # 34 D 51 LOCAL 1-134 PISO 1 Unidad de gastroenterología</t>
  </si>
  <si>
    <t>601 3907147 3503189966</t>
  </si>
  <si>
    <t>110011909504</t>
  </si>
  <si>
    <t>LA CASTELLANA</t>
  </si>
  <si>
    <t>CRA 46 # 94-17</t>
  </si>
  <si>
    <t>4431360 3508063029</t>
  </si>
  <si>
    <t>fundasuvicol@gmail.com</t>
  </si>
  <si>
    <t>110013916002</t>
  </si>
  <si>
    <t>LA CLINICA DENTAL SALITRE</t>
  </si>
  <si>
    <t>ARTURO MENDEZ GARCIA</t>
  </si>
  <si>
    <t>CARRERA 68 D 25B 86 CONSULTORIO 816</t>
  </si>
  <si>
    <t>3015738870</t>
  </si>
  <si>
    <t>contabilidad@laclinicadental.com.co</t>
  </si>
  <si>
    <t>110013916001</t>
  </si>
  <si>
    <t>LA CLINICA DENTAL SAS</t>
  </si>
  <si>
    <t>RUBY MILENA PAEZ SUAREZ</t>
  </si>
  <si>
    <t>Cr 18 No. 82 39 Cs 606</t>
  </si>
  <si>
    <t>3115023907</t>
  </si>
  <si>
    <t>mgarcia@dentalnetwork.com.mx</t>
  </si>
  <si>
    <t>1100105227</t>
  </si>
  <si>
    <t>LA FONT S.A.S.</t>
  </si>
  <si>
    <t>PEDROZA CAMPO FERNANDO</t>
  </si>
  <si>
    <t>CRA 16 N 86B 52 P2 Of 202-203-204 p 3 Area Quirurgica P4 Cs 1 y 2</t>
  </si>
  <si>
    <t>5938150</t>
  </si>
  <si>
    <t>calidad@lafontcirugiaestetica.com</t>
  </si>
  <si>
    <t>www.lafont.com.co</t>
  </si>
  <si>
    <t>110014131601</t>
  </si>
  <si>
    <t>LAB EXPERT SAS</t>
  </si>
  <si>
    <t>ANA MARIA TRIANA GARBIRAS</t>
  </si>
  <si>
    <t>Cl 120A # 7 - 36 Of 301</t>
  </si>
  <si>
    <t>3008536456</t>
  </si>
  <si>
    <t>amtriana@gmail.com</t>
  </si>
  <si>
    <t>1100105606</t>
  </si>
  <si>
    <t>LABINTOX S.A.S</t>
  </si>
  <si>
    <t>ROZO DE MARTENS MARIA DOLORES</t>
  </si>
  <si>
    <t>CALLE 134 BIS No. 18-43 - Barrio:CONTADOR</t>
  </si>
  <si>
    <t>3099174 - 3099175 - 3099176</t>
  </si>
  <si>
    <t>labintox@hotmail.com</t>
  </si>
  <si>
    <t>110010560604</t>
  </si>
  <si>
    <t>LABINTOX S.A.S SEDE OLAYA CALLE 27 SUR</t>
  </si>
  <si>
    <t>Maria Dolores Rozo de Martens</t>
  </si>
  <si>
    <t>CALLE 27 SUR N 14-39 CONSULTORIO 102-301-302</t>
  </si>
  <si>
    <t>2392210</t>
  </si>
  <si>
    <t>110010560605</t>
  </si>
  <si>
    <t>LABINTOX S.A.S SEDE TEUSAQUILLO</t>
  </si>
  <si>
    <t>Dra. Lola de Martens</t>
  </si>
  <si>
    <t>Av. Caracas 31B - 19 CONSULTORIO 101-203</t>
  </si>
  <si>
    <t>2456810</t>
  </si>
  <si>
    <t>110010709108</t>
  </si>
  <si>
    <t>LABOIRATORIO DE INVESTIGACION HORMONAL LIH S.A. SEDE COUNTRY</t>
  </si>
  <si>
    <t>GLORIA LILIANA MARTINEZ MERIZALDE</t>
  </si>
  <si>
    <t>CARRERA 16 NO. 84 A -09 CONSULTORIO 613</t>
  </si>
  <si>
    <t>3212319606 - 3009517293</t>
  </si>
  <si>
    <t>calidad@lablih.net</t>
  </si>
  <si>
    <t>110010397305</t>
  </si>
  <si>
    <t>LABOPAT SAS COUNTRY</t>
  </si>
  <si>
    <t>ANDRES REYES JARAMILLO</t>
  </si>
  <si>
    <t>KR 16 # 82 74 CS 615</t>
  </si>
  <si>
    <t>4672111</t>
  </si>
  <si>
    <t>laboratorio@labopat.com.co</t>
  </si>
  <si>
    <t>110010397304</t>
  </si>
  <si>
    <t>LABOPAT SAS HORIZONTE</t>
  </si>
  <si>
    <t>AV. CALLE 127 No. 20-78 CONSULTORIO 323</t>
  </si>
  <si>
    <t>3905326-3153626293</t>
  </si>
  <si>
    <t>110010397306</t>
  </si>
  <si>
    <t>LABOPAT SAS MARLY</t>
  </si>
  <si>
    <t>Calle 50 No. 8-27 CONSULTORIO 501</t>
  </si>
  <si>
    <t>3906305</t>
  </si>
  <si>
    <t>1100103973</t>
  </si>
  <si>
    <t>LABOPAT SAS Y/O LABOPAT LABORATORIO CLINICO PATOLOGIA Y CITOLOGIA SAS</t>
  </si>
  <si>
    <t>JARAMILLO HOYOS BEATRIZ HELENA</t>
  </si>
  <si>
    <t>CARRERA 13A No. 96-83 Piso 2 y 3</t>
  </si>
  <si>
    <t>7452555-3153626293</t>
  </si>
  <si>
    <t>WWW.LABOPAT.COM.CO</t>
  </si>
  <si>
    <t>110012671601</t>
  </si>
  <si>
    <t>LABORAL HEALTH SAS</t>
  </si>
  <si>
    <t>JOSE GIOVANNI QUIJANO GALVIS</t>
  </si>
  <si>
    <t>CL 118 # 19 - 09 CS 201</t>
  </si>
  <si>
    <t>3183036267</t>
  </si>
  <si>
    <t>jgquijano@laboralhealth.com</t>
  </si>
  <si>
    <t>1100106516</t>
  </si>
  <si>
    <t>LABORATORIO BIOCLINICO GOMEZ VESGA G V S.A.S. SIGLA LABORATORIO CLINICO GOMEZ VESGA</t>
  </si>
  <si>
    <t>GOMEZ PARDO EUGENIA</t>
  </si>
  <si>
    <t>AV CRA 7 No. 119-14 LOCAL 104 A Barrio: Usaquen</t>
  </si>
  <si>
    <t>www.labgomezvesga.com</t>
  </si>
  <si>
    <t>110010918622</t>
  </si>
  <si>
    <t>LABORATORIO CENTRAL DE REFERENCIA</t>
  </si>
  <si>
    <t>KR 69 C # 99 - 45 BODEGA 1</t>
  </si>
  <si>
    <t>6058600 Ext. 109</t>
  </si>
  <si>
    <t>110010918677</t>
  </si>
  <si>
    <t>LABORATORIO CENTRO MEDICO CEDRO BOLIVAR</t>
  </si>
  <si>
    <t>Calle 152 19 28 Piso 2 Int. 202</t>
  </si>
  <si>
    <t>110010918639</t>
  </si>
  <si>
    <t>LABORATORIO CENTRO MEDICO KENNEDY</t>
  </si>
  <si>
    <t>CL 42 SUR 78K 30 PI 2 IN 1</t>
  </si>
  <si>
    <t>5895478</t>
  </si>
  <si>
    <t>110010918674</t>
  </si>
  <si>
    <t>LABORATORIO CENTRO MEDICO PLAZA DE LAS AMERICAS</t>
  </si>
  <si>
    <t>CR 71 D # 6 94 SUR LC 4002 LABORATORIO CC PLAZA DE LAS AMERICAS</t>
  </si>
  <si>
    <t>(57 1) 5895482</t>
  </si>
  <si>
    <t>110010918637</t>
  </si>
  <si>
    <t>LABORATORIO CENTRO MEDICO TUNAL</t>
  </si>
  <si>
    <t>DG 52A SUR 25 16 P1 INT 1</t>
  </si>
  <si>
    <t>3173688079</t>
  </si>
  <si>
    <t>110011792201</t>
  </si>
  <si>
    <t>LABORATORIO CLINICO ALIANZA</t>
  </si>
  <si>
    <t>JOHANNA EILEEN TELLEZ SIERRA</t>
  </si>
  <si>
    <t>CL 63 # 24 44 CS 206 208</t>
  </si>
  <si>
    <t>2119214</t>
  </si>
  <si>
    <t>Gerenciaalianzaexamenes@gmail.com</t>
  </si>
  <si>
    <t>1100112336</t>
  </si>
  <si>
    <t>LABORATORIO CLINICO BIOLAB SAS</t>
  </si>
  <si>
    <t>LINA ALEJANDRA CRUZ GOMEZ</t>
  </si>
  <si>
    <t>Cra 45a # 95-70 interior 1</t>
  </si>
  <si>
    <t>8077011</t>
  </si>
  <si>
    <t>calidad@laboratorioclinicobiolab.com</t>
  </si>
  <si>
    <t>WWW.LABORATORIOCLINICOBIOLAB.COM</t>
  </si>
  <si>
    <t>1100107411</t>
  </si>
  <si>
    <t>LABORATORIO CLINICO DE MARLY DANIEL GAMBOA S.A.S</t>
  </si>
  <si>
    <t>GAMBOA GALVIS DANIEL</t>
  </si>
  <si>
    <t>CALLE 45 # 6-58 LOCAL 6</t>
  </si>
  <si>
    <t>2454906</t>
  </si>
  <si>
    <t>info@laboratoriomarly.com</t>
  </si>
  <si>
    <t>110010741101</t>
  </si>
  <si>
    <t>LABORATORIO CLINICO DE MARLY DANIEL GAMBOA SEDE CHAPINERO</t>
  </si>
  <si>
    <t>CLAUDIA IVONNE PERILLA DIAZ</t>
  </si>
  <si>
    <t>gerencia@laboratoriomarly.com</t>
  </si>
  <si>
    <t>110010918679</t>
  </si>
  <si>
    <t>LABORATORIO CLINICO DIAGNOSTICO GENETICO Y MOLECULAR KERALTY</t>
  </si>
  <si>
    <t>Cl 125 19 67</t>
  </si>
  <si>
    <t>110012183204</t>
  </si>
  <si>
    <t>LABORATORIO CLINICO SIES SALUD</t>
  </si>
  <si>
    <t>Álvaro Puerto Valencia</t>
  </si>
  <si>
    <t>Calle 25 G N° 96 B-60 P 5</t>
  </si>
  <si>
    <t>6017435288-3153325961-3103278789</t>
  </si>
  <si>
    <t>garantia_delacalidad@sies.com.co</t>
  </si>
  <si>
    <t>110010918657</t>
  </si>
  <si>
    <t>LABORATORIO CLÍNICO SANITAS CALLE 103</t>
  </si>
  <si>
    <t>AK 45 NO. 103 B- 03 P1</t>
  </si>
  <si>
    <t>5895482</t>
  </si>
  <si>
    <t>110010918658</t>
  </si>
  <si>
    <t>LABORATORIO CLÍNICO SANITAS CALLE 106</t>
  </si>
  <si>
    <t>CL 106 NO 19 - 19 PISO 1 INTERIOR 1</t>
  </si>
  <si>
    <t>110010918660</t>
  </si>
  <si>
    <t>LABORATORIO CLÍNICO SANITAS FONTIBÓN</t>
  </si>
  <si>
    <t>CR 96 H 16 J 04 - P 1 INTERIOR 1</t>
  </si>
  <si>
    <t>5895383</t>
  </si>
  <si>
    <t>110013807701</t>
  </si>
  <si>
    <t>LABORATORIO DE CITOHISTOPATOLOGIA SAS SIGLA CITOHISPAT SAS</t>
  </si>
  <si>
    <t>JORGE ALEXANDER CAMPOS BELLO</t>
  </si>
  <si>
    <t>Cra 9 # 49-42 Cons 603</t>
  </si>
  <si>
    <t>3102174344</t>
  </si>
  <si>
    <t>citohpatologia@gmail.com</t>
  </si>
  <si>
    <t>110011794601</t>
  </si>
  <si>
    <t>LABORATORIO DE CITOLOGIA Y PATOLOGIA EU Dra. Johanna Garavito Mazutier</t>
  </si>
  <si>
    <t>Johanna Garavito Mazutier</t>
  </si>
  <si>
    <t>Cra 18 No. 79-46 Cosultorio 403 Piso 4</t>
  </si>
  <si>
    <t>300 412 92 69 - 300 368 7674</t>
  </si>
  <si>
    <t>lapacitltda@hotmail.com</t>
  </si>
  <si>
    <t>110011813101</t>
  </si>
  <si>
    <t>LABORATORIO DE CITOPATOLOGIA Y PATOLOGIA LTDA CITOMAP</t>
  </si>
  <si>
    <t>CL 45 C 21 A 33 CS 505</t>
  </si>
  <si>
    <t>2953154</t>
  </si>
  <si>
    <t>citoalex@yahoo.es</t>
  </si>
  <si>
    <t>110010457001</t>
  </si>
  <si>
    <t>LABORATORIO DE GENETICA Y BIOLOGIA MOLECULAR</t>
  </si>
  <si>
    <t>HUMBERTO OSSA REYES</t>
  </si>
  <si>
    <t>AC 134 No 7B - 83 - Consultorio 123</t>
  </si>
  <si>
    <t>8052971 - 6257383</t>
  </si>
  <si>
    <t>ccalidad@genetica.com</t>
  </si>
  <si>
    <t>1100104570</t>
  </si>
  <si>
    <t>LABORATORIO DE GENETICA Y BIOLOGIA MOLECULAR LTDA</t>
  </si>
  <si>
    <t>OSSA REYES HUMBERTO</t>
  </si>
  <si>
    <t>AC 134 No 7B - 83 Consultorio 123</t>
  </si>
  <si>
    <t>aossat@genetica.com.co - ccalidad@genetica.com</t>
  </si>
  <si>
    <t>110010909805</t>
  </si>
  <si>
    <t>LABORATORIO DE IDENTIFICACION HUMANA</t>
  </si>
  <si>
    <t>AVENIDA CIRCUNVALAR No 60 -00 BLOQUE B</t>
  </si>
  <si>
    <t>110010709111</t>
  </si>
  <si>
    <t>LABORATORIO DE INVESTIGACION HORMONAL LIH S.A SEDE CENTRO INTERNACIONAL</t>
  </si>
  <si>
    <t>CARRERA 13A 34-55 OFC. 101</t>
  </si>
  <si>
    <t>3212319606 - 3214682416</t>
  </si>
  <si>
    <t>110010709101</t>
  </si>
  <si>
    <t>LABORATORIO DE INVESTIGACION HORMONAL LIH S.A.</t>
  </si>
  <si>
    <t>Carrera 21 # 166 - 77 piso 1 Y 2 / 81 piso 1</t>
  </si>
  <si>
    <t>3212319606 - 3014956667</t>
  </si>
  <si>
    <t>110010709102</t>
  </si>
  <si>
    <t>LABORATORIO DE INVESTIGACION HORMONAL LIH S.A. SEDE BOSQUE</t>
  </si>
  <si>
    <t>CALLE 134 No 7B-83 cons 420</t>
  </si>
  <si>
    <t>3212319606 - 3009517286</t>
  </si>
  <si>
    <t>110010709104</t>
  </si>
  <si>
    <t>LABORATORIO DE INVESTIGACION HORMONAL LIH S.A. SEDE MARLY</t>
  </si>
  <si>
    <t>CALLE 50 N. 8-24 CONSULTORIOS 306-307</t>
  </si>
  <si>
    <t>3009517287 - 3212319606</t>
  </si>
  <si>
    <t>110010709109</t>
  </si>
  <si>
    <t>LABORATORIO DE INVESTIGACION HORMONAL LIH S.A. SEDE SALITRE</t>
  </si>
  <si>
    <t>AVENIDA CALLE 24 # 69 C - 17 LOCAL 1</t>
  </si>
  <si>
    <t>3212319606 - 3009517297</t>
  </si>
  <si>
    <t>1100107091</t>
  </si>
  <si>
    <t>LABORATORIO DE INVESTIGACIÓN HORMONAL LIH S.A.</t>
  </si>
  <si>
    <t>GLADYS JUDITH LAVERDE DE ARBELAEZ</t>
  </si>
  <si>
    <t>www.lablih.net</t>
  </si>
  <si>
    <t>110010709115</t>
  </si>
  <si>
    <t>LABORATORIO DE INVESTIGACIÓN HORMONAL LIH S.A. PASADENA 106</t>
  </si>
  <si>
    <t>CALLE 106 # 56 - 41 CONSULTORIO 201 EDIFICIO CIENTO6</t>
  </si>
  <si>
    <t>3212319606 - 3024082711</t>
  </si>
  <si>
    <t>110010709116</t>
  </si>
  <si>
    <t>LABORATORIO DE INVESTIGACIÓN HORMONAL LIH S.A. SEDE CMC</t>
  </si>
  <si>
    <t>Carrera 19 A # 82- 85 CONSULTORIO 223</t>
  </si>
  <si>
    <t>3212319606 - 3015406458</t>
  </si>
  <si>
    <t>110010709117</t>
  </si>
  <si>
    <t>LABORATORIO DE INVESTIGACIÓN HORMONAL LIH S.A. SEDE SANTA BARBARA</t>
  </si>
  <si>
    <t>CARRERA 7 # 121-95</t>
  </si>
  <si>
    <t>3212319606 - 3009517285</t>
  </si>
  <si>
    <t>110010709119</t>
  </si>
  <si>
    <t>LABORATORIO DE INVESTIGACIÓN HORMONAL LIH S.A. SEDE UNICENTRO</t>
  </si>
  <si>
    <t>CALLE 127 # 14-12</t>
  </si>
  <si>
    <t>3212319606 - 3009517283</t>
  </si>
  <si>
    <t>110010709120</t>
  </si>
  <si>
    <t>LABORATORIO DE INVESTIGACIÓN HORMONAL LIH SEDE AMERICAS</t>
  </si>
  <si>
    <t>CALLE 6 A N° 70 - 26</t>
  </si>
  <si>
    <t>3212319606 - 3015406465</t>
  </si>
  <si>
    <t>1100109409</t>
  </si>
  <si>
    <t>LABORATORIO DE ORTESIS Y PROTESIS GILETE Y CIA. LIMITADA</t>
  </si>
  <si>
    <t>ROJAS BERNAL ALBA LUCIA</t>
  </si>
  <si>
    <t>CALLE 33A # 13 55 1ER PISO ÁREA DE REHABILITACIÓN Y CONSULTORIOS</t>
  </si>
  <si>
    <t>7470812-3103049422</t>
  </si>
  <si>
    <t>analista.gerencia@laboratorio-gilete.com</t>
  </si>
  <si>
    <t>www.laboratorio-gilete.com</t>
  </si>
  <si>
    <t>1100101995</t>
  </si>
  <si>
    <t>LABORATORIO DE OTONEUROLOGIA - INSTITUTO NACIONAL DE OTOLOGIA GARCIA GOMEZ SAS</t>
  </si>
  <si>
    <t>AV. CR 9 NO 116 - 20 CONSULTORIO. 219 Y 219 A</t>
  </si>
  <si>
    <t>3143168254-3161689</t>
  </si>
  <si>
    <t>110011340602</t>
  </si>
  <si>
    <t>LABORATORIO ENLACE LAB</t>
  </si>
  <si>
    <t>CL 120A 7 48</t>
  </si>
  <si>
    <t>7028413-3173313803</t>
  </si>
  <si>
    <t>laura.fagua@enlacelabcolombia.com</t>
  </si>
  <si>
    <t>110010918656</t>
  </si>
  <si>
    <t>LABORATORIO KERALTY RESTREPO</t>
  </si>
  <si>
    <t>CLL 22 SUR 19 C 15</t>
  </si>
  <si>
    <t>110010918662</t>
  </si>
  <si>
    <t>LABORATORIO KERALTY SALITRE</t>
  </si>
  <si>
    <t>KR 68A 24 B 10 TO 3, PI 3, IN 1</t>
  </si>
  <si>
    <t>110010918680</t>
  </si>
  <si>
    <t>LABORATORIO KERALTY SANTA BARBARA</t>
  </si>
  <si>
    <t>Calle 114 6 A 92 Piso 2, Local 227</t>
  </si>
  <si>
    <t>110010918603</t>
  </si>
  <si>
    <t>LABORATORIO KERALTY SUBA</t>
  </si>
  <si>
    <t>AC 145 103 B 69 CC AL PASO LC 504</t>
  </si>
  <si>
    <t>110010918648</t>
  </si>
  <si>
    <t>LABORATORIO KERALTY TOBERIN</t>
  </si>
  <si>
    <t>CR 21 166 53 LC 1 Y 2</t>
  </si>
  <si>
    <t>5895469</t>
  </si>
  <si>
    <t>1100112848</t>
  </si>
  <si>
    <t>LABORATORIO MEDICO ECHAVARRIA S.A.S</t>
  </si>
  <si>
    <t>MARTIN EMILIOR ROMERO PRADA</t>
  </si>
  <si>
    <t>CR 44 # 20 A 05</t>
  </si>
  <si>
    <t>3222579847</t>
  </si>
  <si>
    <t>gescalidad@labechavarria.com</t>
  </si>
  <si>
    <t>www.laboratorioechavarria.com</t>
  </si>
  <si>
    <t>1100104321</t>
  </si>
  <si>
    <t>LABORATORIO PATOLOGICO DR. J. HERNAN ZARATE GALEANO LTDA</t>
  </si>
  <si>
    <t>MARGARITA CLAUDIA AREVALO ALONSO</t>
  </si>
  <si>
    <t>KR. 19 C Nº 90-14 CS. 501</t>
  </si>
  <si>
    <t>6103925</t>
  </si>
  <si>
    <t>labpat.hzarate@live.com</t>
  </si>
  <si>
    <t>110010918682</t>
  </si>
  <si>
    <t>LABORATORIO SERVICIO MEDICO EMPRESARIAL</t>
  </si>
  <si>
    <t>Carrera 5 20 89 Local 103 Interior A</t>
  </si>
  <si>
    <t>6015895482</t>
  </si>
  <si>
    <t>110010918628</t>
  </si>
  <si>
    <t>LABORATORIO TEUSAQUILLO</t>
  </si>
  <si>
    <t>CLL 31 B # 14 - 26 PI 2 IN 1</t>
  </si>
  <si>
    <t>5895482 5895494 Ext 5718972</t>
  </si>
  <si>
    <t>1100101582</t>
  </si>
  <si>
    <t>LABORATORIO VASCULAR ECOLAB Y COMPAÑIA LIMITADA</t>
  </si>
  <si>
    <t>VICTOR GUILLERMO BRETON MARTINEZ</t>
  </si>
  <si>
    <t>KR 18 # 84 11 CS 603</t>
  </si>
  <si>
    <t>6016100818</t>
  </si>
  <si>
    <t>info@ecolab.net.co</t>
  </si>
  <si>
    <t>110012734604</t>
  </si>
  <si>
    <t>LABORATORIO VEJARANO IPS SEDE CALLE 84</t>
  </si>
  <si>
    <t>DIANA CAROLINA LINARES FUENTE</t>
  </si>
  <si>
    <t>CRA 11 # 84 A-18</t>
  </si>
  <si>
    <t>3155125187 -6028353815</t>
  </si>
  <si>
    <t>GERENCIA@LORENAVEJARANO.COM</t>
  </si>
  <si>
    <t>110012734601</t>
  </si>
  <si>
    <t>LABORATORIO VEJARANO IPS SEDE CENTRAL DE PROCESO BOGOTA</t>
  </si>
  <si>
    <t>DIANA CAROLINA LINARES FUENTES</t>
  </si>
  <si>
    <t>Calle 25G # 85B-89</t>
  </si>
  <si>
    <t>3155125187</t>
  </si>
  <si>
    <t>gerencia@lorenavejarano.com</t>
  </si>
  <si>
    <t>110012734602</t>
  </si>
  <si>
    <t>LABORATORIO VEJARANO IPS SEDE CENTRAL POINT</t>
  </si>
  <si>
    <t>CALLE 25 G #73 B -90 LOCAL 105 A -104 B</t>
  </si>
  <si>
    <t>Gerencia@lorenavejarano.com</t>
  </si>
  <si>
    <t>1100117261</t>
  </si>
  <si>
    <t>LACORSALUD SAS</t>
  </si>
  <si>
    <t>FERNANDO CASTILLO</t>
  </si>
  <si>
    <t>CALLE 75 No.22-66</t>
  </si>
  <si>
    <t>4873232-2482052</t>
  </si>
  <si>
    <t>uapheroes@gmail.com</t>
  </si>
  <si>
    <t>urilar.ltda@gmail.com</t>
  </si>
  <si>
    <t>110012109801</t>
  </si>
  <si>
    <t>LADENT I.P.S S.A.S</t>
  </si>
  <si>
    <t>PAUL ANDRE VELASQUEZ LADINO</t>
  </si>
  <si>
    <t>CARRERA 50 NO 22- 41 LC 206 primer nivel</t>
  </si>
  <si>
    <t>5-74-47-92 7-04-44-10</t>
  </si>
  <si>
    <t>LADENTGERENCIA@HOTMAIL.COM</t>
  </si>
  <si>
    <t>110012384527</t>
  </si>
  <si>
    <t>LAFAM</t>
  </si>
  <si>
    <t>Claudia Ximena Martinez Estupíñan</t>
  </si>
  <si>
    <t>CR 7 NO. 139 07 LC 129 CC PALATINO</t>
  </si>
  <si>
    <t>3182404783</t>
  </si>
  <si>
    <t>Nury.Herrera@co.luxottica.com</t>
  </si>
  <si>
    <t>110012384501</t>
  </si>
  <si>
    <t>LAFAM CLINICA OFTALMOLOGICA</t>
  </si>
  <si>
    <t>AK 19 No 151-75</t>
  </si>
  <si>
    <t>3175860918</t>
  </si>
  <si>
    <t>claudia.martinez@lafam.com.co</t>
  </si>
  <si>
    <t>110012384504</t>
  </si>
  <si>
    <t>LAFAM OPTICAS</t>
  </si>
  <si>
    <t>lClaudia Ximena Martinez Estupiñan</t>
  </si>
  <si>
    <t>Calle 19 No 9 - 09</t>
  </si>
  <si>
    <t>110012384530</t>
  </si>
  <si>
    <t>LAFAM OPTIICAS</t>
  </si>
  <si>
    <t>CR 15 NO. 124 - 30 LC 2 -185</t>
  </si>
  <si>
    <t>1100116765</t>
  </si>
  <si>
    <t>LANDMARK RADIOLOGIA DENTOFACIAL LTDA.</t>
  </si>
  <si>
    <t>LIGIA MERCEDES JACOME MONTEALEGRE</t>
  </si>
  <si>
    <t>CL 53 B Nº 24 - 80 CS 714 - 713 - 707</t>
  </si>
  <si>
    <t>3460568/98</t>
  </si>
  <si>
    <t>landmarkradiologia@yahoo.com</t>
  </si>
  <si>
    <t>110013786801</t>
  </si>
  <si>
    <t>LASER COLINA SAS</t>
  </si>
  <si>
    <t>JHON FREDY BRICEÑO CASTELLANOS</t>
  </si>
  <si>
    <t>AVENIDA CARRERA 58 # 132A - 10 PISO 1</t>
  </si>
  <si>
    <t>3143168539</t>
  </si>
  <si>
    <t>habilitacion1@odontologialaser.co</t>
  </si>
  <si>
    <t>110014319701</t>
  </si>
  <si>
    <t>LASER COUNTRY</t>
  </si>
  <si>
    <t>ANGELA PATRICIA PEDRAZA GRANADOS</t>
  </si>
  <si>
    <t>CR 19 A # 82-85 CS 712-713</t>
  </si>
  <si>
    <t>3112815864</t>
  </si>
  <si>
    <t>lasercountrydermatologia@gmail.com</t>
  </si>
  <si>
    <t>110012153901</t>
  </si>
  <si>
    <t>LASER SURGICAL CLINIC</t>
  </si>
  <si>
    <t>ROBERTO RAMIREZ QUINTANA</t>
  </si>
  <si>
    <t>CALLE 94 A No. 21-23</t>
  </si>
  <si>
    <t>clinicalasersurgical@gmail.com</t>
  </si>
  <si>
    <t>110013439501</t>
  </si>
  <si>
    <t>LASERTAM</t>
  </si>
  <si>
    <t>Andrea Natacha Osorio Arturo</t>
  </si>
  <si>
    <t>Carrera 11 a 94 a 56 LOCAL 5</t>
  </si>
  <si>
    <t>3208893500</t>
  </si>
  <si>
    <t>calidadlasertam@gmail.com</t>
  </si>
  <si>
    <t>110013439502</t>
  </si>
  <si>
    <t>LASERTAM 106</t>
  </si>
  <si>
    <t>ANA ACHA SATRUSTEGUI</t>
  </si>
  <si>
    <t>CALLE 106 # 14 - 21 LC 101</t>
  </si>
  <si>
    <t>110013439503</t>
  </si>
  <si>
    <t>LASERTAM METROPOLIS</t>
  </si>
  <si>
    <t>JORGE HUGO HERNANDEZ PEREZ</t>
  </si>
  <si>
    <t>Avenida Carrera 68 75 A 50 Local 244</t>
  </si>
  <si>
    <t>3112901876</t>
  </si>
  <si>
    <t>CALIDADLASERTAM@GMAIL.COM</t>
  </si>
  <si>
    <t>110013092701</t>
  </si>
  <si>
    <t>LATARJET SAS</t>
  </si>
  <si>
    <t>DIEGO RIVERA SARMIENTO</t>
  </si>
  <si>
    <t>AVENIDA CARRERA 19 # 102 - 53 CONSULTORIO 409</t>
  </si>
  <si>
    <t>3212401320</t>
  </si>
  <si>
    <t>diegoriverasarmiento@gmail.com</t>
  </si>
  <si>
    <t>110014104501</t>
  </si>
  <si>
    <t>LAURA VILLAMARIN SAS</t>
  </si>
  <si>
    <t>LAURA VILLAMARIN AVILA</t>
  </si>
  <si>
    <t>Calle 158 No. 92 - 37 Lc 1 Y 2</t>
  </si>
  <si>
    <t>3214830862</t>
  </si>
  <si>
    <t>laury86odont@hotmail.com</t>
  </si>
  <si>
    <t>110013916801</t>
  </si>
  <si>
    <t>LECMAC MEDIC SAS</t>
  </si>
  <si>
    <t>YULI YAZMIN TARAZONA ZAMUDIO</t>
  </si>
  <si>
    <t>CRA 41 B 9 11</t>
  </si>
  <si>
    <t>3202036314</t>
  </si>
  <si>
    <t>gerencialecmacmedic@gmail.com</t>
  </si>
  <si>
    <t>1100102447</t>
  </si>
  <si>
    <t>LENTES DE CONTACTO HELMUTH SCHMIDT MUMM SAS</t>
  </si>
  <si>
    <t>SCHMIDT MUMM HELMUTH</t>
  </si>
  <si>
    <t>AV CLL 19 # 5 51 OF 306</t>
  </si>
  <si>
    <t>2830180</t>
  </si>
  <si>
    <t>LENTESHSN@HOTMAIL.COM</t>
  </si>
  <si>
    <t>110012048002</t>
  </si>
  <si>
    <t>LEONARDO PINZÓN S.A.S.</t>
  </si>
  <si>
    <t>Humberto Garcia Pineda</t>
  </si>
  <si>
    <t>Ak 19 N. 114 65 C 602</t>
  </si>
  <si>
    <t>6017022466 / 3102476779</t>
  </si>
  <si>
    <t>gerencia@leonardopinzon.com</t>
  </si>
  <si>
    <t>110014007501</t>
  </si>
  <si>
    <t>LGO ODONTOLOGOS</t>
  </si>
  <si>
    <t>FARID FRANCISCO LAHUD SANCHEZ</t>
  </si>
  <si>
    <t>AK 15 88 64 Of 414 - 415</t>
  </si>
  <si>
    <t>3166283290</t>
  </si>
  <si>
    <t>gerencialahudgomez@gmail.com</t>
  </si>
  <si>
    <t>110014357701</t>
  </si>
  <si>
    <t>LHE-LUZ HELENA ESQUIVEL ODONTOLOGIA LASER</t>
  </si>
  <si>
    <t>LUZ HELENA ESQUIVEL HINCAPIE</t>
  </si>
  <si>
    <t>CALLE 93# 19- 66 CONSULTORIO 204 / 205</t>
  </si>
  <si>
    <t>6016169979</t>
  </si>
  <si>
    <t>lucesquivel@lucesquivel.com</t>
  </si>
  <si>
    <t>110013854101</t>
  </si>
  <si>
    <t>LIFE-PRO</t>
  </si>
  <si>
    <t>Ac 116 # 9 72 Cs 301 Ed Global Medical</t>
  </si>
  <si>
    <t>6017429124</t>
  </si>
  <si>
    <t>110012107001</t>
  </si>
  <si>
    <t>LIGA COLOMBIANA CONTRA EL CANCER</t>
  </si>
  <si>
    <t>MARIA VILMA GARCIA DE SOTO</t>
  </si>
  <si>
    <t>Carrera 12 A Nº 77 - 34</t>
  </si>
  <si>
    <t>7441780 - 313954584</t>
  </si>
  <si>
    <t>presidencia@ligacancercolombia.org</t>
  </si>
  <si>
    <t>110012229801</t>
  </si>
  <si>
    <t>LIGA COLOMBIANA CONTRA EL INFARTO Y LA HIPERTENSION ARTERIAL</t>
  </si>
  <si>
    <t>LUIS ANTONIO MOYA JIMENEZ</t>
  </si>
  <si>
    <t>CALLE 82 No 24-66</t>
  </si>
  <si>
    <t>7048305</t>
  </si>
  <si>
    <t>LUDY.SAENZ@COLOMBIACORAZON.COM</t>
  </si>
  <si>
    <t>1100108972</t>
  </si>
  <si>
    <t>LIGA CONTRA EL CANCER SECCIONAL BOGOTA</t>
  </si>
  <si>
    <t>FORERO DE RUIZ GLORIA INES</t>
  </si>
  <si>
    <t>Calle 116 # 15b 08</t>
  </si>
  <si>
    <t>4845805</t>
  </si>
  <si>
    <t>calidad-pamec@ligacontraelcancer.com.co</t>
  </si>
  <si>
    <t>www.ligacontraelcancer.com.co</t>
  </si>
  <si>
    <t>110010709114</t>
  </si>
  <si>
    <t>LIH SA SEDE CIMA COUNTRY</t>
  </si>
  <si>
    <t>CALLE 83 # 16 A - 44 CONSULTORIO 208</t>
  </si>
  <si>
    <t>3212319606 - 3015406430</t>
  </si>
  <si>
    <t>110010066102</t>
  </si>
  <si>
    <t>LITOMEDICA CENTRO MEDICO ALMIRANTE COLON</t>
  </si>
  <si>
    <t>MANUEL MARCELO RUEDA SALAZAR</t>
  </si>
  <si>
    <t>Cr 16 Nº 84 A 09 Cs 611</t>
  </si>
  <si>
    <t>(601)8056344</t>
  </si>
  <si>
    <t>litomedicasa@yahoo.es</t>
  </si>
  <si>
    <t>110010066103</t>
  </si>
  <si>
    <t>LITOMEDICA MARLY CALLE 50</t>
  </si>
  <si>
    <t>CALLE 50 Nº 9-16 Local 2 TAC y Local 3 RMN</t>
  </si>
  <si>
    <t>745 60 36, 600 87 03, 600 87 04.</t>
  </si>
  <si>
    <t>1100100661</t>
  </si>
  <si>
    <t>LITOMEDICA S.A</t>
  </si>
  <si>
    <t>RUEDA SALAZAR MANUEL MARCELO</t>
  </si>
  <si>
    <t>CRA 13 # 49-40 CONSULTORIO 620 Y 624 - 1 LITOMEDICA</t>
  </si>
  <si>
    <t>7448024, 7448204, 3436600</t>
  </si>
  <si>
    <t>litomedicacorrespondencia@gmail.com</t>
  </si>
  <si>
    <t>110010066105</t>
  </si>
  <si>
    <t>LITOMEDICA URODINAMIA</t>
  </si>
  <si>
    <t>CALLE 50 Nº 7 - 36 PISO 3</t>
  </si>
  <si>
    <t>7440052</t>
  </si>
  <si>
    <t>110013905901</t>
  </si>
  <si>
    <t>LIVER SCAN SAS</t>
  </si>
  <si>
    <t>Ivan Dario Murcia Delgado</t>
  </si>
  <si>
    <t>Avenida Calle 127 20 16 Consultorio 219</t>
  </si>
  <si>
    <t>3002840530</t>
  </si>
  <si>
    <t>liverscan.admon@gmail.com</t>
  </si>
  <si>
    <t>110013696801</t>
  </si>
  <si>
    <t>LM INTEGRA IPS SAS</t>
  </si>
  <si>
    <t>FRANCISCO JAVIER BUITRAGO CARDENAS</t>
  </si>
  <si>
    <t>Avenida Calle 161 17 32 piso 4</t>
  </si>
  <si>
    <t>3118936766 3174391621</t>
  </si>
  <si>
    <t>lmintegraipss@gmail.com</t>
  </si>
  <si>
    <t>110013896601</t>
  </si>
  <si>
    <t>LMT CONEXUS GROUP SAS</t>
  </si>
  <si>
    <t>Laura Stefania González Ospina</t>
  </si>
  <si>
    <t>Calle 110 9 25 oficina 915</t>
  </si>
  <si>
    <t>3116556403</t>
  </si>
  <si>
    <t>graciela.navarro@conexus-group.com</t>
  </si>
  <si>
    <t>110013002801</t>
  </si>
  <si>
    <t>LOGIC MEDICAL SERVICE ASSIST SAS</t>
  </si>
  <si>
    <t>Jairo Antonio Perez Diaz</t>
  </si>
  <si>
    <t>CLL 42 BIS A SUR # 74 - 35 1 PISO</t>
  </si>
  <si>
    <t>5630472/3103046534</t>
  </si>
  <si>
    <t>logic.operaciones@gmail.com</t>
  </si>
  <si>
    <t>110011785801</t>
  </si>
  <si>
    <t>LOPMAN PLUS</t>
  </si>
  <si>
    <t>CL 87 # 15 23 OFICINA 601</t>
  </si>
  <si>
    <t>6362351-3138897117</t>
  </si>
  <si>
    <t>gerencia@lopmanplus.com</t>
  </si>
  <si>
    <t>www.lopmanplus.com</t>
  </si>
  <si>
    <t>110013390301</t>
  </si>
  <si>
    <t>LOSCOBOS MEDICAL CENTER SAS - LOSCOBOS</t>
  </si>
  <si>
    <t>MIGUEL ERNESTO OTERO CADENA</t>
  </si>
  <si>
    <t>AK 9 N° 131 A - 40</t>
  </si>
  <si>
    <t>7457581 EXT 2366</t>
  </si>
  <si>
    <t>calidad@loscobosmc.com</t>
  </si>
  <si>
    <t>1100117728</t>
  </si>
  <si>
    <t>LUIS EDUARDO BUITRAGO AVILA Y / O UNIDAD CLINICA ODONTOLOGICA VENECIA SAS</t>
  </si>
  <si>
    <t>Dr. LUIS EDUARDO BUITRAGO AVILA</t>
  </si>
  <si>
    <t>CL 45A SUR 51D 31</t>
  </si>
  <si>
    <t>7135168</t>
  </si>
  <si>
    <t>lebavenecia@hotmail.com</t>
  </si>
  <si>
    <t>1100116369</t>
  </si>
  <si>
    <t>LUXOTTICA OF COLOMBIA S.A.S</t>
  </si>
  <si>
    <t>LUIS GUILLERMO SALAZAR ANGEL</t>
  </si>
  <si>
    <t>CARRERA 58D # 146- 51 LOCAL 145 - Barrio:COLINA</t>
  </si>
  <si>
    <t>(57-1)5938860 EXT. 7041</t>
  </si>
  <si>
    <t>nury.herrera@co.luxottica.com</t>
  </si>
  <si>
    <t>www.gmo.com.co</t>
  </si>
  <si>
    <t>110012658501</t>
  </si>
  <si>
    <t>LUZ Y VIDA CENTRO MEDICO ALTERNATIVO</t>
  </si>
  <si>
    <t>SARA ARISTIZABAL RAMIREZ</t>
  </si>
  <si>
    <t>Avenida Calle 53 No 73 - 28 Piso 1</t>
  </si>
  <si>
    <t>3133568237</t>
  </si>
  <si>
    <t>citasmedicasbogota@luzyvidanatural.com</t>
  </si>
  <si>
    <t>110012239501</t>
  </si>
  <si>
    <t>LVB MEDICINA ESTETICA IPS SAS</t>
  </si>
  <si>
    <t>ILVA LILIANA VILLAR BEJARANO</t>
  </si>
  <si>
    <t>AVENIDA 15 No. 100-69 Oficina 509</t>
  </si>
  <si>
    <t>6216325</t>
  </si>
  <si>
    <t>lvbmedicinaestetica@gmail.com</t>
  </si>
  <si>
    <t>110012834501</t>
  </si>
  <si>
    <t>La Dentisteria Clinica de Especialistas S.A.S</t>
  </si>
  <si>
    <t>Jairo Amador Pinilla</t>
  </si>
  <si>
    <t>Cra 80C#24c-19 Lc 1</t>
  </si>
  <si>
    <t>6410037-3144159983</t>
  </si>
  <si>
    <t>ladentisteria.ce@gmail.com</t>
  </si>
  <si>
    <t>110010559719</t>
  </si>
  <si>
    <t>Laboratorio Clínico CAFAM, Central de Procesamiento</t>
  </si>
  <si>
    <t>Alexandra Palacios Carlos</t>
  </si>
  <si>
    <t>Carrera 16 Nº 52-35</t>
  </si>
  <si>
    <t>110012384545</t>
  </si>
  <si>
    <t>Lafam</t>
  </si>
  <si>
    <t>CR 71 D NO. 6 - 94 SUR LC 1216 CC PLAZA DE LAS AMERICAS</t>
  </si>
  <si>
    <t>110013944301</t>
  </si>
  <si>
    <t>M&amp;V SU MEDICO SAS</t>
  </si>
  <si>
    <t>Jose Wilson Morales Rojas</t>
  </si>
  <si>
    <t>calle 50#8-27 consultorio 301</t>
  </si>
  <si>
    <t>3203535405</t>
  </si>
  <si>
    <t>gerenciam.vsumedico@gmail.com</t>
  </si>
  <si>
    <t>110014227801</t>
  </si>
  <si>
    <t>MACADIPO DERMATOLOGIA S.A.S</t>
  </si>
  <si>
    <t>MARIA CAMILA DIAZ POSADA</t>
  </si>
  <si>
    <t>Calle 140 # 11-45 Oficina 419</t>
  </si>
  <si>
    <t>301 6184519</t>
  </si>
  <si>
    <t>mariadiazdermatologa@gmail.com</t>
  </si>
  <si>
    <t>1100103323</t>
  </si>
  <si>
    <t>MAGBA NEURODIGITAL S.A.S</t>
  </si>
  <si>
    <t>OLGA LUCIA HINESTROZA CASTRO</t>
  </si>
  <si>
    <t>CARRERA 16A # 82-46 CONSULTORIO 711</t>
  </si>
  <si>
    <t>5313807</t>
  </si>
  <si>
    <t>magbaneurodigital@gmail.com</t>
  </si>
  <si>
    <t>magbaneuro@hotmail.com</t>
  </si>
  <si>
    <t>110012592402</t>
  </si>
  <si>
    <t>MALO DENTAL BOGOTA</t>
  </si>
  <si>
    <t>Sergio Enrique Trujillo Avila</t>
  </si>
  <si>
    <t>Calle 100 #19 A 30 OFI 301</t>
  </si>
  <si>
    <t>6013571364</t>
  </si>
  <si>
    <t>dr@malodental.com.co</t>
  </si>
  <si>
    <t>110014104401</t>
  </si>
  <si>
    <t>MAMUELAS KIDS SAS</t>
  </si>
  <si>
    <t>MANUELA HUERTAS LOPEZ</t>
  </si>
  <si>
    <t>CARRERA 17 #89-31 CONSULTORIO 606</t>
  </si>
  <si>
    <t>3218002300</t>
  </si>
  <si>
    <t>manuelahuertas@hotmail.com</t>
  </si>
  <si>
    <t>110014293001</t>
  </si>
  <si>
    <t>MANOS MAESTRAS S.A.S</t>
  </si>
  <si>
    <t>ALEJANDRO DUQUE RESTREPO</t>
  </si>
  <si>
    <t>Avenida Carrera 19 # 95 31 Oficina 205 Cs 205 - 1</t>
  </si>
  <si>
    <t>6232414</t>
  </si>
  <si>
    <t>contamanos2021@gmail.com</t>
  </si>
  <si>
    <t>110012577102</t>
  </si>
  <si>
    <t>MAPLE RESPIRATORY IPS BOGOTA</t>
  </si>
  <si>
    <t>Maria Alejandra Chaux</t>
  </si>
  <si>
    <t>Cra 46 #95-35</t>
  </si>
  <si>
    <t>018000527527 - 6017052000</t>
  </si>
  <si>
    <t>Maple.notificaciones@linde.com; leidy.velandia@linde.com; susana.ariza@linde.com</t>
  </si>
  <si>
    <t>110014157401</t>
  </si>
  <si>
    <t>MAR BELLEZA VITAL SAS</t>
  </si>
  <si>
    <t>ISABELA CAMPO SLEBI</t>
  </si>
  <si>
    <t>Cr 11 A No. 93 - 52 Cs 301</t>
  </si>
  <si>
    <t>3125467752</t>
  </si>
  <si>
    <t>marbellezavital@gmail.com</t>
  </si>
  <si>
    <t>1100111819</t>
  </si>
  <si>
    <t>MARIA TERESA GALIANO SERVIMED SAS</t>
  </si>
  <si>
    <t>GALINDO DE SANCHEZ MARIA TERESA</t>
  </si>
  <si>
    <t>CL 50 # 8 24 CS 402 403 405 407 408</t>
  </si>
  <si>
    <t>3125241437</t>
  </si>
  <si>
    <t>administracion@mtgaliano.com</t>
  </si>
  <si>
    <t>https://mtgaliano.com/</t>
  </si>
  <si>
    <t>110011793002</t>
  </si>
  <si>
    <t>MARTHA TORRES DE RESTREPO IPS EU</t>
  </si>
  <si>
    <t>MARIA MARTA DE LA CRUZ TORRES DE RESTREPO</t>
  </si>
  <si>
    <t>CARRERA 16 No. 84 A 09 CONSULTORIOS 621 Y 622 CENTRO MEDICO ALMIRANTE COLON</t>
  </si>
  <si>
    <t>7291825-6313247-3105483639</t>
  </si>
  <si>
    <t>martafisio@yahoo.es</t>
  </si>
  <si>
    <t>1100107392</t>
  </si>
  <si>
    <t>MARYEP S.A</t>
  </si>
  <si>
    <t>URIBE ARANGO MARIA PATRICIA</t>
  </si>
  <si>
    <t>CRA 47 # 95-14</t>
  </si>
  <si>
    <t>110014209101</t>
  </si>
  <si>
    <t>MASTERS OF SENCIA</t>
  </si>
  <si>
    <t>JOHN ALEXANDER VELANDIA SIABATO</t>
  </si>
  <si>
    <t>Avenida Calle 134 # 7 B 83 Oficina 901-903</t>
  </si>
  <si>
    <t>3137737612</t>
  </si>
  <si>
    <t>senciadermatology@gmail.com</t>
  </si>
  <si>
    <t>1100120008</t>
  </si>
  <si>
    <t>MAXDENT CLINICAS ODONTOLOGICAS S.A.S</t>
  </si>
  <si>
    <t>JOHN HENRY NOVOA BUITRAGO</t>
  </si>
  <si>
    <t>DG 40 SUR 27 35 - Barrio:INGLES</t>
  </si>
  <si>
    <t>3025454511 - 3016884606</t>
  </si>
  <si>
    <t>maxdentsas3000@hotmail.com</t>
  </si>
  <si>
    <t>110012000806</t>
  </si>
  <si>
    <t>MAXDENT INGLES</t>
  </si>
  <si>
    <t>DG 40 SUR 27 35</t>
  </si>
  <si>
    <t>110014081901</t>
  </si>
  <si>
    <t>MBD LASER SAS</t>
  </si>
  <si>
    <t>LUIS GUILLERMO CASTRO SUAREZ</t>
  </si>
  <si>
    <t>Avenida Calle 127 19A 44 Consultorio 610</t>
  </si>
  <si>
    <t>6019260701</t>
  </si>
  <si>
    <t>mbdlasersas@gmail.com</t>
  </si>
  <si>
    <t>1100112413</t>
  </si>
  <si>
    <t>MD DIAGNOSTICOS SAS</t>
  </si>
  <si>
    <t>LUIS FERNANDO MARTINEZ GALEANO</t>
  </si>
  <si>
    <t>Avenida Carrera 20 # 85 A 35 / 45 P1, P2, P3, P4 Cs 402, P5</t>
  </si>
  <si>
    <t>3167179748-3203584775- 3176422180</t>
  </si>
  <si>
    <t>mddiagnosticos@yahoo.es</t>
  </si>
  <si>
    <t>110014019701</t>
  </si>
  <si>
    <t>MD SERVICIOS DENTALES Y MEDICOS</t>
  </si>
  <si>
    <t>ANA MARIA DUARTE CASTRO</t>
  </si>
  <si>
    <t>AVENIDA CARRERA 19 # 95-55 OFICINA 402-403</t>
  </si>
  <si>
    <t>3013749171</t>
  </si>
  <si>
    <t>gerencia@md-dentalservices.com</t>
  </si>
  <si>
    <t>110013840101</t>
  </si>
  <si>
    <t>MED DRIVE SAS</t>
  </si>
  <si>
    <t>MARIA CAMILA POLANCO AMAYA</t>
  </si>
  <si>
    <t>Calle 163 A 20 54 Piso 1</t>
  </si>
  <si>
    <t>3124472669</t>
  </si>
  <si>
    <t>gerenciameddrive01@gmail.com</t>
  </si>
  <si>
    <t>110013698201</t>
  </si>
  <si>
    <t>MEDCHECK SAS</t>
  </si>
  <si>
    <t>MAYBELINE ROJAS SOLANO</t>
  </si>
  <si>
    <t>CR 45 95 84 P 1 2</t>
  </si>
  <si>
    <t>3145509045</t>
  </si>
  <si>
    <t>medchecksalud@gmail.com</t>
  </si>
  <si>
    <t>110013205601</t>
  </si>
  <si>
    <t>MEDIARTE IMPLANTE CAPILAR</t>
  </si>
  <si>
    <t>Andres Johan Martinez Cubillos</t>
  </si>
  <si>
    <t>Cr 18 84 - 11 Oficina 705</t>
  </si>
  <si>
    <t>3104626592</t>
  </si>
  <si>
    <t>gerencia@mediarte.co</t>
  </si>
  <si>
    <t>110013205602</t>
  </si>
  <si>
    <t>MEDIARTE MEDICAL CENTER SEDE NORTE</t>
  </si>
  <si>
    <t>Avenida Carrera 9 113 52 Oficina 1802</t>
  </si>
  <si>
    <t>110013205603</t>
  </si>
  <si>
    <t>MEDIARTE VIRREY</t>
  </si>
  <si>
    <t>ANDRES JOHAN MARTINEZ CUBILLOS</t>
  </si>
  <si>
    <t>Avenida Carrera 15 No 88 64 Local 102</t>
  </si>
  <si>
    <t>calidad@mediarte.co</t>
  </si>
  <si>
    <t>110012859201</t>
  </si>
  <si>
    <t>MEDIC GLOBAL PROFESSIONAL IPS SAS</t>
  </si>
  <si>
    <t>MIGUEL FERNANDO NARVAEZ PRIETO</t>
  </si>
  <si>
    <t>AC 161 N0 16 - 33</t>
  </si>
  <si>
    <t>3187358139</t>
  </si>
  <si>
    <t>administracion@medicglobalips.com.co</t>
  </si>
  <si>
    <t>110012856301</t>
  </si>
  <si>
    <t>MEDIC HOME SAS</t>
  </si>
  <si>
    <t>MARIA DEL PILAR CIFUENTES DE LOPEZ</t>
  </si>
  <si>
    <t>KR 69 67 33 Piso 1</t>
  </si>
  <si>
    <t>2124573- 3103491900</t>
  </si>
  <si>
    <t>gerencia.medichome@gmail.com</t>
  </si>
  <si>
    <t>1100103031</t>
  </si>
  <si>
    <t>MEDICA MAGDALENA SAS</t>
  </si>
  <si>
    <t>FRANCO REY JAIME EDUARDO</t>
  </si>
  <si>
    <t>CALLE 39 # 14 34</t>
  </si>
  <si>
    <t>3184025134</t>
  </si>
  <si>
    <t>direccionadministrativa@clinicamagdalena.com contabilidad@clinicamagdalena.com calidad@clinicamagdalena.com</t>
  </si>
  <si>
    <t>110013120501</t>
  </si>
  <si>
    <t>MEDICAL ENERGY SAS</t>
  </si>
  <si>
    <t>NESTOR DAVID GARCIA CAMPOS</t>
  </si>
  <si>
    <t>CALLE 18 No.77-67 CS 501 MERIDIANO 13 ESTE</t>
  </si>
  <si>
    <t>3108613328</t>
  </si>
  <si>
    <t>gerencia@medicalenergy.co</t>
  </si>
  <si>
    <t>110013151501</t>
  </si>
  <si>
    <t>MEDICAL EVENTOS COLOMBIA S.A.S</t>
  </si>
  <si>
    <t>amparo gutierrez</t>
  </si>
  <si>
    <t>CLL 1 D # 31 B 05</t>
  </si>
  <si>
    <t>9057563</t>
  </si>
  <si>
    <t>medicaleventoscolombia@gmail.com</t>
  </si>
  <si>
    <t>110012844201</t>
  </si>
  <si>
    <t>MEDICAL HEALTH SOCIETY S.A.S</t>
  </si>
  <si>
    <t>JONNY WALTER VARGAS BOLAÑOS</t>
  </si>
  <si>
    <t>CALLE 31 SUR N 51 A 11</t>
  </si>
  <si>
    <t>7017381-3144512257</t>
  </si>
  <si>
    <t>mhsbogota@gmail.com</t>
  </si>
  <si>
    <t>110013787901</t>
  </si>
  <si>
    <t>MEDICAL JJUST SAS</t>
  </si>
  <si>
    <t>DANIEL FELIPE PALACIOS CHAPARRO</t>
  </si>
  <si>
    <t>Carrera 20 C 72 A 14 Piso 1 Consultorio 1 Consultorio 2</t>
  </si>
  <si>
    <t>3167567896</t>
  </si>
  <si>
    <t>medical.jjust@gmail.com</t>
  </si>
  <si>
    <t>110013011001</t>
  </si>
  <si>
    <t>MEDICAL LEGAL CONSULTING LTDA</t>
  </si>
  <si>
    <t>MARIA ALEJANDRA RODRIGUEZ DE AVILA</t>
  </si>
  <si>
    <t>Cll 72 # 9 55 Piso 5 Oficina 503 Teleradiologia</t>
  </si>
  <si>
    <t>3173002503</t>
  </si>
  <si>
    <t>lider.calidadmedical@medicalltda.com.co</t>
  </si>
  <si>
    <t>1100120256</t>
  </si>
  <si>
    <t>MEDICAL PROTECTION SAS SALUD OCUPACIONAL</t>
  </si>
  <si>
    <t>JOSE LUIS BUITRAGO REDONDO</t>
  </si>
  <si>
    <t>KR 12 # 71 19</t>
  </si>
  <si>
    <t>3114416569</t>
  </si>
  <si>
    <t>gerencia@medicalprotection.com.co</t>
  </si>
  <si>
    <t>1100101624</t>
  </si>
  <si>
    <t>MEDICANESTESIA S.A</t>
  </si>
  <si>
    <t>PINILLA ROJAS ALVARO ALEJANDRO</t>
  </si>
  <si>
    <t>AK 9 # 116 20 OF 740</t>
  </si>
  <si>
    <t>6122362</t>
  </si>
  <si>
    <t>medicanestesia@ama.com.co</t>
  </si>
  <si>
    <t>110012132301</t>
  </si>
  <si>
    <t>MEDICARTE AGENCIA BOGOTÁ</t>
  </si>
  <si>
    <t>Juan Carlos Rodriguez Jaillier</t>
  </si>
  <si>
    <t>CL 83 # 16 A 44 LC 401 402</t>
  </si>
  <si>
    <t>110012132304</t>
  </si>
  <si>
    <t>MEDICARTE AGENCIA CHAPINERO</t>
  </si>
  <si>
    <t>Cr 15 # 93-60 Locales 130-132-134 Edificio Centro 93</t>
  </si>
  <si>
    <t>7450822</t>
  </si>
  <si>
    <t>110012979701</t>
  </si>
  <si>
    <t>MEDICAS #1 IPS S.A.S</t>
  </si>
  <si>
    <t>RICARDO MONROY BENITEZ</t>
  </si>
  <si>
    <t>AV. CIUDAD DE CALI CR. 86 - 37 - 08 Sur</t>
  </si>
  <si>
    <t>4518459 3192781027</t>
  </si>
  <si>
    <t>medicasipssas@gmail.com</t>
  </si>
  <si>
    <t>110012156402</t>
  </si>
  <si>
    <t>MEDICENTRO FAMILIAR IPS FISIOTERAPIA Y REHABILITACION</t>
  </si>
  <si>
    <t>ALVARO IGNACIO ROMERO VELANDIA</t>
  </si>
  <si>
    <t>KR 97 #20 B 69</t>
  </si>
  <si>
    <t>3108062745-3118895118</t>
  </si>
  <si>
    <t>110013839201</t>
  </si>
  <si>
    <t>MEDICID IPS BOGOTA</t>
  </si>
  <si>
    <t>JENNEEFER JOHNSON SANABRIA</t>
  </si>
  <si>
    <t>CR 49 # 94 - 96</t>
  </si>
  <si>
    <t>5275977</t>
  </si>
  <si>
    <t>gerencia@medicidsas.com</t>
  </si>
  <si>
    <t>110014305701</t>
  </si>
  <si>
    <t>MEDICINA EMPRESARIAL PLUS SAS</t>
  </si>
  <si>
    <t>Martha Patricia Lozano Salazar</t>
  </si>
  <si>
    <t>Calle 30 A 6 22 Oficina 2204</t>
  </si>
  <si>
    <t>3103436090</t>
  </si>
  <si>
    <t>medicinaempresarialplus@gmail.com</t>
  </si>
  <si>
    <t>110012138401</t>
  </si>
  <si>
    <t>MEDICINA ESTETICA Y ANTIEDAD MB S A S</t>
  </si>
  <si>
    <t>MARIA MAGDALENA BAHAMON FALLA</t>
  </si>
  <si>
    <t>CARRERA 11 A No 93 - 52 CS 301</t>
  </si>
  <si>
    <t>6019393</t>
  </si>
  <si>
    <t>administrativo@mariabahamon.com</t>
  </si>
  <si>
    <t>110012128701</t>
  </si>
  <si>
    <t>MEDICINA INTEGRAL DE ESPECIALIDADES MEIDE S.A.S.</t>
  </si>
  <si>
    <t>CALLE 63 No. 13-12 PISO 5 Consultorio 104 105 106 Y 107</t>
  </si>
  <si>
    <t>3185957697</t>
  </si>
  <si>
    <t>gerencia@meide.com.co</t>
  </si>
  <si>
    <t>110011783701</t>
  </si>
  <si>
    <t>MEDICINA INTEGRAL SAN SALVADOR E U</t>
  </si>
  <si>
    <t>ALBA LUCIA SAENZ CHURQUE</t>
  </si>
  <si>
    <t>Cl. 42 F SUR No. 79 -06 IN 1</t>
  </si>
  <si>
    <t>3138449775</t>
  </si>
  <si>
    <t>gerencia@ovpsolutions.com</t>
  </si>
  <si>
    <t>1100117837</t>
  </si>
  <si>
    <t>MEDICINA INTEGRAL SAN SALVADOR EU</t>
  </si>
  <si>
    <t>JOSELIN ARDILA GONZALEZ</t>
  </si>
  <si>
    <t>1100113508</t>
  </si>
  <si>
    <t>MEDICINA LABORAL S.A.S</t>
  </si>
  <si>
    <t>MARIA TERESA SALAZAR CH</t>
  </si>
  <si>
    <t>CALLE 27 # 27-21 - Barrio:TEUSAQUILLO</t>
  </si>
  <si>
    <t>7446346 3160275845 3159269693</t>
  </si>
  <si>
    <t>c.santana@medilaboral.com</t>
  </si>
  <si>
    <t>www.medilaboral.com</t>
  </si>
  <si>
    <t>110013359401</t>
  </si>
  <si>
    <t>MEDICINA MOVIL LABORAL IPS SAS</t>
  </si>
  <si>
    <t>RAFAEL RICARDO BUITRAGO RODRIGUEZ</t>
  </si>
  <si>
    <t>Avenida Calle 116 No. 70D-06 Oficina 318 Edificio Fioreepi</t>
  </si>
  <si>
    <t>3022887073</t>
  </si>
  <si>
    <t>administracion@medimovilips.com</t>
  </si>
  <si>
    <t>110012877301</t>
  </si>
  <si>
    <t>MEDICINA NUCLEAR DE BOGOTA S.A.S.</t>
  </si>
  <si>
    <t>CLAUDIA MARCELA PRIETO HERRERA</t>
  </si>
  <si>
    <t>KR 20 Nº 62-09</t>
  </si>
  <si>
    <t>7034991 - 7034982 - 3173651854</t>
  </si>
  <si>
    <t>mednucbogota@gmail.com</t>
  </si>
  <si>
    <t>110011554701</t>
  </si>
  <si>
    <t>MEDICINA NUCLEAR PALERMO ORGANIZACION SANITAS INTERNACIONAL SAS.</t>
  </si>
  <si>
    <t>KR 23 # 45 C 31 LC 6 LC 7</t>
  </si>
  <si>
    <t>2871908</t>
  </si>
  <si>
    <t>110012957801</t>
  </si>
  <si>
    <t>MEDICINA OCUPACIONAL CIMA VERTICAL SAS</t>
  </si>
  <si>
    <t>JUAN DAVID BUSTAMANTE GONZALEZ</t>
  </si>
  <si>
    <t>KR 77 # 33 A 06 SUR</t>
  </si>
  <si>
    <t>3154547997</t>
  </si>
  <si>
    <t>arptempor@hotmail.com</t>
  </si>
  <si>
    <t>1100119061</t>
  </si>
  <si>
    <t>MEDICINA PARA LA ESTÉTICA S.A.S.</t>
  </si>
  <si>
    <t>MARIA BERNARDA VERGARA ACOSTA</t>
  </si>
  <si>
    <t>KR 47 No. 104- 14</t>
  </si>
  <si>
    <t>6017910849</t>
  </si>
  <si>
    <t>admonmedicinaparalaestetica@gmail.com</t>
  </si>
  <si>
    <t>1100105758</t>
  </si>
  <si>
    <t>MEDICINA PERINATAL LTDA</t>
  </si>
  <si>
    <t>MOTTA MURCIA ABELARDO</t>
  </si>
  <si>
    <t>CRA 16 # 84 A 09 CONS 314</t>
  </si>
  <si>
    <t>6217519</t>
  </si>
  <si>
    <t>1100119826</t>
  </si>
  <si>
    <t>MEDICINA PODOLOGICA Y REPRESENTACIONES S.A.S SIGLA MEDIPOR S.A.S</t>
  </si>
  <si>
    <t>MARIO JOSE PEREZ TRIANA</t>
  </si>
  <si>
    <t>AV CRA 58 # 128 B 17 Casa P1</t>
  </si>
  <si>
    <t>3000999-3107883744</t>
  </si>
  <si>
    <t>piesalud@piesalud.com</t>
  </si>
  <si>
    <t>www.piesalud.net</t>
  </si>
  <si>
    <t>110011982601</t>
  </si>
  <si>
    <t>MEDICINA PODOLOGICA Y REPRESENTACIONES S.A.S. SIGLA MEDIPOR S.A.S.</t>
  </si>
  <si>
    <t>subdirector@piesalud.com</t>
  </si>
  <si>
    <t>110013891801</t>
  </si>
  <si>
    <t>MEDICINA TACTICA IPS SAS SIGLA MEDITAC IPS SAS</t>
  </si>
  <si>
    <t>LEANDRO BRAVO NARANJO</t>
  </si>
  <si>
    <t>CL 35 SUR # 52A - 12 PISO 1 LOCAL 2</t>
  </si>
  <si>
    <t>3208625038</t>
  </si>
  <si>
    <t>medicinatacticaips@gmail.com</t>
  </si>
  <si>
    <t>110013674401</t>
  </si>
  <si>
    <t>MEDICINA Y TERAPIAS DOMICILIARIAS</t>
  </si>
  <si>
    <t>JUAN GABRIEL CALDERON CALDERON</t>
  </si>
  <si>
    <t>CL 102 A NO. 47 A 47 PISO 1</t>
  </si>
  <si>
    <t>3336025629</t>
  </si>
  <si>
    <t>contacto@mtd.net.co</t>
  </si>
  <si>
    <t>110011614501</t>
  </si>
  <si>
    <t>MEDICLINICO SANTA ANA IPS SAS</t>
  </si>
  <si>
    <t>WILSON HUMBERTO MORENO VARGAS</t>
  </si>
  <si>
    <t>Calle 102 # 70 B 69</t>
  </si>
  <si>
    <t>(601)7575143 - 3204789192</t>
  </si>
  <si>
    <t>mediclinicosantaanaips@gmail.com</t>
  </si>
  <si>
    <t>1100101085</t>
  </si>
  <si>
    <t>MEDICOS CARDIOLOGOS ASOCIADOS MEDICARDIA LTDA</t>
  </si>
  <si>
    <t>MENDOZA MENDEZ EYDI</t>
  </si>
  <si>
    <t>CRA 16 # 82 74 CONS 417- 419</t>
  </si>
  <si>
    <t>2367755 3133916296 3011051058 3011579270</t>
  </si>
  <si>
    <t>medicardia2000@yahoo.es</t>
  </si>
  <si>
    <t>110012957701</t>
  </si>
  <si>
    <t>MEDICOS DEL HOGAR MDH SAS</t>
  </si>
  <si>
    <t>Freddy Orlando Casallas Contreras</t>
  </si>
  <si>
    <t>TRANSVERSAL 60 N°115-58 OFC 409 TORRE A</t>
  </si>
  <si>
    <t>3108164196</t>
  </si>
  <si>
    <t>medicosdelhogar@yahoo.es</t>
  </si>
  <si>
    <t>110012800901</t>
  </si>
  <si>
    <t>MEDICSONRISA SAS</t>
  </si>
  <si>
    <t>NELSON PINEDA GONZALEZ</t>
  </si>
  <si>
    <t>AC 24 NO. 69 A 33</t>
  </si>
  <si>
    <t>4107912</t>
  </si>
  <si>
    <t>medicsonrisa@gmail.com</t>
  </si>
  <si>
    <t>110010861301</t>
  </si>
  <si>
    <t>MEDIEXPRESS</t>
  </si>
  <si>
    <t>CARLOS MARTIN RUA MONCADA</t>
  </si>
  <si>
    <t>KR 49 # 91 98</t>
  </si>
  <si>
    <t>3102418619 - 7180994</t>
  </si>
  <si>
    <t>gerencia@mediexpress.co</t>
  </si>
  <si>
    <t>1100108613</t>
  </si>
  <si>
    <t>MEDIEXPRESS S.A.S</t>
  </si>
  <si>
    <t>RUA MONCADA CARLOS MARTIN</t>
  </si>
  <si>
    <t>110012357902</t>
  </si>
  <si>
    <t>MEDIGLOBAL IPS</t>
  </si>
  <si>
    <t>GUILLERMO TRILLOS PICO</t>
  </si>
  <si>
    <t>CL 90 # 19 A 49 Of 401-402-404</t>
  </si>
  <si>
    <t>5802828</t>
  </si>
  <si>
    <t>calidad@mediglobal.co</t>
  </si>
  <si>
    <t>110013429401</t>
  </si>
  <si>
    <t>MEDIK PLUS IPS SAS SEDE BOGOTA</t>
  </si>
  <si>
    <t>Gina Paola Orozco Hernandez</t>
  </si>
  <si>
    <t>Avenida carrera 14 47 39 Local 104</t>
  </si>
  <si>
    <t>3212618749</t>
  </si>
  <si>
    <t>calidad@medikplus.com</t>
  </si>
  <si>
    <t>110013429402</t>
  </si>
  <si>
    <t>MEDIK PLUS IPS SEDE TEUSAQUILLO</t>
  </si>
  <si>
    <t>JUAN DAVID CASTRO SAENZ</t>
  </si>
  <si>
    <t>CARRERA 13 # 37-37 PISO 2 PISO 3</t>
  </si>
  <si>
    <t>3043452593</t>
  </si>
  <si>
    <t>contabilidadmedikplus@gmail.com</t>
  </si>
  <si>
    <t>110013341701</t>
  </si>
  <si>
    <t>MEDIKA IPS - SANITAS UAP USAQUEN</t>
  </si>
  <si>
    <t>VICTORIA EUGENIA GUZMAN LUGO</t>
  </si>
  <si>
    <t>AC 127 NO. 7 B - 60</t>
  </si>
  <si>
    <t>7462300-3153082249</t>
  </si>
  <si>
    <t>medikaipsprincipal@gmail.com</t>
  </si>
  <si>
    <t>110011350801</t>
  </si>
  <si>
    <t>MEDILABORAL IPS - SANTA BARBARA</t>
  </si>
  <si>
    <t>KR 7 BIS A No. 123-86</t>
  </si>
  <si>
    <t>4929220</t>
  </si>
  <si>
    <t>hseq@medilaboral.com</t>
  </si>
  <si>
    <t>110011350802</t>
  </si>
  <si>
    <t>MEDILABORAL IPS SANTA MARIA DEL LAGO</t>
  </si>
  <si>
    <t>MARIA TERESA SALAZAR CHARRYS</t>
  </si>
  <si>
    <t>KR 72 BIS # 73 93 Piso 1</t>
  </si>
  <si>
    <t>7032505 - 3155457685</t>
  </si>
  <si>
    <t>110011350804</t>
  </si>
  <si>
    <t>MEDILABORAL IPS-CALLE 26</t>
  </si>
  <si>
    <t>CALLE 27 # 27-21 Piso 1 y 2</t>
  </si>
  <si>
    <t>7446346 3232753421</t>
  </si>
  <si>
    <t>110010625803</t>
  </si>
  <si>
    <t>MEDIPORT BS</t>
  </si>
  <si>
    <t>DIEGO BARRETO</t>
  </si>
  <si>
    <t>Calle 127 A 7 A 36</t>
  </si>
  <si>
    <t>3154662116- 3156071491 - 3102016213 - 7463713</t>
  </si>
  <si>
    <t>info@mediport.com.co</t>
  </si>
  <si>
    <t>1100106258</t>
  </si>
  <si>
    <t>MEDIPORT SAS</t>
  </si>
  <si>
    <t>OBREGON DIEGO BARRETO</t>
  </si>
  <si>
    <t>Avenida Carrera 7 # 127 - 48 OF 501 - 502 - 512</t>
  </si>
  <si>
    <t>110014320802</t>
  </si>
  <si>
    <t>MEDISAN IPS PLAZA CENTRAL</t>
  </si>
  <si>
    <t>ANGEL FABIAN TORRES PEÑA</t>
  </si>
  <si>
    <t>CR 65 No 11 50 Local 107 108</t>
  </si>
  <si>
    <t>3227346843 - 3157694067</t>
  </si>
  <si>
    <t>medisanipscomercial@gmail.com</t>
  </si>
  <si>
    <t>110014320801</t>
  </si>
  <si>
    <t>MEDISAN IPS TINTAL</t>
  </si>
  <si>
    <t>Avenida Carrera 86 # 6 37 Local 285</t>
  </si>
  <si>
    <t>3123694811</t>
  </si>
  <si>
    <t>gerenciamedisancali@gmail.com</t>
  </si>
  <si>
    <t>1100109488</t>
  </si>
  <si>
    <t>MEDISHI MEDICINA SEGURIDAD E HIGIENE INDUSTRIAL SAS</t>
  </si>
  <si>
    <t>CARMONA ARANGO OSCAR ALFREDO</t>
  </si>
  <si>
    <t>CL 77 A # 12 35</t>
  </si>
  <si>
    <t>4432320 / 3108085286</t>
  </si>
  <si>
    <t>ocarmona@medishi.com</t>
  </si>
  <si>
    <t>110014039901</t>
  </si>
  <si>
    <t>MEDISIS SAS</t>
  </si>
  <si>
    <t>WILSON ROBERTO BEJARANO ROJAS</t>
  </si>
  <si>
    <t>CARRERA 7BIS NO 124 56 OFICINA 202</t>
  </si>
  <si>
    <t>3143702801</t>
  </si>
  <si>
    <t>contabilidad@medisis.com.co</t>
  </si>
  <si>
    <t>110013771801</t>
  </si>
  <si>
    <t>MEDITAC SALUD IPS SAS</t>
  </si>
  <si>
    <t>ERIK RICARDO CARABALI GARZON</t>
  </si>
  <si>
    <t>AK 24 # 86-28 P2</t>
  </si>
  <si>
    <t>3138162647</t>
  </si>
  <si>
    <t>calidadmeditacsalud@gmail.com</t>
  </si>
  <si>
    <t>110013801801</t>
  </si>
  <si>
    <t>MEDITET</t>
  </si>
  <si>
    <t>Nicolas Garcia Sanchez</t>
  </si>
  <si>
    <t>Cl 150 # 16- 56 Local 1078</t>
  </si>
  <si>
    <t>3005325309</t>
  </si>
  <si>
    <t>administracion@meditet.com</t>
  </si>
  <si>
    <t>1100108035</t>
  </si>
  <si>
    <t>MEDLUCARA LTDA</t>
  </si>
  <si>
    <t>DORADO CORREA IVON ANDREA</t>
  </si>
  <si>
    <t>AK 20 # 80 - 77</t>
  </si>
  <si>
    <t>6114020</t>
  </si>
  <si>
    <t>gerencia@cnsalud.com</t>
  </si>
  <si>
    <t>110011727701</t>
  </si>
  <si>
    <t>MEDSPORT COLOMBIA</t>
  </si>
  <si>
    <t>ANGEL FERNANDO PASTRANA MOLINA</t>
  </si>
  <si>
    <t>KR 16A 82 16</t>
  </si>
  <si>
    <t>6348617</t>
  </si>
  <si>
    <t>fpastrana@medsport.com.co</t>
  </si>
  <si>
    <t>110014286301</t>
  </si>
  <si>
    <t>MEDYCARE CLINICA DE OBESIDAD Y PREVENCION CARDIOVASCULAR SAS</t>
  </si>
  <si>
    <t>AV El DORADO # 69 A 51 In 3 TO B OF 702</t>
  </si>
  <si>
    <t>3125923365</t>
  </si>
  <si>
    <t>medycareobesidad.auditor@outlook.com</t>
  </si>
  <si>
    <t>110014286302</t>
  </si>
  <si>
    <t>MEDYCARE OBESIDAD - GRAN ESTACION</t>
  </si>
  <si>
    <t>Javier Dario Ruiz Mendoza</t>
  </si>
  <si>
    <t>Carrera 60 24 09 Local 1 11</t>
  </si>
  <si>
    <t>1100120239</t>
  </si>
  <si>
    <t>MEGA ASISTENCIA COMPAÑÍA DE ASISTENCIA SERVICIOS Y ASESORIA LIMITADA</t>
  </si>
  <si>
    <t>FERNANDO ANTONIO RODRIGUEZ DUARTE</t>
  </si>
  <si>
    <t>AC 127 # 20 78 CS 628 - 606</t>
  </si>
  <si>
    <t>TEL. 2595500</t>
  </si>
  <si>
    <t>rodrifermedic@hotmail.com</t>
  </si>
  <si>
    <t>110013466301</t>
  </si>
  <si>
    <t>MEISAR IPS SAS</t>
  </si>
  <si>
    <t>OSCAR LEONARDO RIVERA VELANDIA</t>
  </si>
  <si>
    <t>CL 123 Nº 7 C 06 CONSULTORIO 1 Y 2</t>
  </si>
  <si>
    <t>6195454</t>
  </si>
  <si>
    <t>meisar2017@gmail.com</t>
  </si>
  <si>
    <t>110013924101</t>
  </si>
  <si>
    <t>MENTAL HEALTH IPS SAS</t>
  </si>
  <si>
    <t>DIANA MARCELA FIERRO ROMERO</t>
  </si>
  <si>
    <t>AC 80 N° 116 B 35 P 1</t>
  </si>
  <si>
    <t>3022523001</t>
  </si>
  <si>
    <t>gerencia@mentalhealthips.com</t>
  </si>
  <si>
    <t>110011788702</t>
  </si>
  <si>
    <t>MERCADO OPTICO COOPERATIVA I S S</t>
  </si>
  <si>
    <t>CALLE 24 26 44/70</t>
  </si>
  <si>
    <t>2445052</t>
  </si>
  <si>
    <t>110011509902</t>
  </si>
  <si>
    <t>MESSER COLOMBIA S.A. AGENCIA REMEO CENTER BOGOTA</t>
  </si>
  <si>
    <t>XIMENA PINZON</t>
  </si>
  <si>
    <t>AK 14 No. 40A- 04</t>
  </si>
  <si>
    <t>4254550-3123511070- 3142314793</t>
  </si>
  <si>
    <t>bertha.gomez@messer-co.com</t>
  </si>
  <si>
    <t>110011509905</t>
  </si>
  <si>
    <t>MESSER COLOMBIA S.A. AGENCIA SUEÑO BOGOTA 106</t>
  </si>
  <si>
    <t>PATRICIA CARMENZA OROZCO SANCHEZ</t>
  </si>
  <si>
    <t>AK 45 # 106 -15</t>
  </si>
  <si>
    <t>4254550</t>
  </si>
  <si>
    <t>110013696101</t>
  </si>
  <si>
    <t>METSLIM CLINIC</t>
  </si>
  <si>
    <t>WEIMAR GARCIA CUELLAR</t>
  </si>
  <si>
    <t>CARRERA 12 No. 97 - 80 OFICINA 601</t>
  </si>
  <si>
    <t>3183058818</t>
  </si>
  <si>
    <t>info@metslim.com</t>
  </si>
  <si>
    <t>110013490902</t>
  </si>
  <si>
    <t>METVIDA IPS NORTH POINT</t>
  </si>
  <si>
    <t>Armando Ramon Otero Montes</t>
  </si>
  <si>
    <t>AK 7 155 - 80 Local 45-46</t>
  </si>
  <si>
    <t>3183399382</t>
  </si>
  <si>
    <t>armando.otero@me.com</t>
  </si>
  <si>
    <t>110013490901</t>
  </si>
  <si>
    <t>METVIDA IPS S.A.S</t>
  </si>
  <si>
    <t>ARMANDO RAMÓN OTERO MONTES</t>
  </si>
  <si>
    <t>AC 161 17-32 piso 3</t>
  </si>
  <si>
    <t>110013864901</t>
  </si>
  <si>
    <t>MEVI SALUD IPS SAS</t>
  </si>
  <si>
    <t>ANDREA GROSSO HERNÁNDEZ</t>
  </si>
  <si>
    <t>Cl 118 # 19 52 Of 501</t>
  </si>
  <si>
    <t>3203838574</t>
  </si>
  <si>
    <t>mevisalud1@gmail.com</t>
  </si>
  <si>
    <t>110012416201</t>
  </si>
  <si>
    <t>MG SALUD INTEGRAL OCUPACIONAL SAS</t>
  </si>
  <si>
    <t>Ileana Carolina Moreno Garcia</t>
  </si>
  <si>
    <t>CR 112 A No 79-17</t>
  </si>
  <si>
    <t>4339314</t>
  </si>
  <si>
    <t>gerenciamgsalud@gmail.com</t>
  </si>
  <si>
    <t>110014112001</t>
  </si>
  <si>
    <t>MH HABITOS, SALUD Y BIENESTAR</t>
  </si>
  <si>
    <t>DEISY MILENA HERRERA VELOSA</t>
  </si>
  <si>
    <t>CR 28 BIS 52 19 P1</t>
  </si>
  <si>
    <t>3204299712</t>
  </si>
  <si>
    <t>dmhv2024@gmail.com</t>
  </si>
  <si>
    <t>110013875101</t>
  </si>
  <si>
    <t>MI GENTE SANA</t>
  </si>
  <si>
    <t>CATALINA JARAMILLO CARDOSO</t>
  </si>
  <si>
    <t>CL 18 7 23 LC 3</t>
  </si>
  <si>
    <t>3133399212</t>
  </si>
  <si>
    <t>certificacionesyevaluaciones@gmail.com</t>
  </si>
  <si>
    <t>110013823501</t>
  </si>
  <si>
    <t>MI GRUPO ODONTOLOGICO INTEGRAL SAS SIGLA MIGOI SAS</t>
  </si>
  <si>
    <t>ANA MARIA GUZMAN VIVANCO</t>
  </si>
  <si>
    <t>CR54 No 152A - 85 Local 9-10 PISO 3</t>
  </si>
  <si>
    <t>3008152984</t>
  </si>
  <si>
    <t>goidireccion@gmail.com</t>
  </si>
  <si>
    <t>110012488501</t>
  </si>
  <si>
    <t>MIMA S.A.S. sigla MIMA</t>
  </si>
  <si>
    <t>Eliana Chavez</t>
  </si>
  <si>
    <t>cra 7 # 32 - 16 local 325</t>
  </si>
  <si>
    <t>3507851</t>
  </si>
  <si>
    <t>mima-spa@hotmail.com</t>
  </si>
  <si>
    <t>110010231717</t>
  </si>
  <si>
    <t>MIRARI CARE</t>
  </si>
  <si>
    <t>JUAN ELISEO MACHADO</t>
  </si>
  <si>
    <t>AVENIDA CARRERA 19 NO. 103 72 PISO 1 Y 2</t>
  </si>
  <si>
    <t>110012154601</t>
  </si>
  <si>
    <t>MM SALUD OCUPACIONAL LTDA</t>
  </si>
  <si>
    <t>RAQUEL MERCEDES MARTINEZ PLATA</t>
  </si>
  <si>
    <t>Cra 72 # 64C - 82 PISOS 1, 2 Y 3</t>
  </si>
  <si>
    <t>8053282 3163881828</t>
  </si>
  <si>
    <t>gerencia@mmsaludocupacional.com</t>
  </si>
  <si>
    <t>110014278201</t>
  </si>
  <si>
    <t>MOLARA DENTAL STUDIO</t>
  </si>
  <si>
    <t>Adriana Eugenia Medina Rodriguez</t>
  </si>
  <si>
    <t>Carrera 17 89 31 Oficina 802</t>
  </si>
  <si>
    <t>3108508966</t>
  </si>
  <si>
    <t>adrianamedinaortodoncia@gmail.com</t>
  </si>
  <si>
    <t>110012456401</t>
  </si>
  <si>
    <t>MOMPRENATAL S.A.S.</t>
  </si>
  <si>
    <t>EMILIANO MAURICIO HERRERA MENDEZ</t>
  </si>
  <si>
    <t>AVENIDA CALLE 127 No. 19A - 44 CONSULTORIO 612-613-614</t>
  </si>
  <si>
    <t>7711138-3204520517-3155815646</t>
  </si>
  <si>
    <t>gerencia@momprenatal.com.co</t>
  </si>
  <si>
    <t>110014042701</t>
  </si>
  <si>
    <t>MONREAL AESTHETICS SAS</t>
  </si>
  <si>
    <t>GUSTAVO ANDRES MONSALVE NAVARRO</t>
  </si>
  <si>
    <t>Av Calle 127 # 14 - 54 Oficina 304</t>
  </si>
  <si>
    <t>3160567986</t>
  </si>
  <si>
    <t>monreal.aesthetics@gmail.com</t>
  </si>
  <si>
    <t>110013590701</t>
  </si>
  <si>
    <t>MOVILMEDICA ATENCION INTEGRAL DOMICILIARIA SAS</t>
  </si>
  <si>
    <t>LINA PAOLA BOTERO DAZA</t>
  </si>
  <si>
    <t>AK 30 # 25B 19 PISO 1</t>
  </si>
  <si>
    <t>6014661298</t>
  </si>
  <si>
    <t>gerencia@movilmedica.com.co</t>
  </si>
  <si>
    <t>110012813701</t>
  </si>
  <si>
    <t>MR ESTRATEGIAS EN SALUD SAS</t>
  </si>
  <si>
    <t>MARTHA LIGIA CAYCEDO BUSTOS</t>
  </si>
  <si>
    <t>Carrera 70B No. 109-24</t>
  </si>
  <si>
    <t>5513467-3214598156</t>
  </si>
  <si>
    <t>mrestrategiasensalud@gmail.com</t>
  </si>
  <si>
    <t>110012140001</t>
  </si>
  <si>
    <t>MULTIHEALTH</t>
  </si>
  <si>
    <t>LUIS FERNANDO NAVARRO DIAZ</t>
  </si>
  <si>
    <t>CRA 9 # 127C- 60 CONSULTORIO 506A</t>
  </si>
  <si>
    <t>3123691474</t>
  </si>
  <si>
    <t>multihealthsas@gmail.com</t>
  </si>
  <si>
    <t>110014145601</t>
  </si>
  <si>
    <t>MULTIPLE HEALTH SERVICE IPS SAS SIGLA: MULTIPLE H&amp;S</t>
  </si>
  <si>
    <t>CARRERA 10 No. 134 - 07 CONS. 303</t>
  </si>
  <si>
    <t>3103628244</t>
  </si>
  <si>
    <t>camilaandrearuizh@gmail.com</t>
  </si>
  <si>
    <t>110013212101</t>
  </si>
  <si>
    <t>MULTITERAPIA I.P.S S A S</t>
  </si>
  <si>
    <t>ANDREA PATRICIA VALDES HERNANDEZ</t>
  </si>
  <si>
    <t>CR 33 A NO. 31 59 Piso 1</t>
  </si>
  <si>
    <t>2498203 3226619913</t>
  </si>
  <si>
    <t>multiterapiaipsas@gmail.com</t>
  </si>
  <si>
    <t>110012485002</t>
  </si>
  <si>
    <t>MUTALIS FLORMORADO</t>
  </si>
  <si>
    <t>CARLOS MARIO VILLEGAS TORO</t>
  </si>
  <si>
    <t>Calle 117 # 6A - 60 Consultorio 301A</t>
  </si>
  <si>
    <t>3181022227-6017702701</t>
  </si>
  <si>
    <t>info@mutalis.co</t>
  </si>
  <si>
    <t>110012485001</t>
  </si>
  <si>
    <t>MUTALIS SAS</t>
  </si>
  <si>
    <t>AV 116 # 9-72 CONSULTORIO 412 - 413</t>
  </si>
  <si>
    <t>110013712301</t>
  </si>
  <si>
    <t>Medialivio Centro de Excelencia y Bienestar S.A.S.</t>
  </si>
  <si>
    <t>Diego Fernando Munévar Sánchez</t>
  </si>
  <si>
    <t>CL 117 # 6 A 60 OF308</t>
  </si>
  <si>
    <t>6017026728 Celular 3503779960</t>
  </si>
  <si>
    <t>medialivio.dolor@gmail.com</t>
  </si>
  <si>
    <t>110012156401</t>
  </si>
  <si>
    <t>Medicentro Familiar IPS SAS</t>
  </si>
  <si>
    <t>Calle 20 No. 98-62</t>
  </si>
  <si>
    <t>110012892301</t>
  </si>
  <si>
    <t>Medicina Especializada en Dolor y Trabajo Medt SAS. Sigla: Medt SAS</t>
  </si>
  <si>
    <t>Yaneth Galeano Bedon</t>
  </si>
  <si>
    <t>Carrera 13 #48 - 26 Consultorio 102 y 403</t>
  </si>
  <si>
    <t>3114491214</t>
  </si>
  <si>
    <t>gerencia.medt@gmail.com</t>
  </si>
  <si>
    <t>1100105742</t>
  </si>
  <si>
    <t>Medicina de Rehabilitación y Electrodiagnóstico SAS</t>
  </si>
  <si>
    <t>RIBERO CALVO RAUL ANDRES</t>
  </si>
  <si>
    <t>CALLE 116 # 9 - 72 CONSULTORIO 712</t>
  </si>
  <si>
    <t>110011350805</t>
  </si>
  <si>
    <t>Medilaboral IPS - Centro Mayor</t>
  </si>
  <si>
    <t>Maria Teresa Salazar Charrys</t>
  </si>
  <si>
    <t>TV 35 38B 85 SUR</t>
  </si>
  <si>
    <t>3144262498</t>
  </si>
  <si>
    <t>110012587001</t>
  </si>
  <si>
    <t>Mobility Group SAS</t>
  </si>
  <si>
    <t>María Milena Cruz Otalora</t>
  </si>
  <si>
    <t>Avenida Calle 80 No. 69 - 70 Unidad 7</t>
  </si>
  <si>
    <t>7420744/3212273282/7423072/ 7427269</t>
  </si>
  <si>
    <t>direcciondecalidad@mobilitygroup.co</t>
  </si>
  <si>
    <t>110013670401</t>
  </si>
  <si>
    <t>MÉDICOS Y TRANSPORTE DE COLOMBIA S.A.S - MEDITRANSCOL S.A.S</t>
  </si>
  <si>
    <t>JOHN ALEXANDER GRAJALES VALERO</t>
  </si>
  <si>
    <t>Avenida Carrera 45 101 17</t>
  </si>
  <si>
    <t>3223093995</t>
  </si>
  <si>
    <t>gerencia.meditranscol@gmail.com</t>
  </si>
  <si>
    <t>110013479901</t>
  </si>
  <si>
    <t>NABESADE SAS</t>
  </si>
  <si>
    <t>Paula Andrea Betancur</t>
  </si>
  <si>
    <t>CALLE 127 A # 7 - 19 OFICINA 601 A</t>
  </si>
  <si>
    <t>3106764378</t>
  </si>
  <si>
    <t>calidad@luismiguelzabaleta.com</t>
  </si>
  <si>
    <t>110012337901</t>
  </si>
  <si>
    <t>NASHAO LA ARMONIA DEL SER</t>
  </si>
  <si>
    <t>KAREN ARZUZA CASAÑAS</t>
  </si>
  <si>
    <t>CALLE 134 N. 57 - 25</t>
  </si>
  <si>
    <t>6434139</t>
  </si>
  <si>
    <t>nashao.comercial@gmail.com</t>
  </si>
  <si>
    <t>1100119776</t>
  </si>
  <si>
    <t>NATURAL BODY CENTER LTDA</t>
  </si>
  <si>
    <t>RICARDO ERNESTO VILLORIA DELGADO</t>
  </si>
  <si>
    <t>CL 53 B # 24 80 CS 413</t>
  </si>
  <si>
    <t>3125241052 3112117209</t>
  </si>
  <si>
    <t>contactenos@naturalbodycenter.com</t>
  </si>
  <si>
    <t>www.naturalbodycenter.com</t>
  </si>
  <si>
    <t>110011977612</t>
  </si>
  <si>
    <t>NATURAL BODY CENTER LTDA NOGAL</t>
  </si>
  <si>
    <t>CALLE 73 N°. 7-50 CS 301</t>
  </si>
  <si>
    <t>3125241052-3112117209</t>
  </si>
  <si>
    <t>110011977613</t>
  </si>
  <si>
    <t>NATURAL BODY CENTER LTDA SUBA</t>
  </si>
  <si>
    <t>AC 145 N° 91-19 LC 11-205</t>
  </si>
  <si>
    <t>110011977605</t>
  </si>
  <si>
    <t>NATURAL BODY CENTER LTDA.</t>
  </si>
  <si>
    <t>AK 15 124 17 CS 411-CS 419</t>
  </si>
  <si>
    <t>110011977614</t>
  </si>
  <si>
    <t>NATURAL BODY CENTER PASADENA</t>
  </si>
  <si>
    <t>AVENIDA CARRERA 45 106 71 CS 404</t>
  </si>
  <si>
    <t>CONTACTENOS@NATURALBODYCENTER.COM</t>
  </si>
  <si>
    <t>110014039301</t>
  </si>
  <si>
    <t>NATURAL RENOVATION REJUVENECIMIENTO Y EQUILIBRIO SAS</t>
  </si>
  <si>
    <t>NATALIA REYES GUTIERREZ</t>
  </si>
  <si>
    <t>Ak 15 No 124-30 Local 1-001 PISO 1</t>
  </si>
  <si>
    <t>3176409454</t>
  </si>
  <si>
    <t>dranataliareyes@gmail.com</t>
  </si>
  <si>
    <t>110013413401</t>
  </si>
  <si>
    <t>NEUROAVANZAR BOGOTA SAS</t>
  </si>
  <si>
    <t>MARCELA ARCINIEGAS GELVEZ</t>
  </si>
  <si>
    <t>CARRERA 67 # 167 - 61 OFICINA 318, 611, 612, 613, 614</t>
  </si>
  <si>
    <t>3575628</t>
  </si>
  <si>
    <t>marcela.arciniegas@gmail.com</t>
  </si>
  <si>
    <t>110012272601</t>
  </si>
  <si>
    <t>NEUROAXONAL SOCIEDAD POR ACCIONES SIMPLIFICADA</t>
  </si>
  <si>
    <t>JEAN PAUL VERGARA AGUILAR</t>
  </si>
  <si>
    <t>CARRERA 52 # 67A-71 CS 202, 203 Y 204</t>
  </si>
  <si>
    <t>6017004837 - 3132860025</t>
  </si>
  <si>
    <t>neuroaxonalsas@gmail.com</t>
  </si>
  <si>
    <t>110013780101</t>
  </si>
  <si>
    <t>NEUROCOM IPS</t>
  </si>
  <si>
    <t>Edgar Peña Rodríguez</t>
  </si>
  <si>
    <t>Cra 19 # 97 - 31 Oficina 704 Consultorios 1 - 2 Oficina 602 Consultorio 1</t>
  </si>
  <si>
    <t>3153408333</t>
  </si>
  <si>
    <t>ee.penar@neurocomgroup.com</t>
  </si>
  <si>
    <t>110013390501</t>
  </si>
  <si>
    <t>NEUROFAMILIA IPS SAS</t>
  </si>
  <si>
    <t>ISRAEL ZARATE FLOREZ</t>
  </si>
  <si>
    <t>AV CRA 20 # 86- 57</t>
  </si>
  <si>
    <t>8058876</t>
  </si>
  <si>
    <t>NEUROFAMILIA1@GMAIL.COM</t>
  </si>
  <si>
    <t>110013788201</t>
  </si>
  <si>
    <t>NEW DAY I.P.S SOLUCIONES MEDICAS SAS</t>
  </si>
  <si>
    <t>YUDY ALEXANDRA ESPINOSA SEPULVEDA</t>
  </si>
  <si>
    <t>CALLE 79 No.89A-40 LOCAL 1-26</t>
  </si>
  <si>
    <t>6016317949</t>
  </si>
  <si>
    <t>newdayips@outlook.com</t>
  </si>
  <si>
    <t>110014114904</t>
  </si>
  <si>
    <t>NEXDENT CALLE 93</t>
  </si>
  <si>
    <t>KAREN YISETH CAÑAS ROA</t>
  </si>
  <si>
    <t>CARRERA 13 N° 93-85 OF 301</t>
  </si>
  <si>
    <t>3046429804</t>
  </si>
  <si>
    <t>NEXDENTCALLE93@GMAI L.COM</t>
  </si>
  <si>
    <t>110014114903</t>
  </si>
  <si>
    <t>NEXDENT CASTELLANA</t>
  </si>
  <si>
    <t>CALLE 99 # 49-38 OF 703</t>
  </si>
  <si>
    <t>3046430754</t>
  </si>
  <si>
    <t>NEXDENTCASTELLANA@GMAIL.COM</t>
  </si>
  <si>
    <t>110014114902</t>
  </si>
  <si>
    <t>NEXDENT UNICENTRO</t>
  </si>
  <si>
    <t>CARRERA 15 A 121 12 OFICINA 513 -514</t>
  </si>
  <si>
    <t>3133360085</t>
  </si>
  <si>
    <t>NEXDENTUNICENTRO@GMAIL.COM</t>
  </si>
  <si>
    <t>110014114901</t>
  </si>
  <si>
    <t>NEXDENT USAQUEN</t>
  </si>
  <si>
    <t>CL 120 A 7 36 of 1103</t>
  </si>
  <si>
    <t>3006414199</t>
  </si>
  <si>
    <t>gerencia@adl.com.co</t>
  </si>
  <si>
    <t>110012143501</t>
  </si>
  <si>
    <t>NEXUS GROUP SAS</t>
  </si>
  <si>
    <t>GRACIELA VALDERRAMA L.</t>
  </si>
  <si>
    <t>KR 14 A # 112 79 PI 1</t>
  </si>
  <si>
    <t>7427358-3204084296 - 3182817653</t>
  </si>
  <si>
    <t>viviana.valderrama@camiloprieto.com</t>
  </si>
  <si>
    <t>110013457501</t>
  </si>
  <si>
    <t>NOVASMILE COUNTRY</t>
  </si>
  <si>
    <t>ELISA MARIA ARCINIEGAS MONTOYA</t>
  </si>
  <si>
    <t>CARRERA 19 A # 82- 85 CONSULTORIO 412</t>
  </si>
  <si>
    <t>3042669678</t>
  </si>
  <si>
    <t>novasmilebogota@gmail.com</t>
  </si>
  <si>
    <t>110014311501</t>
  </si>
  <si>
    <t>NOVASTETICA BELLEZA Y BIENESTAR INTEGRAL</t>
  </si>
  <si>
    <t>NELFI VARGAS</t>
  </si>
  <si>
    <t>CARRERA 15A # 121 - 12 OF 521</t>
  </si>
  <si>
    <t>6018089830</t>
  </si>
  <si>
    <t>gerencia@novastetica.com</t>
  </si>
  <si>
    <t>110012208205</t>
  </si>
  <si>
    <t>NP MEDICAL IPS FONTIBÓN</t>
  </si>
  <si>
    <t>Alexander Neira Medina</t>
  </si>
  <si>
    <t>TRANSVERSAL 96B # 20C-40</t>
  </si>
  <si>
    <t>3174284790</t>
  </si>
  <si>
    <t>calidad@grupomacromedips.com.co</t>
  </si>
  <si>
    <t>110012208203</t>
  </si>
  <si>
    <t>NP MEDICAL IPS SAMPER</t>
  </si>
  <si>
    <t>Calle 24 N° 17-35 P.1 Al 4</t>
  </si>
  <si>
    <t>(601)7427846</t>
  </si>
  <si>
    <t>110012208206</t>
  </si>
  <si>
    <t>NP MEDICAL IPS SEDE SUR</t>
  </si>
  <si>
    <t>Carrera 10 16 29 Sur Piso 1 - 2 - 3</t>
  </si>
  <si>
    <t>314 3316602</t>
  </si>
  <si>
    <t>alexneira7111@hotmail.com</t>
  </si>
  <si>
    <t>110013804701</t>
  </si>
  <si>
    <t>NSG LABORATORIOS IPS S.A.S.</t>
  </si>
  <si>
    <t>JERALDYNE BERNAL SANCHEZ</t>
  </si>
  <si>
    <t>Cr. 4 ESTE No.41B - 15 SUR Cs4</t>
  </si>
  <si>
    <t>3165270612</t>
  </si>
  <si>
    <t>nsglaboratorios@gmail.com</t>
  </si>
  <si>
    <t>110013565301</t>
  </si>
  <si>
    <t>NUARA SAS</t>
  </si>
  <si>
    <t>BENYI AVELLANEDA MOLANO</t>
  </si>
  <si>
    <t>CALLE 122 # 22-49, PISO 1</t>
  </si>
  <si>
    <t>3103298868-3118306373</t>
  </si>
  <si>
    <t>doctoravellaneda@gmail.com</t>
  </si>
  <si>
    <t>110010303101</t>
  </si>
  <si>
    <t>NUEVA CLINICA MAGDALENA</t>
  </si>
  <si>
    <t>JAIME EDUARDO FRANCO SANDINO</t>
  </si>
  <si>
    <t>CALLE 39 No. 14-34</t>
  </si>
  <si>
    <t>110013852801</t>
  </si>
  <si>
    <t>NURSE LILI SAS SEDE BOGOTA</t>
  </si>
  <si>
    <t>JUAN CARLOS GARZON PINILLOS</t>
  </si>
  <si>
    <t>Carrera 45A # 95-37 Oficina 301</t>
  </si>
  <si>
    <t>3114666772</t>
  </si>
  <si>
    <t>nurselilicalidad@gmail.com</t>
  </si>
  <si>
    <t>110012482201</t>
  </si>
  <si>
    <t>Neuronabebe SAS</t>
  </si>
  <si>
    <t>MARIA MONICA LOPEZ MUÑOZ</t>
  </si>
  <si>
    <t>CALLE 73 NO 20C-53</t>
  </si>
  <si>
    <t>3214884189 - 3838490</t>
  </si>
  <si>
    <t>administracion@neuronabebe.com</t>
  </si>
  <si>
    <t>110012512501</t>
  </si>
  <si>
    <t>Neurovital Care SAS</t>
  </si>
  <si>
    <t>Diego Alberto Ruiz Amaya</t>
  </si>
  <si>
    <t>AV C 134 # 7 83 T4 P4 M443</t>
  </si>
  <si>
    <t>3112599790</t>
  </si>
  <si>
    <t>neurovitalcare@gmail.com</t>
  </si>
  <si>
    <t>110011472503</t>
  </si>
  <si>
    <t>O&amp;G S.A.S AMERICAS</t>
  </si>
  <si>
    <t>PEDRO ANTONIO BARRERA CARRILLO</t>
  </si>
  <si>
    <t>Ac 9 No. 62 - 84 Lc 2 60 - 68 - 69 - 70</t>
  </si>
  <si>
    <t>6012541551</t>
  </si>
  <si>
    <t>calidad@oyg.com.co</t>
  </si>
  <si>
    <t>110011472502</t>
  </si>
  <si>
    <t>O&amp;G S.A.S BULEVAR</t>
  </si>
  <si>
    <t>AV CR 58 127 59 LC 160 - 160 A</t>
  </si>
  <si>
    <t>110010320901</t>
  </si>
  <si>
    <t>OBGYN</t>
  </si>
  <si>
    <t>LUIS ANDRES SARMIENTO RODRIGUEZ</t>
  </si>
  <si>
    <t>CARRERA 19 A NO. 82 85 CONSULTORIO 801</t>
  </si>
  <si>
    <t>6358057 - 6215670</t>
  </si>
  <si>
    <t>obgynltda@hotmail.com</t>
  </si>
  <si>
    <t>1100114725</t>
  </si>
  <si>
    <t>OBSTETRICIA &amp; GINECOLOGIA S.A.S. PERO PODRA UTILIZAR LA SIGLA O&amp;G S.A.S.</t>
  </si>
  <si>
    <t>DIANA PATRICIA PARRADO VIZCAINO.</t>
  </si>
  <si>
    <t>Ac 9 No. 62 - 84 Lc 2 60 - 68 - 69 - 70 - Barrio:SALAZAR GOMEZ</t>
  </si>
  <si>
    <t>6017430150</t>
  </si>
  <si>
    <t>www.oyg.com.co</t>
  </si>
  <si>
    <t>110013783301</t>
  </si>
  <si>
    <t>OCUPASALUD BOGOTA S.A.S</t>
  </si>
  <si>
    <t>MICHAEL MIGUEL MEDINA MORALES</t>
  </si>
  <si>
    <t>CALLE 22 SUR#19C-09 LOCAL 207-208</t>
  </si>
  <si>
    <t>3114802421</t>
  </si>
  <si>
    <t>OCUPASALUD.BOGOTA@GMAIL.COM</t>
  </si>
  <si>
    <t>110011348301</t>
  </si>
  <si>
    <t>ODONTECH</t>
  </si>
  <si>
    <t>MARTHA FERNANDA CAÑON NIETO</t>
  </si>
  <si>
    <t>CL 109# 17A-35 CS 401</t>
  </si>
  <si>
    <t>6021070</t>
  </si>
  <si>
    <t>integralsaludltda@gmail.com</t>
  </si>
  <si>
    <t>110013516203</t>
  </si>
  <si>
    <t>ODONTO EXPRESS 2</t>
  </si>
  <si>
    <t>CAMILO ENRIQUE GONZALEZ CUBILLOS</t>
  </si>
  <si>
    <t>TRANSVERSAL 21A # 21A 16 SUR</t>
  </si>
  <si>
    <t>3503421864</t>
  </si>
  <si>
    <t>cgonzalez@odontoexpress.co</t>
  </si>
  <si>
    <t>110013516204</t>
  </si>
  <si>
    <t>ODONTO EXPRESS 3</t>
  </si>
  <si>
    <t>CARRERA 100 Nº 17 A 09</t>
  </si>
  <si>
    <t>110013516205</t>
  </si>
  <si>
    <t>ODONTO EXPRESS CENTRO MAYOR SEDE 4</t>
  </si>
  <si>
    <t>CAMILO GONZALEZ CUBILLOS</t>
  </si>
  <si>
    <t>CALLE 38A SUR N° 34 D - 51 LOCAL 2171</t>
  </si>
  <si>
    <t>310 3233382 / 3108079915</t>
  </si>
  <si>
    <t>directora_sede4@odontoexpress.co</t>
  </si>
  <si>
    <t>110013516201</t>
  </si>
  <si>
    <t>ODONTO EXPRESS RESTREPO</t>
  </si>
  <si>
    <t>TRANSVERSAL 21 A SUR # 21 - 18</t>
  </si>
  <si>
    <t>110010917803</t>
  </si>
  <si>
    <t>ODONTOAMERICAS</t>
  </si>
  <si>
    <t>Avenida Américas N° 66 a - 27 segundo piso</t>
  </si>
  <si>
    <t>110011840201</t>
  </si>
  <si>
    <t>ODONTOCLINICS QUIROGA</t>
  </si>
  <si>
    <t>Dr. RICARDO MEJIA GONZALEZ</t>
  </si>
  <si>
    <t>KR 24 SUR No. 31 C - 83 PISO 2</t>
  </si>
  <si>
    <t>2021987/3005163829</t>
  </si>
  <si>
    <t>odontoclinics@hotmail.com</t>
  </si>
  <si>
    <t>1100118402</t>
  </si>
  <si>
    <t>ODONTOCLINICS QUIROGA S A S</t>
  </si>
  <si>
    <t>KR 24 SUR No. 31 C- 83 PISO 2</t>
  </si>
  <si>
    <t>110011772802</t>
  </si>
  <si>
    <t>ODONTOLAY JAVERIANA</t>
  </si>
  <si>
    <t>KR 13 #. 44 - 35 PI 2</t>
  </si>
  <si>
    <t>2328858</t>
  </si>
  <si>
    <t>110012175703</t>
  </si>
  <si>
    <t>ODONTOLAY RESTREPO</t>
  </si>
  <si>
    <t>TV 21A No 21-26 sur Piso 1</t>
  </si>
  <si>
    <t>5601727-3124965493- 3138208818</t>
  </si>
  <si>
    <t>110012000501</t>
  </si>
  <si>
    <t>ODONTOLAY SANTA LIBRADA</t>
  </si>
  <si>
    <t>Dr. GUILLERMO BUITRAGO AVILA</t>
  </si>
  <si>
    <t>AK 1 NO. 75 A 38 SUR</t>
  </si>
  <si>
    <t>7617075</t>
  </si>
  <si>
    <t>110011772801</t>
  </si>
  <si>
    <t>ODONTOLAY VENECIA</t>
  </si>
  <si>
    <t>110014295501</t>
  </si>
  <si>
    <t>ODONTOLOGIA CON SENTIDO IPS SAS</t>
  </si>
  <si>
    <t>SANDRA MAYERLY COCA PEÑA</t>
  </si>
  <si>
    <t>CL 90#19A-49 CONS 302</t>
  </si>
  <si>
    <t>3104527080-3203066177</t>
  </si>
  <si>
    <t>odontologiaconsentido@gmail.com</t>
  </si>
  <si>
    <t>110012258003</t>
  </si>
  <si>
    <t>ODONTOLOGIA DE MARLON BECERRA CALIMA</t>
  </si>
  <si>
    <t>MARLON BECERRA DIAZ</t>
  </si>
  <si>
    <t>AV. CALLE 19 No 28 - 80 Local B28 Centro Comercial Mall Plaza</t>
  </si>
  <si>
    <t>3611019 - 3786640</t>
  </si>
  <si>
    <t>recursoshumanos@marlonbecerrasas.com</t>
  </si>
  <si>
    <t>110013571801</t>
  </si>
  <si>
    <t>ODONTOLOGIA DE MARLON BECERRA CENTRO COMERCIAL CEDRITOS</t>
  </si>
  <si>
    <t>JOSE ANTONIO CUMBE FLOREZ</t>
  </si>
  <si>
    <t>CALLE 151 Nº 16 56 LC 1172</t>
  </si>
  <si>
    <t>3102501466</t>
  </si>
  <si>
    <t>joseantonio28@gmail.com</t>
  </si>
  <si>
    <t>110012882801</t>
  </si>
  <si>
    <t>ODONTOLOGIA DE MARLON BECERRA CENTRO MAYOR</t>
  </si>
  <si>
    <t>INGRID NATALY ROJAS GARCIA</t>
  </si>
  <si>
    <t>TV 35 N° 37 - 83 SUR</t>
  </si>
  <si>
    <t>7139326</t>
  </si>
  <si>
    <t>consemprosas@gmail.com</t>
  </si>
  <si>
    <t>110012141801</t>
  </si>
  <si>
    <t>ODONTOLOGIA DE MARLON BECERRA COLINA</t>
  </si>
  <si>
    <t>ALEX EDUARDO BAYONA MARIN</t>
  </si>
  <si>
    <t>KR 58 (AV VILLAS) # 128 A 71</t>
  </si>
  <si>
    <t>2535853 - 3135254543</t>
  </si>
  <si>
    <t>uedcolina@hotmail.com</t>
  </si>
  <si>
    <t>110012258005</t>
  </si>
  <si>
    <t>ODONTOLOGIA DE MARLON BECERRA ESTUDIO DENTAL</t>
  </si>
  <si>
    <t>ADRIANA XIMENA CUBILLOS FLOREZ</t>
  </si>
  <si>
    <t>Calle 90 17 31 Oficina 203</t>
  </si>
  <si>
    <t>3203421864</t>
  </si>
  <si>
    <t>gerencia1@marlonbecerrasas.com</t>
  </si>
  <si>
    <t>110012258001</t>
  </si>
  <si>
    <t>ODONTOLOGIA DE MARLON BECERRA RESTREPO</t>
  </si>
  <si>
    <t>CALLE 18 SUR -17-13 piso 1</t>
  </si>
  <si>
    <t>3611019</t>
  </si>
  <si>
    <t>110010893501</t>
  </si>
  <si>
    <t>ODONTOLOGIA DE MARLON BECERRA SEDE CHICO</t>
  </si>
  <si>
    <t>CL 92 11 51 LC 2</t>
  </si>
  <si>
    <t>7461111 - 4320020 - 3107862504</t>
  </si>
  <si>
    <t>110011765801</t>
  </si>
  <si>
    <t>ODONTOLOGIA DE MARLON BECERRA SEDE SALITRE</t>
  </si>
  <si>
    <t>110013724301</t>
  </si>
  <si>
    <t>ODONTOLOGIA LASER S.A.S</t>
  </si>
  <si>
    <t>DIEGO ALEJANDRO GAVIRIA BEITIA</t>
  </si>
  <si>
    <t>AV CL 53 No. 21 - 62</t>
  </si>
  <si>
    <t>3243929824</t>
  </si>
  <si>
    <t>calidad@odontologialaser.co</t>
  </si>
  <si>
    <t>110014154001</t>
  </si>
  <si>
    <t>ODONTOLOGIA VITAL GM SAS</t>
  </si>
  <si>
    <t>ANDRES FELIPE GUZMAN DURAN</t>
  </si>
  <si>
    <t>Carrera 13 92 57 Oficina 206 Consultorio 1-2-3-4</t>
  </si>
  <si>
    <t>6016161545</t>
  </si>
  <si>
    <t>gerencia@vital.com.co</t>
  </si>
  <si>
    <t>1100117234</t>
  </si>
  <si>
    <t>ODONTOLOGICOS TORRES MANCILLA LTDA-ORTOCID LTDA</t>
  </si>
  <si>
    <t>Cristina Mancilla Gamboa</t>
  </si>
  <si>
    <t>Cra 73 No 5C -27 Piso 1 Entrada Plazoleta</t>
  </si>
  <si>
    <t>https://ortocid.com/</t>
  </si>
  <si>
    <t>1100115879</t>
  </si>
  <si>
    <t>ODONTOLOGOS COLOMBIANOS ESPECIALIZADOS S.A.S</t>
  </si>
  <si>
    <t>HALIOD ANDREA ORTIZ CORTES</t>
  </si>
  <si>
    <t>CARRERA 58 No 137B-38 piso 3</t>
  </si>
  <si>
    <t>2 71 62 26</t>
  </si>
  <si>
    <t>ocecolina@yahoo.es</t>
  </si>
  <si>
    <t>110012384602</t>
  </si>
  <si>
    <t>ODONTOLOGíA DE MARLON BECERRA SEDE AMERICAS</t>
  </si>
  <si>
    <t>JORGE ARTURO REY CUBILLOS</t>
  </si>
  <si>
    <t>Tv 71 Bis No. 5 C - 52</t>
  </si>
  <si>
    <t>4884552 - 4884572</t>
  </si>
  <si>
    <t>ombkennedy@gmail.com</t>
  </si>
  <si>
    <t>110012228601</t>
  </si>
  <si>
    <t>ODONTOPLUS SANTA LUCIA</t>
  </si>
  <si>
    <t>JUAN CARLOS ESGUERRA SEGURA</t>
  </si>
  <si>
    <t>CLLE 44 SUR Nª 21-32</t>
  </si>
  <si>
    <t>3156127136</t>
  </si>
  <si>
    <t>odontoplussantalucia@gmail.com</t>
  </si>
  <si>
    <t>110013944001</t>
  </si>
  <si>
    <t>ODONTOVIVIR DENTAL GROUP S.A.S</t>
  </si>
  <si>
    <t>CRISTHIAN DAVID CARDENAS FLOREZ</t>
  </si>
  <si>
    <t>Av- 19 No. 118- 95 Of. 409</t>
  </si>
  <si>
    <t>3507108887</t>
  </si>
  <si>
    <t>odontovivirdentalgroup@gmail.com</t>
  </si>
  <si>
    <t>110011507009</t>
  </si>
  <si>
    <t>OFTALMOHELP APOYO DIAGNOSTICO OFTALMOLOGICO</t>
  </si>
  <si>
    <t>ALVARO FRANCISCO RIBERO CADENA</t>
  </si>
  <si>
    <t>CR 7B BIS NO. 132-38 EDIFICIO FOREST MEDICAL CENTER PISO 7</t>
  </si>
  <si>
    <t>3164195115 - 3138306090</t>
  </si>
  <si>
    <t>coordinadornacionalcalidad@univerplus.com</t>
  </si>
  <si>
    <t>110011507016</t>
  </si>
  <si>
    <t>OFTALMOHELP APOYO DIAGNOSTICO OFTALMOLOGICO SEDE 3</t>
  </si>
  <si>
    <t>KR 18 # 93 25 OFICINA 103 Y 307</t>
  </si>
  <si>
    <t>1100107481</t>
  </si>
  <si>
    <t>OFTALMOIA SAS</t>
  </si>
  <si>
    <t>CASTILLO ESCOBAR MILCIADES</t>
  </si>
  <si>
    <t>Cl 134 7 B 83 Cs 307 Al 311, 313 Al 317</t>
  </si>
  <si>
    <t>6273477</t>
  </si>
  <si>
    <t>1100101443</t>
  </si>
  <si>
    <t>OFTALMOS S.A.</t>
  </si>
  <si>
    <t>IGNACIO BARRAQUER COLL</t>
  </si>
  <si>
    <t>2187077 ext 326</t>
  </si>
  <si>
    <t>WWW.BARRAQUER.COM.CO</t>
  </si>
  <si>
    <t>110010756701</t>
  </si>
  <si>
    <t>OLSABE S.A.S</t>
  </si>
  <si>
    <t>MONICA LOZANO BLOG</t>
  </si>
  <si>
    <t>110012995801</t>
  </si>
  <si>
    <t>OMAR RIVERA MENJURA MEDICINA ALTERNATIVA MEDICINA LABORAL S.A.S.</t>
  </si>
  <si>
    <t>OMAR AUDREY RIVERA MENJURA</t>
  </si>
  <si>
    <t>CALLE 24A NUMERO 74A - 25</t>
  </si>
  <si>
    <t>7498166</t>
  </si>
  <si>
    <t>recepciondoctoromarriveram@gmail.com</t>
  </si>
  <si>
    <t>110014306601</t>
  </si>
  <si>
    <t>OMNIA MEDICAL CENTER S.A.S SIGLA OMNIA MC</t>
  </si>
  <si>
    <t>Leiner Fabian Aroca Maestre</t>
  </si>
  <si>
    <t>Calle 126 No 7 - 52 Consultorio 507</t>
  </si>
  <si>
    <t>3246153228</t>
  </si>
  <si>
    <t>omniamcgerencia@gmail.com</t>
  </si>
  <si>
    <t>110014128801</t>
  </si>
  <si>
    <t>OMNIMEDICAL CENTER SAS</t>
  </si>
  <si>
    <t>JOSE LIBARDO BUENO MARIN</t>
  </si>
  <si>
    <t>AV CL 127 # 20 16 ED 127 PLUSS OF 502</t>
  </si>
  <si>
    <t>3163764414</t>
  </si>
  <si>
    <t>libardobueno@gmail.com</t>
  </si>
  <si>
    <t>110012147703</t>
  </si>
  <si>
    <t>ONCOLIFE IPS SEDE FLORESTA</t>
  </si>
  <si>
    <t>Carrera 69 98 A 11 Local 111</t>
  </si>
  <si>
    <t>3186127074- 3178061653</t>
  </si>
  <si>
    <t>110012266512</t>
  </si>
  <si>
    <t>ONE VISION</t>
  </si>
  <si>
    <t>ALFONSO PEÑA ESCAMILLA</t>
  </si>
  <si>
    <t>CARRERA 112 A # 78 C 52</t>
  </si>
  <si>
    <t>2825621</t>
  </si>
  <si>
    <t>opticavisionplusss@gmail.com</t>
  </si>
  <si>
    <t>110012832102</t>
  </si>
  <si>
    <t>ONE VISION LINE</t>
  </si>
  <si>
    <t>CR 4 ESTE # 38 28 SUR</t>
  </si>
  <si>
    <t>3639887</t>
  </si>
  <si>
    <t>opticasvisionline@gmail.com</t>
  </si>
  <si>
    <t>110012266505</t>
  </si>
  <si>
    <t>ONE VISION PLUSS</t>
  </si>
  <si>
    <t>CALLE 163 A 8 G 71 LOCAL 2</t>
  </si>
  <si>
    <t>3223902</t>
  </si>
  <si>
    <t>110013758101</t>
  </si>
  <si>
    <t>ONIROS CENTRO ESPECIALIZADO EN MEDICINA INTEGRAL DEL SUEÑO SAS SIGLA ONIROS</t>
  </si>
  <si>
    <t>diana patricia guevara latorre</t>
  </si>
  <si>
    <t>Calle 81 No 19-A 18 Ofc 304</t>
  </si>
  <si>
    <t>3158873530</t>
  </si>
  <si>
    <t>gerencia.oniros@gmail.com</t>
  </si>
  <si>
    <t>110010716101</t>
  </si>
  <si>
    <t>OPTICA ALEMANA</t>
  </si>
  <si>
    <t>GLORIA ATENAIS GARRIDO LINCE</t>
  </si>
  <si>
    <t>CALLE 64 N 7-80</t>
  </si>
  <si>
    <t>3585595 2498441 3143209609</t>
  </si>
  <si>
    <t>gerencia@opticaalemanash.com</t>
  </si>
  <si>
    <t>110010716105</t>
  </si>
  <si>
    <t>OPTICA ALEMANA ANDINO</t>
  </si>
  <si>
    <t>CARRERA 11 N° 82-71 LOCAL 3-52</t>
  </si>
  <si>
    <t>3002112 - 3219648703</t>
  </si>
  <si>
    <t>110010386304</t>
  </si>
  <si>
    <t>OPTICA ALEMANA CALLE 122</t>
  </si>
  <si>
    <t>GONZALO GOMEZ VASQUEZ</t>
  </si>
  <si>
    <t>Cl. 122 # 18 B - 73</t>
  </si>
  <si>
    <t>7442198</t>
  </si>
  <si>
    <t>contacto@opticaalemana.com.co</t>
  </si>
  <si>
    <t>110010386305</t>
  </si>
  <si>
    <t>OPTICA ALEMANA COLINA</t>
  </si>
  <si>
    <t>Avenida Carrera 58 # 137 A - 10</t>
  </si>
  <si>
    <t>3175858238</t>
  </si>
  <si>
    <t>1100103863</t>
  </si>
  <si>
    <t>OPTICA ALEMANA EYH SCHMIDT SA</t>
  </si>
  <si>
    <t>SCHMIDT BARRERA JUANITA</t>
  </si>
  <si>
    <t>AC 19 # 9 47</t>
  </si>
  <si>
    <t>3348891</t>
  </si>
  <si>
    <t>1100107161</t>
  </si>
  <si>
    <t>OPTICA ALEMANA SCHMIDT HIJOS LTDA</t>
  </si>
  <si>
    <t>SCHLIEF RAETHER WOLF GUNNAR</t>
  </si>
  <si>
    <t>CARRERA 11 N° 82-71 LOCAL 3-52 - Barrio:EL RETIRO</t>
  </si>
  <si>
    <t>www.opticaalemanash.com</t>
  </si>
  <si>
    <t>110010386302</t>
  </si>
  <si>
    <t>OPTICA ALEMANA UNICENTRO DE OCCIDENTE</t>
  </si>
  <si>
    <t>Kr. 111C # 86-74 LOCAL 210</t>
  </si>
  <si>
    <t>4406352</t>
  </si>
  <si>
    <t>1100100518</t>
  </si>
  <si>
    <t>OPTICA COLOMBIANA S.A.S</t>
  </si>
  <si>
    <t>MEJIA HENAO RODRIGO</t>
  </si>
  <si>
    <t>CRA 12 N 82-02 LC 2-08</t>
  </si>
  <si>
    <t>2369824</t>
  </si>
  <si>
    <t>contab@opticacolombiana.com</t>
  </si>
  <si>
    <t>110010051817</t>
  </si>
  <si>
    <t>OPTICA COLOMBIANA S.A.S - GRAN ESTACION</t>
  </si>
  <si>
    <t>Maria Alejandra Cuervo Mosquera</t>
  </si>
  <si>
    <t>AC 26 N 62 -47 LC 2-24</t>
  </si>
  <si>
    <t>601 3264500 Ext 4102</t>
  </si>
  <si>
    <t>granestacion@opticacolombiana.com</t>
  </si>
  <si>
    <t>110010051803</t>
  </si>
  <si>
    <t>OPTICA COLOMBIANA S.A.S - NIZA</t>
  </si>
  <si>
    <t>CARRERA 52 # 125A - 59 LC 1-62</t>
  </si>
  <si>
    <t>601 3264500 Ext 4123</t>
  </si>
  <si>
    <t>niza@opticacolombiana.com</t>
  </si>
  <si>
    <t>110010051811</t>
  </si>
  <si>
    <t>OPTICA COLOMBIANA S.A.S - PALATINO</t>
  </si>
  <si>
    <t>KR 7 # 139 07 LC 204</t>
  </si>
  <si>
    <t>601 3264500 Ext 4108</t>
  </si>
  <si>
    <t>palatino@opticacolombiana.com</t>
  </si>
  <si>
    <t>110010051823</t>
  </si>
  <si>
    <t>OPTICA COLOMBIANA S.A.S - PARQUE LA COLINA</t>
  </si>
  <si>
    <t>CR 58 D N° 146-51 LOCAL 253 B</t>
  </si>
  <si>
    <t>601 3264500 Ext 4125</t>
  </si>
  <si>
    <t>parquecolina@opticacolombiana.com</t>
  </si>
  <si>
    <t>110010051824</t>
  </si>
  <si>
    <t>OPTICA COLOMBIANA S.A.S - PLAZA CENTRAL</t>
  </si>
  <si>
    <t>CR 65 N° 11 - 50 CC. PLAZA CENTRAL ESPACIO 1-29</t>
  </si>
  <si>
    <t>601 3264500 Ext 4124</t>
  </si>
  <si>
    <t>plazacentral@opticacolombiana.com</t>
  </si>
  <si>
    <t>110010051818</t>
  </si>
  <si>
    <t>OPTICA COLOMBIANA S.A.S - UNICENTRO BOGOTA</t>
  </si>
  <si>
    <t>Avenida 15 No 123-30 LC 2-26 CS 1</t>
  </si>
  <si>
    <t>601 3264500 Ext 4118</t>
  </si>
  <si>
    <t>unicentrobogota@opticacolombiana.com</t>
  </si>
  <si>
    <t>110010051810</t>
  </si>
  <si>
    <t>OPTICA COLOMBIANA S.A.S CENTRO COMERCIAL ANDINO</t>
  </si>
  <si>
    <t>CRA 12 N 82 - 02 LC 2-08</t>
  </si>
  <si>
    <t>601 3264500 Ext 4101</t>
  </si>
  <si>
    <t>andino@opticacolombiana.com</t>
  </si>
  <si>
    <t>110010051819</t>
  </si>
  <si>
    <t>OPTICA COLOMBIANA S.A.S CENTRO COMERCIAL SAN MARTIN</t>
  </si>
  <si>
    <t>KR 7 # 32 - 12 LOCAL 121</t>
  </si>
  <si>
    <t>601 3264500 Ext 4116</t>
  </si>
  <si>
    <t>sanmartin@opticacolombiana.com</t>
  </si>
  <si>
    <t>110010051814</t>
  </si>
  <si>
    <t>OPTICA COLOMBIANA S.A.S CENTRO COMERCIAL SANTAFE</t>
  </si>
  <si>
    <t>CLL 185 # 45-03 LC 225</t>
  </si>
  <si>
    <t>601 3264500 Ext 4113</t>
  </si>
  <si>
    <t>santafebogota@opticacolombiana.com</t>
  </si>
  <si>
    <t>110010051805</t>
  </si>
  <si>
    <t>OPTICA COLOMBIANA S.A.S EXITO CALLE 80</t>
  </si>
  <si>
    <t>KR 59 A 79 - 30 LC L0124</t>
  </si>
  <si>
    <t>601 3264500 Ext 4109</t>
  </si>
  <si>
    <t>calle80@opticacolombiana.com</t>
  </si>
  <si>
    <t>1100100732</t>
  </si>
  <si>
    <t>OPTICA DR MENDEZ S A S</t>
  </si>
  <si>
    <t>MENDEZ ANGULO LUIS JORGE</t>
  </si>
  <si>
    <t>KR 19 # 100 10 - Barrio:CHAPINERO</t>
  </si>
  <si>
    <t>6358141</t>
  </si>
  <si>
    <t>gerencia@opticadrmendez.com</t>
  </si>
  <si>
    <t>www.opticadrmendez.com</t>
  </si>
  <si>
    <t>110010073203</t>
  </si>
  <si>
    <t>OPTICA DR MENDEZ SAS</t>
  </si>
  <si>
    <t>LUIS JORGE MENDEZ ANGULO</t>
  </si>
  <si>
    <t>KR 7 # 115 60 LC B 112 - 160</t>
  </si>
  <si>
    <t>6121940</t>
  </si>
  <si>
    <t>optimendez@yahoo.com</t>
  </si>
  <si>
    <t>110010827005</t>
  </si>
  <si>
    <t>OPTICA IRIS S.A.S</t>
  </si>
  <si>
    <t>LUIS ALFONSO RAMOS L.</t>
  </si>
  <si>
    <t>AK 15 No. 124 - 53 LC 102</t>
  </si>
  <si>
    <t>6200091 -</t>
  </si>
  <si>
    <t>opticairis2000@yahoo.com</t>
  </si>
  <si>
    <t>1100108270</t>
  </si>
  <si>
    <t>OPTICA IRIS SAS BIC</t>
  </si>
  <si>
    <t>RAMOS LOZANO LUIS ALFONSO</t>
  </si>
  <si>
    <t>AK 10 NO 18-36 OFC 906</t>
  </si>
  <si>
    <t>7432069/3103159430</t>
  </si>
  <si>
    <t>110011739301</t>
  </si>
  <si>
    <t>OPTICA ITALIANA</t>
  </si>
  <si>
    <t>CARLOS ESTEBAN VARGAS CALDERÓN</t>
  </si>
  <si>
    <t>Cl 19 8 95 Lc 7 Piso 1 Y 2</t>
  </si>
  <si>
    <t>2849084</t>
  </si>
  <si>
    <t>opticaitaliana895@hotmail.com</t>
  </si>
  <si>
    <t>110011739307</t>
  </si>
  <si>
    <t>OPTICA ITALIANA CALLE 125</t>
  </si>
  <si>
    <t>CALLE 125 # 21 A - 34</t>
  </si>
  <si>
    <t>315 3437505</t>
  </si>
  <si>
    <t>110011739308</t>
  </si>
  <si>
    <t>OPTICA ITALIANA CARRERA 10</t>
  </si>
  <si>
    <t>CARLOS ESTEBAN VARGAS CALDERON</t>
  </si>
  <si>
    <t>Calle 19 No. 10 - 39 Local 3 Piso 1 Y 2</t>
  </si>
  <si>
    <t>3153437505</t>
  </si>
  <si>
    <t>110011739309</t>
  </si>
  <si>
    <t>OPTICA ITALIANA CARRERA QUINTA</t>
  </si>
  <si>
    <t>Cl 19 # 4 98 Lc 102 Piso 1 Y 2</t>
  </si>
  <si>
    <t>6013001846</t>
  </si>
  <si>
    <t>opticasvargasltda@gmail.com</t>
  </si>
  <si>
    <t>110011739302</t>
  </si>
  <si>
    <t>OPTICA ITALIANA CENTRO COMERCIAL SALITRE PLAZA</t>
  </si>
  <si>
    <t>VARGAS POLANCO ESTEBAN</t>
  </si>
  <si>
    <t>KR 68 B # 40 - 39 LC 1 - 67</t>
  </si>
  <si>
    <t>4169098 - 4168106</t>
  </si>
  <si>
    <t>110011739304</t>
  </si>
  <si>
    <t>OPTICA ITALIANA OMNI 19</t>
  </si>
  <si>
    <t>VARGAS CALDERON CARLOS ESTEBAN</t>
  </si>
  <si>
    <t>CL 19 # 8-23 y 8 -25</t>
  </si>
  <si>
    <t>2842639 - 2842358</t>
  </si>
  <si>
    <t>110011739306</t>
  </si>
  <si>
    <t>OPTICA ITALIANA PASEO VILLA DEL RIO</t>
  </si>
  <si>
    <t>CALLE 57 D SUR # 78 H - 14 LOCAL 219</t>
  </si>
  <si>
    <t>contabilidad@opticaitaliana.com</t>
  </si>
  <si>
    <t>110011739305</t>
  </si>
  <si>
    <t>OPTICA ITALIANA SUCURSAL CENTRO COMERCIAL CENTRO MAYOR</t>
  </si>
  <si>
    <t>ESTEBAN VARGAS POLANCO</t>
  </si>
  <si>
    <t>AK 27 # 38A - 61 SUR LC 1150</t>
  </si>
  <si>
    <t>7340684-7340637</t>
  </si>
  <si>
    <t>optisantaclara@hotmail.com</t>
  </si>
  <si>
    <t>110011739303</t>
  </si>
  <si>
    <t>OPTICA ITALIANA SUCURSAL CENTRO COMERCIAL SNTAFE</t>
  </si>
  <si>
    <t>CL 183 # 45 - 03 LC 213</t>
  </si>
  <si>
    <t>2849084 - 2436759</t>
  </si>
  <si>
    <t>1100116684</t>
  </si>
  <si>
    <t>OPTICA OLAYA LTDA</t>
  </si>
  <si>
    <t>ALBERTO ARENAS GUTIERREZ</t>
  </si>
  <si>
    <t>KR 21 # 24 12 SUR BARRIO OLAYA HERRERA</t>
  </si>
  <si>
    <t>361 00 09</t>
  </si>
  <si>
    <t>opticaolaya@yahoo.com</t>
  </si>
  <si>
    <t>110011738404</t>
  </si>
  <si>
    <t>OPTICA OMEGA 19</t>
  </si>
  <si>
    <t>CL 19 # 13 A 35</t>
  </si>
  <si>
    <t>2828335</t>
  </si>
  <si>
    <t>opticascalderonvargas@gmail.com</t>
  </si>
  <si>
    <t>110011114513</t>
  </si>
  <si>
    <t>OPTICA SANTA LUCIA CC ANDINO</t>
  </si>
  <si>
    <t>GLORIA MIGNON ESTRADA RESTREPO</t>
  </si>
  <si>
    <t>CARRERA 11 #82 - 71 LC 282</t>
  </si>
  <si>
    <t>3137217589</t>
  </si>
  <si>
    <t>gestioncalidad@osl.com.co</t>
  </si>
  <si>
    <t>110011114512</t>
  </si>
  <si>
    <t>OPTICA SANTA LUCIA GRAN ESTACION</t>
  </si>
  <si>
    <t>AC 26 # 62 - 47 LC 2-31</t>
  </si>
  <si>
    <t>110011666103</t>
  </si>
  <si>
    <t>OPTICA SCORPIO</t>
  </si>
  <si>
    <t>EDUARDO FRANCISCO ACOSTA CHAVEZ</t>
  </si>
  <si>
    <t>KR 10 # 30B SUR LC 14</t>
  </si>
  <si>
    <t>2094397</t>
  </si>
  <si>
    <t>optica_scorpio@yahoo.es</t>
  </si>
  <si>
    <t>110011507021</t>
  </si>
  <si>
    <t>OPTICA UNIVER 98</t>
  </si>
  <si>
    <t>CARRERA 48 Nº 98 - 81 LOCAL 3</t>
  </si>
  <si>
    <t>110011507001</t>
  </si>
  <si>
    <t>OPTICA UNIVER AMERICAS</t>
  </si>
  <si>
    <t>Carrera 67 N° 4 G - 31 Interior 2</t>
  </si>
  <si>
    <t>110011507012</t>
  </si>
  <si>
    <t>OPTICA UNIVER FONTIBON</t>
  </si>
  <si>
    <t>Alvaro Francisco Ribero Cadena</t>
  </si>
  <si>
    <t>DIAGONAL 16 N° 104 - 51 LOCAL 111 CENTRO COMERCIAL PORTAL DE LA SABANA</t>
  </si>
  <si>
    <t>110011507023</t>
  </si>
  <si>
    <t>OPTICA UNIVER GRAN BOSA</t>
  </si>
  <si>
    <t>CL 65 SUR # 78H 51 LC 244</t>
  </si>
  <si>
    <t>3154195115 - 3138306090</t>
  </si>
  <si>
    <t>110011507018</t>
  </si>
  <si>
    <t>OPTICA UNIVER KENNEDY 2</t>
  </si>
  <si>
    <t>TV 74 F # 40 F 25 SUR PISO 1</t>
  </si>
  <si>
    <t>110011507004</t>
  </si>
  <si>
    <t>OPTICA UNIVER SUBA</t>
  </si>
  <si>
    <t>AVENIDA CALLE 145 # 95B 28</t>
  </si>
  <si>
    <t>110011507002</t>
  </si>
  <si>
    <t>OPTICA UNIVER TEUSAQUILLO</t>
  </si>
  <si>
    <t>AV CARACAS 49-55 LC5</t>
  </si>
  <si>
    <t>110011507015</t>
  </si>
  <si>
    <t>OPTICA UNIVER USAQUEN</t>
  </si>
  <si>
    <t>Cra 7 B BIS # 132-38 Edificio Forest Medical Center Local 104</t>
  </si>
  <si>
    <t>110011507005</t>
  </si>
  <si>
    <t>OPTICA UNIVER VENECIA</t>
  </si>
  <si>
    <t>DG 49 A SUR # 53 29 LOCAL 2</t>
  </si>
  <si>
    <t>110012832101</t>
  </si>
  <si>
    <t>OPTICA VISION 20/20 OPTILINE</t>
  </si>
  <si>
    <t>CRA 4 ESTE No. 39 A 08 SUR</t>
  </si>
  <si>
    <t>3632717</t>
  </si>
  <si>
    <t>110010254503</t>
  </si>
  <si>
    <t>OPTICA ZONA O</t>
  </si>
  <si>
    <t>ALFONSO MARIA UCROS CUELLAR</t>
  </si>
  <si>
    <t>110010520015</t>
  </si>
  <si>
    <t>OPTICALIA VISUAL POINT - CENTRO MAYOR</t>
  </si>
  <si>
    <t>JENNY ASTRID RUBIANO GONZALEZ</t>
  </si>
  <si>
    <t>CL 38 A SUR # 34 D 50 LC 1109</t>
  </si>
  <si>
    <t>32102193697</t>
  </si>
  <si>
    <t>calidad.habilitacion@opticasvisualpoint.com</t>
  </si>
  <si>
    <t>110010520017</t>
  </si>
  <si>
    <t>OPTICALIA VISUAL POINT - FLORESTA</t>
  </si>
  <si>
    <t>AV CRA 68 # 90 - 88 Lc 2-054</t>
  </si>
  <si>
    <t>3102193697</t>
  </si>
  <si>
    <t>110010520018</t>
  </si>
  <si>
    <t>OPTICALIA VISUAL POINT - PLAZA DE LAS AMERICAS</t>
  </si>
  <si>
    <t>CRA 71 D # 6 - 94 SUR Lc 1025</t>
  </si>
  <si>
    <t>110010520016</t>
  </si>
  <si>
    <t>OPTICALIA VISUAL POINT MALL PLAZA</t>
  </si>
  <si>
    <t>AC 19 # 28 - 80 LOCAL B 75</t>
  </si>
  <si>
    <t>110012674001</t>
  </si>
  <si>
    <t>OPTICAS 20/20</t>
  </si>
  <si>
    <t>REMBERTO ALIRIO ESCAMILLA ROJAS</t>
  </si>
  <si>
    <t>CR 88 C No. 57 C 41 SUR LOCAL 1</t>
  </si>
  <si>
    <t>4660075</t>
  </si>
  <si>
    <t>correosopticas@yahoo.com.co</t>
  </si>
  <si>
    <t>110011636932</t>
  </si>
  <si>
    <t>OPTICAS GMO COLOMBIA S.A.S</t>
  </si>
  <si>
    <t>JOSE FERNANDO CANO DIAZ</t>
  </si>
  <si>
    <t>Calle 134 # 55-30 LOCALES 102-103</t>
  </si>
  <si>
    <t>3134987433</t>
  </si>
  <si>
    <t>110011636901</t>
  </si>
  <si>
    <t>OPTICAS GMO COLOMBIA S.A.S.</t>
  </si>
  <si>
    <t>CALLE 20 No. 82-52 Local. 1-123</t>
  </si>
  <si>
    <t>1100117845</t>
  </si>
  <si>
    <t>OPTICAS NOVA LTDA</t>
  </si>
  <si>
    <t>BELTRAN OCHOA ELICET</t>
  </si>
  <si>
    <t>CARRERA 92 No.147 - 61</t>
  </si>
  <si>
    <t>6819849</t>
  </si>
  <si>
    <t>eppnova@hotmail.com</t>
  </si>
  <si>
    <t>110012152601</t>
  </si>
  <si>
    <t>OPTICAS OPHTHALMOS PLAZA IMPERIAL</t>
  </si>
  <si>
    <t>DIEGO ANDRES CORTES CASTILLO</t>
  </si>
  <si>
    <t>AK 104 # 148 07 LC 2-41</t>
  </si>
  <si>
    <t>3208674740</t>
  </si>
  <si>
    <t>diana.ramirez@ophthalmos-ltda.com</t>
  </si>
  <si>
    <t>1100117744</t>
  </si>
  <si>
    <t>OPTICAS SBC LIMITADA</t>
  </si>
  <si>
    <t>NUBIA STELLA BOHORQUEZ FLOREZ</t>
  </si>
  <si>
    <t>AVENIDA CARRERA 45 No 159-50 P-2</t>
  </si>
  <si>
    <t>6782077</t>
  </si>
  <si>
    <t>auditoriaipsopticassbc@gmail.com</t>
  </si>
  <si>
    <t>110011774402</t>
  </si>
  <si>
    <t>OPTICAS SBC LIMITADA CONSULTORIO</t>
  </si>
  <si>
    <t>AVENIDA CALLE 53 #21 - 80</t>
  </si>
  <si>
    <t>2126480</t>
  </si>
  <si>
    <t>110011774401</t>
  </si>
  <si>
    <t>OPTICAS SBC LTDA CONSULTORIO</t>
  </si>
  <si>
    <t>AVENIDA CARRERA 45 No 159 -50 P-1</t>
  </si>
  <si>
    <t>1100117393</t>
  </si>
  <si>
    <t>OPTICAS VARGAS SAS</t>
  </si>
  <si>
    <t>CL 19 # 8- 95</t>
  </si>
  <si>
    <t>110012266511</t>
  </si>
  <si>
    <t>OPTICAS WOW 20 / 20</t>
  </si>
  <si>
    <t>AK 7 # 118 - 30 LOCAL 2</t>
  </si>
  <si>
    <t>110012266501</t>
  </si>
  <si>
    <t>OPTICAS WOW 20/20</t>
  </si>
  <si>
    <t>CRA 126 A No. 138-29 PISO 1</t>
  </si>
  <si>
    <t>6875458</t>
  </si>
  <si>
    <t>110012832103</t>
  </si>
  <si>
    <t>OPTICAS WOW 20/20 OPTILINE</t>
  </si>
  <si>
    <t>CR 91 NO. 132 C - 03</t>
  </si>
  <si>
    <t>110010735732</t>
  </si>
  <si>
    <t>OPTICENTRO CENTRO MAYOR</t>
  </si>
  <si>
    <t>GINA CONSUELO SANCHEZ CHARRY</t>
  </si>
  <si>
    <t>CALLE 38 A SUR N 34D-50 LOCAL 1041</t>
  </si>
  <si>
    <t>3258025 ext 2019</t>
  </si>
  <si>
    <t>110010735701</t>
  </si>
  <si>
    <t>OPTICENTRO INTERNACIONAL</t>
  </si>
  <si>
    <t>CRA 11 # 69 81 Local 1</t>
  </si>
  <si>
    <t>3258025 ext 2027</t>
  </si>
  <si>
    <t>110010735726</t>
  </si>
  <si>
    <t>OPTICENTRO INTERNACIONAL C.CIAL GRAN ESTACION</t>
  </si>
  <si>
    <t>Av Cl 26 # 62 - 47 Lc 1 - 29</t>
  </si>
  <si>
    <t>3258025 ext 2020</t>
  </si>
  <si>
    <t>110010735727</t>
  </si>
  <si>
    <t>OPTICENTRO INTERNACIONAL CENTRO COMERCIAL SANTAFE</t>
  </si>
  <si>
    <t>CL 185 # 45 30 LC 1-12</t>
  </si>
  <si>
    <t>3258025 ext 2002</t>
  </si>
  <si>
    <t>110010735724</t>
  </si>
  <si>
    <t>OPTICENTRO INTERNACIONAL CENTRO COMERCIAL TINTAL PLAZA</t>
  </si>
  <si>
    <t>KR 86 # 6 37 LC 1-36</t>
  </si>
  <si>
    <t>3258025 ext 2003</t>
  </si>
  <si>
    <t>110010735728</t>
  </si>
  <si>
    <t>OPTICENTRO INTERNACIONAL HAYUELOS</t>
  </si>
  <si>
    <t>CL 20 Nº 82 - 52 LC 1 - 33</t>
  </si>
  <si>
    <t>3258025 ext 2021</t>
  </si>
  <si>
    <t>110010735739</t>
  </si>
  <si>
    <t>OPTICENTRO INTERNACIONAL LA FELICIDAD</t>
  </si>
  <si>
    <t>CL 19 A No. 72 - 57 LC B- 143</t>
  </si>
  <si>
    <t>3258025 ext 2022</t>
  </si>
  <si>
    <t>110010735720</t>
  </si>
  <si>
    <t>OPTICENTRO INTERNACIONAL OPTICA PALATINO</t>
  </si>
  <si>
    <t>Ak 7 # 138 - 33 Lc 125</t>
  </si>
  <si>
    <t>3258025 ext 2029</t>
  </si>
  <si>
    <t>110010735738</t>
  </si>
  <si>
    <t>OPTICENTRO INTERNACIONAL PLAZA CENTRAL</t>
  </si>
  <si>
    <t>Luis Carlos Garcia Monzon</t>
  </si>
  <si>
    <t>CR 65 No 11- 50 LC 2 - 61</t>
  </si>
  <si>
    <t>3258025 ext 2023</t>
  </si>
  <si>
    <t>110010735725</t>
  </si>
  <si>
    <t>OPTICENTRO INTERNACIONAL PLAZA IMPERIAL</t>
  </si>
  <si>
    <t>Av Cra 104 # 148 - 07 Lc - 195</t>
  </si>
  <si>
    <t>3258025 ext 2001</t>
  </si>
  <si>
    <t>1100107357</t>
  </si>
  <si>
    <t>OPTICENTRO INTERNACIONAL S.A.S</t>
  </si>
  <si>
    <t>GARCIA MONZON LUIS CARLOS IVAN</t>
  </si>
  <si>
    <t>CRA 11 # 69 81</t>
  </si>
  <si>
    <t>3258025</t>
  </si>
  <si>
    <t>110010735708</t>
  </si>
  <si>
    <t>OPTICENTRO INTERNACIONAL UNICENTRO</t>
  </si>
  <si>
    <t>KR 15 # 123 30 LC 2-259</t>
  </si>
  <si>
    <t>3258025 ext 2031</t>
  </si>
  <si>
    <t>110010735718</t>
  </si>
  <si>
    <t>OPTICENTRO INTERNACIONAL UNICENTRO OCCIDENTE</t>
  </si>
  <si>
    <t>KR 111 C # 86 74 LC 1-16</t>
  </si>
  <si>
    <t>3258025 ext 2032</t>
  </si>
  <si>
    <t>110012956701</t>
  </si>
  <si>
    <t>OPTICLINICAS BOGOTA</t>
  </si>
  <si>
    <t>JULIAN ANDRES RONCANCIO MOLANO</t>
  </si>
  <si>
    <t>CARRERA 18 # 136 A - 26</t>
  </si>
  <si>
    <t>(57)(1)3229452419</t>
  </si>
  <si>
    <t>administrador@sanando.com.co</t>
  </si>
  <si>
    <t>1100103708</t>
  </si>
  <si>
    <t>OPTILASER S.A</t>
  </si>
  <si>
    <t>HENAO DE BRIGARD PABLO JOSE</t>
  </si>
  <si>
    <t>Av Carrera 19 # 95 20 consultorio 707</t>
  </si>
  <si>
    <t>7436009 -316 2815586</t>
  </si>
  <si>
    <t>gerencia@optilaser.com.co</t>
  </si>
  <si>
    <t>http://optilaser.com.co/</t>
  </si>
  <si>
    <t>110010370802</t>
  </si>
  <si>
    <t>OPTILÁSER S.A.</t>
  </si>
  <si>
    <t>SILVIA CRISTINA LOSADA OÑATE</t>
  </si>
  <si>
    <t>7436009 - 316 2815586</t>
  </si>
  <si>
    <t>1100119703</t>
  </si>
  <si>
    <t>OPTIRED SAS</t>
  </si>
  <si>
    <t>ALEJANDRO NOCUA SALAZAR</t>
  </si>
  <si>
    <t>CALLE 51 No 14 - 88</t>
  </si>
  <si>
    <t>7014938</t>
  </si>
  <si>
    <t>alejonocua@hotmail.com</t>
  </si>
  <si>
    <t>110011000601</t>
  </si>
  <si>
    <t>OPTISALUD</t>
  </si>
  <si>
    <t>FELIPE MAURICIO MORENO ZULOAGA</t>
  </si>
  <si>
    <t>Carrera 16 No. 82 - 51 piso dos</t>
  </si>
  <si>
    <t>311 2194627</t>
  </si>
  <si>
    <t>calidad@optisalud.com</t>
  </si>
  <si>
    <t>110011000602</t>
  </si>
  <si>
    <t>OPTISALUD BOGOTA CIRUGIA</t>
  </si>
  <si>
    <t>CL 97 # 23 37 CS 703-704-721</t>
  </si>
  <si>
    <t>3112194627</t>
  </si>
  <si>
    <t>110011000603</t>
  </si>
  <si>
    <t>OPTISALUD BOGOTA SAS</t>
  </si>
  <si>
    <t>KR 50 # 95 94</t>
  </si>
  <si>
    <t>1100117244</t>
  </si>
  <si>
    <t>OPTITECNICA LTDA</t>
  </si>
  <si>
    <t>ROQUE JULIO RUEDA DIAZ</t>
  </si>
  <si>
    <t>Cra 9 A No 18 - 16 C. Ccial Avda 19</t>
  </si>
  <si>
    <t>341 61 42</t>
  </si>
  <si>
    <t>optitecnica_ltda@hotmail.com</t>
  </si>
  <si>
    <t>110013775201</t>
  </si>
  <si>
    <t>ORAL GREEN S.A.S</t>
  </si>
  <si>
    <t>Leydi Rocio Velandia Nieto</t>
  </si>
  <si>
    <t>CL 39 SUR N 72 K 44 PISO 1</t>
  </si>
  <si>
    <t>2857741</t>
  </si>
  <si>
    <t>oralgreen.org@gmail.com</t>
  </si>
  <si>
    <t>110013957301</t>
  </si>
  <si>
    <t>ORAL LINE SAS</t>
  </si>
  <si>
    <t>LUIS FERNANDO LONDOÑO VARGAS</t>
  </si>
  <si>
    <t>AK 45 # 118 - 86 CON. 603</t>
  </si>
  <si>
    <t>3103437182</t>
  </si>
  <si>
    <t>secsalud.oralline@gmail.com</t>
  </si>
  <si>
    <t>110014154302</t>
  </si>
  <si>
    <t>ORAL MEDIC SERVICIOS BOSA</t>
  </si>
  <si>
    <t>ANDRES PALACIO VILLEGAS</t>
  </si>
  <si>
    <t>CALLE 65 SUR#78H-51 LOCAL 111A CC GRAN PLAZA BOSA</t>
  </si>
  <si>
    <t>3147907019</t>
  </si>
  <si>
    <t>COORDINACIONSUBAORALM@GMAIL.COM</t>
  </si>
  <si>
    <t>110014154301</t>
  </si>
  <si>
    <t>ORAL MEDIC SERVICIOS S.A.S</t>
  </si>
  <si>
    <t>AC 145 NO 103 B 69 LC 503</t>
  </si>
  <si>
    <t>3218789111</t>
  </si>
  <si>
    <t>apalacio@oralmedicips.com</t>
  </si>
  <si>
    <t>110011015801</t>
  </si>
  <si>
    <t>ORAL SALUD CLINICA ODONTOLOGICA</t>
  </si>
  <si>
    <t>MARQUEZ GARCIA MAURICIO</t>
  </si>
  <si>
    <t>AC 8 SUR N° 35 A 32</t>
  </si>
  <si>
    <t>4082288/3123978525</t>
  </si>
  <si>
    <t>oralsalud@gmail.com</t>
  </si>
  <si>
    <t>1100110158</t>
  </si>
  <si>
    <t>ORAL SALUD CLINICAS ODONTOLOGICAS SAS</t>
  </si>
  <si>
    <t>ORLANDO ALVAREZ GARCIA</t>
  </si>
  <si>
    <t>1100105213</t>
  </si>
  <si>
    <t>ORAL SERVICE E U</t>
  </si>
  <si>
    <t>MARTINEZ ORTIZ MELIDA</t>
  </si>
  <si>
    <t>Calle 17 No 65 B-80 Local 1A Montevideo</t>
  </si>
  <si>
    <t>3001373</t>
  </si>
  <si>
    <t>oralservices.eu@gmail.com</t>
  </si>
  <si>
    <t>110013669301</t>
  </si>
  <si>
    <t>ORAL YA SEDE FONTIBON</t>
  </si>
  <si>
    <t>JUAN SEBASTIAN PERILLA BUITRAGO</t>
  </si>
  <si>
    <t>KR 99 # 18 14</t>
  </si>
  <si>
    <t>2981299- 3186731731</t>
  </si>
  <si>
    <t>oralyaclinicasdentales@gmail.com</t>
  </si>
  <si>
    <t>1100117087</t>
  </si>
  <si>
    <t>ORALMEDIC CLINICAS ODONTOMEDICAS SAS</t>
  </si>
  <si>
    <t>SANDRA CAMARGO SANCHEZ</t>
  </si>
  <si>
    <t>CALLE 22 SUR No. 26-30 PISO 2</t>
  </si>
  <si>
    <t>2726484</t>
  </si>
  <si>
    <t>gerencia@oralmedic.com.co</t>
  </si>
  <si>
    <t>110011708708</t>
  </si>
  <si>
    <t>ORALMEDIC SEDE BOSA LA PAZ</t>
  </si>
  <si>
    <t>Carrera 83 A bis # 59A 12 Sur</t>
  </si>
  <si>
    <t>3174051184</t>
  </si>
  <si>
    <t>110011708705</t>
  </si>
  <si>
    <t>ORALMEDIC SEDE SANTA LIBRADA</t>
  </si>
  <si>
    <t>CALLE 74 C SUR No. 0-34</t>
  </si>
  <si>
    <t>6017645803 - 3174051184</t>
  </si>
  <si>
    <t>oralmedicgerencia@gmail.com</t>
  </si>
  <si>
    <t>110011708706</t>
  </si>
  <si>
    <t>ORALMEDIC SEDE SUBA LISBOA</t>
  </si>
  <si>
    <t>CARRERA 147 A No. 132B - 33</t>
  </si>
  <si>
    <t>6014915851 - 3174051184</t>
  </si>
  <si>
    <t>110011708704</t>
  </si>
  <si>
    <t>ORALMEDIC SEDE TABORA</t>
  </si>
  <si>
    <t>AC 72 No. 83 - 54</t>
  </si>
  <si>
    <t>1100110149</t>
  </si>
  <si>
    <t>ORALNET E.U.</t>
  </si>
  <si>
    <t>GRIMALDO CALDERON LIGIA IVETTE</t>
  </si>
  <si>
    <t>AVENIDA CALLE 116 NUMERO 16-45 PI 2 MEZZANINE</t>
  </si>
  <si>
    <t>6295977 - 3105695699</t>
  </si>
  <si>
    <t>gerencia@oralnet.co</t>
  </si>
  <si>
    <t>110011014902</t>
  </si>
  <si>
    <t>ORALNET EU.</t>
  </si>
  <si>
    <t>IVETTE GRIMALDO</t>
  </si>
  <si>
    <t>KRA 28 a N.51 58</t>
  </si>
  <si>
    <t>(57)(1)3481318</t>
  </si>
  <si>
    <t>1100101288</t>
  </si>
  <si>
    <t>ORDEN MINISTROS DE LOS ENFERMOS</t>
  </si>
  <si>
    <t>NESPOLI BRUNO</t>
  </si>
  <si>
    <t>3653107</t>
  </si>
  <si>
    <t>110013017301</t>
  </si>
  <si>
    <t>ORGANIZACION CARLOS GRANADOS DENTAL DESIGN SAS</t>
  </si>
  <si>
    <t>ANGELA NAVARRO CORREDOR</t>
  </si>
  <si>
    <t>Calle 123 #7-57 Oficina 1002 Edificio Kaiwa</t>
  </si>
  <si>
    <t>3203834547 - 6190164</t>
  </si>
  <si>
    <t>ocarlosgranadosd@gmail.com</t>
  </si>
  <si>
    <t>110011086302</t>
  </si>
  <si>
    <t>ORGANIZACION INGENIERIA CIVIL Y ELECTRONICA OICE LTDA SEDE BOSA</t>
  </si>
  <si>
    <t>PAOLA ANDREA ALEGRIA PEÑAFIEL</t>
  </si>
  <si>
    <t>Calle 68 Sur 78 H 85 Consultorio 1 Y Consultorio 2</t>
  </si>
  <si>
    <t>3113812985</t>
  </si>
  <si>
    <t>gerenciaoiceltda@gmail.com</t>
  </si>
  <si>
    <t>110012985501</t>
  </si>
  <si>
    <t>ORGANIZACION MEDICO ODONTOLOGICA NACIONAL INTEGRADA S.A SEDE HEROES</t>
  </si>
  <si>
    <t>CAMILO ZAPATA VIDAL</t>
  </si>
  <si>
    <t>Calle 77 Nº 20c-56</t>
  </si>
  <si>
    <t>4823258 - (4)4481044</t>
  </si>
  <si>
    <t>direccion.administrativa@omnisalud.co</t>
  </si>
  <si>
    <t>110012204501</t>
  </si>
  <si>
    <t>ORGANIZACION PROYECTO PEDAGOGICO RENACER SAS</t>
  </si>
  <si>
    <t>KR 80 # 71 14 PISO 2</t>
  </si>
  <si>
    <t>2525660 - 3105846861</t>
  </si>
  <si>
    <t>prorenacer@Gmail.com</t>
  </si>
  <si>
    <t>1100119603</t>
  </si>
  <si>
    <t>ORGANIZACION VIHONCO IPS SOCIEDAD POR ACCIONES SIMPLIFICADA</t>
  </si>
  <si>
    <t>JUAN CARLOS CORREDOR OCHOA</t>
  </si>
  <si>
    <t>DIAGONAL 115 A # 70 D 68 P1</t>
  </si>
  <si>
    <t>3235089962</t>
  </si>
  <si>
    <t>juridico@vihonco.com</t>
  </si>
  <si>
    <t>https://www.vihonco.com</t>
  </si>
  <si>
    <t>1100107716</t>
  </si>
  <si>
    <t>ORGANIZACIONES DE IMAGENOLOGIA COLOMBIANA O I C S.A.</t>
  </si>
  <si>
    <t>LARA BALCAZAR MARIO GIOVANNY</t>
  </si>
  <si>
    <t>AVENIDA CALLE 116 9 72 CONSULTORIO 213</t>
  </si>
  <si>
    <t>3115929614</t>
  </si>
  <si>
    <t>gerenciadminoic@gmail.com</t>
  </si>
  <si>
    <t>https://www.oicradiologia.com/</t>
  </si>
  <si>
    <t>110011086301</t>
  </si>
  <si>
    <t>ORGANIZACIÓN INGENIERÍA CIVIL Y ELECTRÓNICA LIMITADA O.I.C.E.</t>
  </si>
  <si>
    <t>AK 7 No. 32-29 Piso 26 Oficina 2604</t>
  </si>
  <si>
    <t>110012811001</t>
  </si>
  <si>
    <t>ORGANIZACIÓN MÉDICA DOMICILIARIA S.A.S SIGLA OMD PLUS S.A.S</t>
  </si>
  <si>
    <t>OSCAR JAVIER MOYANO RAMOS</t>
  </si>
  <si>
    <t>DIAGONAL 51 B SUR No: 26 -43 PISO 1</t>
  </si>
  <si>
    <t>4660038 - 3118993554</t>
  </si>
  <si>
    <t>dmedina@omdplus.com.co</t>
  </si>
  <si>
    <t>110012985504</t>
  </si>
  <si>
    <t>ORGANIZACIÓN MÉDICO ODONTOLÓGICA NACIONAL INTEGRADA S.A / TEUSAQUILLO</t>
  </si>
  <si>
    <t>Camilo Andres Zapata Vidal</t>
  </si>
  <si>
    <t>Diagonal 40A No. 13A-16</t>
  </si>
  <si>
    <t>110012985503</t>
  </si>
  <si>
    <t>ORGANIZACIÓN MÉDICO ODONTOLÓGICA NACIONAL INTEGRADA S.A SEDE NORMANDIA</t>
  </si>
  <si>
    <t>CAMILO ANDRES ZAPATA VIDAL</t>
  </si>
  <si>
    <t>CALLE 51 # 72 - 17</t>
  </si>
  <si>
    <t>110012985502</t>
  </si>
  <si>
    <t>ORGANIZACIÓN MÉDICO ODONTOLÓGICA NACIONAL INTEGRADA S.A/ SEDE RIONEGRO</t>
  </si>
  <si>
    <t>DIAGONAL 94 BIS #56-18</t>
  </si>
  <si>
    <t>110011771301</t>
  </si>
  <si>
    <t>ORIENTA FAMILIAR IPS EU</t>
  </si>
  <si>
    <t>IRMA GOMEZ CARVAJAL</t>
  </si>
  <si>
    <t>AK 14 # 33 A 55</t>
  </si>
  <si>
    <t>2871234</t>
  </si>
  <si>
    <t>orientafamiliaripseu@hotmail.com</t>
  </si>
  <si>
    <t>110010893006</t>
  </si>
  <si>
    <t>ORIENTAME - SEDE SUBA</t>
  </si>
  <si>
    <t>Maria Mercedes Vivas Perez</t>
  </si>
  <si>
    <t>AC 145 No 91 - 19 local 11 - 207 Centro comercial centro suba</t>
  </si>
  <si>
    <t>(601) 9173500 Ext 204 - 430 - 3103484872</t>
  </si>
  <si>
    <t>110010893007</t>
  </si>
  <si>
    <t>ORIENTAME - SEDE TUNAL</t>
  </si>
  <si>
    <t>MARIA MERCEDES VIVAS PEREZ</t>
  </si>
  <si>
    <t>CARRERA 24 C No. 48-94 SUR OF 3018 CENTRO COMERCIAL CIUDAD TUNAL</t>
  </si>
  <si>
    <t>110010893002</t>
  </si>
  <si>
    <t>ORIENTAME - SEDE USAQUEN</t>
  </si>
  <si>
    <t>CL 120 A # 7-59</t>
  </si>
  <si>
    <t>110010893004</t>
  </si>
  <si>
    <t>ORIENTAME SEDE TEUSAQUILLO</t>
  </si>
  <si>
    <t>CRA 17 # 33 50</t>
  </si>
  <si>
    <t>110013828601</t>
  </si>
  <si>
    <t>ORIENTAR KIDS</t>
  </si>
  <si>
    <t>MARTHA PATRICIA LASPRILLA MURCIA</t>
  </si>
  <si>
    <t>CALLE 99 # 49 - 78 OF 304</t>
  </si>
  <si>
    <t>3102247112</t>
  </si>
  <si>
    <t>guilfordsuperior@gimnasiodeguilford.edu.co</t>
  </si>
  <si>
    <t>110014061001</t>
  </si>
  <si>
    <t>ORIGEN NATURAL . IPS SAS</t>
  </si>
  <si>
    <t>Nicolas De Diego Hernandez</t>
  </si>
  <si>
    <t>Calle 98 9 A 46 Torre 2 Piso 6</t>
  </si>
  <si>
    <t>3002227188</t>
  </si>
  <si>
    <t>origennaturalips@gmail.com</t>
  </si>
  <si>
    <t>110013967901</t>
  </si>
  <si>
    <t>ORIGGEN HEALTHCARE SAS</t>
  </si>
  <si>
    <t>DANIEL ARANGO DURAN</t>
  </si>
  <si>
    <t>CL 106 #23-61 OF 605-606</t>
  </si>
  <si>
    <t>3152366261</t>
  </si>
  <si>
    <t>direcciongeneral@origgen.org</t>
  </si>
  <si>
    <t>110012090201</t>
  </si>
  <si>
    <t>ORL AUDIO SAS</t>
  </si>
  <si>
    <t>LORENA CECILIA PINZON AVILA</t>
  </si>
  <si>
    <t>CL 23 No. 66-46 INT 4 CS 1208</t>
  </si>
  <si>
    <t>5-74-43-14 - 3214866929 - 3124363482</t>
  </si>
  <si>
    <t>gerencia@orlaudio.co</t>
  </si>
  <si>
    <t>1100103371</t>
  </si>
  <si>
    <t>ORTHO WAVE COLOMBIA SAS</t>
  </si>
  <si>
    <t>LEAL CONTRERAS CARLOS ALBERTO</t>
  </si>
  <si>
    <t>AC 134 # 7 B 83 OF 122 CS 4</t>
  </si>
  <si>
    <t>6017031245</t>
  </si>
  <si>
    <t>gerenciageneral@drorthowavecolombia.com</t>
  </si>
  <si>
    <t>1100118163</t>
  </si>
  <si>
    <t>ORTHODENTALES LTDA.</t>
  </si>
  <si>
    <t>DIANA MARCELA LOPEZ LOPEZ</t>
  </si>
  <si>
    <t>CL 46 SUR # 24 - 52 PI 2</t>
  </si>
  <si>
    <t>7677441</t>
  </si>
  <si>
    <t>esneidergomezarg@hotmail.com</t>
  </si>
  <si>
    <t>110012991202</t>
  </si>
  <si>
    <t>ORTOCLINICAL SAS SEDE LUCERO</t>
  </si>
  <si>
    <t>Julieth Katerine Hernandez Cañas</t>
  </si>
  <si>
    <t>Kr 17 G Sur No 67 A - 78 Piso 2</t>
  </si>
  <si>
    <t>7650325</t>
  </si>
  <si>
    <t>ortoclinical.especialistas@gmail.com</t>
  </si>
  <si>
    <t>1100108224</t>
  </si>
  <si>
    <t>ORTODONCIA RAFAEL MARTINEZ S.A.S / ORTODONCIA RM S.A.S</t>
  </si>
  <si>
    <t>YAMIN LACOUTURE CAMILO</t>
  </si>
  <si>
    <t>Calle 114 No 6A-92 LOCAL 413 D-410 CENTRO COMERCIAL HACIENDA SANTA BARBARA PH</t>
  </si>
  <si>
    <t>6197909-2154850-3208651852</t>
  </si>
  <si>
    <t>contacto@ortodonciarafaelmartinez.com</t>
  </si>
  <si>
    <t>1100107308</t>
  </si>
  <si>
    <t>ORTODONCISTAS ASOCIADOS S.A.S</t>
  </si>
  <si>
    <t>HERNANDEZ RODRIGUEZ LUIS CARLOS</t>
  </si>
  <si>
    <t>KR 11 # 66 53 LOCAL 1</t>
  </si>
  <si>
    <t>5405838</t>
  </si>
  <si>
    <t>helen.contabilidad@ortoasociados.com</t>
  </si>
  <si>
    <t>110013695801</t>
  </si>
  <si>
    <t>ORTOFAM SAS</t>
  </si>
  <si>
    <t>EDUARDO GARCIA PIÑEROS</t>
  </si>
  <si>
    <t>AV 14 No. 47-39 Lc 1</t>
  </si>
  <si>
    <t>310 2233305 - 7648113</t>
  </si>
  <si>
    <t>ortofam@outlook.com</t>
  </si>
  <si>
    <t>110012531203</t>
  </si>
  <si>
    <t>ORTOLASSER IPS SEDE KENNEDY</t>
  </si>
  <si>
    <t>DAVID FERNANDO GUERRA GARCIA</t>
  </si>
  <si>
    <t>CL 40 SUR #78A-43 PISO 1</t>
  </si>
  <si>
    <t>3112319733</t>
  </si>
  <si>
    <t>clinicasmaxpluss@hotmail.com</t>
  </si>
  <si>
    <t>1100120179</t>
  </si>
  <si>
    <t>ORTOPEDICA CHAPINERO E.U.</t>
  </si>
  <si>
    <t>DORIS VALENCIA VALENCIA</t>
  </si>
  <si>
    <t>CRA 15 # 54 - 47</t>
  </si>
  <si>
    <t>2492125</t>
  </si>
  <si>
    <t>ortopedicachapinero@gmail.com</t>
  </si>
  <si>
    <t>110014266601</t>
  </si>
  <si>
    <t>ORX CENTRO RADIOLOGICO SAS</t>
  </si>
  <si>
    <t>DERNA CAROLINA ANGELUCCI RINCON</t>
  </si>
  <si>
    <t>CL 119#7-14 CONSULTORIO 819</t>
  </si>
  <si>
    <t>6012157339</t>
  </si>
  <si>
    <t>orxdental@gmail.com</t>
  </si>
  <si>
    <t>1100108326</t>
  </si>
  <si>
    <t>OSTRAUMA LTDA</t>
  </si>
  <si>
    <t>SAAVEDRA MOGOLLON OSCAR HEDIEL</t>
  </si>
  <si>
    <t>Avenida Calle 127 21 60 CONSULTORIO D101-5 D101-6 D101-7</t>
  </si>
  <si>
    <t>6017429295 - 3115065297</t>
  </si>
  <si>
    <t>ostraumaltda@gmail.com</t>
  </si>
  <si>
    <t>1100106776</t>
  </si>
  <si>
    <t>OTOFON SOCIEDAD POR ACCIONES SIMPLIFICADA SIGLA OTOFON S.A.S</t>
  </si>
  <si>
    <t>SCHARF DE SANABRIA FRIDA</t>
  </si>
  <si>
    <t>KR 7 No 119 14 CS 310</t>
  </si>
  <si>
    <t>2153666</t>
  </si>
  <si>
    <t>otofonsa@gmail.com</t>
  </si>
  <si>
    <t>110013371701</t>
  </si>
  <si>
    <t>OTTO BOCK IPS</t>
  </si>
  <si>
    <t>NYDIA GONZALEZ GARZON</t>
  </si>
  <si>
    <t>Carrera 22 164 34 Piso 1 Consultorio 1 Zona 1 Zona 2 Zona 3</t>
  </si>
  <si>
    <t>8619988</t>
  </si>
  <si>
    <t>Natanael.nino@ottobock.com.co</t>
  </si>
  <si>
    <t>1100118476</t>
  </si>
  <si>
    <t>OXIACED LTDA. OXIGENO ACETILENO DISTRIBUCIONES LTDA.</t>
  </si>
  <si>
    <t>LUIS ARIEL VILLANUEVA</t>
  </si>
  <si>
    <t>CALLE 17 A Nº 62 -45/43</t>
  </si>
  <si>
    <t>4144050</t>
  </si>
  <si>
    <t>oxiaced@etb.net.co</t>
  </si>
  <si>
    <t>110011847601</t>
  </si>
  <si>
    <t>OXIGENO ACETILENO DISTRIBUCIONES LTDA. OXIACED LTDA.</t>
  </si>
  <si>
    <t>CALLE 17 B Nº 62 -43</t>
  </si>
  <si>
    <t>110013622901</t>
  </si>
  <si>
    <t>OXIPRO AVENIDA CHILE</t>
  </si>
  <si>
    <t>AURELIANO SANINT DURAN</t>
  </si>
  <si>
    <t>CR 12 # 71- 32 OF 702 C</t>
  </si>
  <si>
    <t>3002106020-4672264/65</t>
  </si>
  <si>
    <t>procesos2@oxigenoensucasa.com</t>
  </si>
  <si>
    <t>110011507017</t>
  </si>
  <si>
    <t>Oftalmohelp Qx</t>
  </si>
  <si>
    <t>Cra 48 N° 98 - 81 PISO 5</t>
  </si>
  <si>
    <t>7462033 - 3164195115</t>
  </si>
  <si>
    <t>110010735736</t>
  </si>
  <si>
    <t>Opticentro Internacional Titan Plaza</t>
  </si>
  <si>
    <t>Gina Sanchez</t>
  </si>
  <si>
    <t>AK 72 No 80 94 LC 1031</t>
  </si>
  <si>
    <t>3258025 ext 2030</t>
  </si>
  <si>
    <t>110013390901</t>
  </si>
  <si>
    <t>Organización Clínica La Toscana</t>
  </si>
  <si>
    <t>Nasly Tatiana Jimenez Gonzalez</t>
  </si>
  <si>
    <t>Calle 84 -19 A- 25 primer piso</t>
  </si>
  <si>
    <t>3838251 - 3114569612</t>
  </si>
  <si>
    <t>t.jimenez@clinicalatoscana.com.co S.gutierrez@clinicalatoscana.com.co</t>
  </si>
  <si>
    <t>110013000801</t>
  </si>
  <si>
    <t>Orthoevolution. co</t>
  </si>
  <si>
    <t>CAROLINA ANDREA ACEVEDO CAMACHO</t>
  </si>
  <si>
    <t>Diagonal 21 A No. 19-52 sur</t>
  </si>
  <si>
    <t>3204994971-3133631658</t>
  </si>
  <si>
    <t>calidadorthoevolution@gmail.com</t>
  </si>
  <si>
    <t>1100119731</t>
  </si>
  <si>
    <t>Oxiayuda SAS</t>
  </si>
  <si>
    <t>CENDALES ROA GUILLERMO</t>
  </si>
  <si>
    <t>Calle 70BIS 107 05/ 11</t>
  </si>
  <si>
    <t>5444852 / 3144423662</t>
  </si>
  <si>
    <t>oxiayuda@oxiayuda.net</t>
  </si>
  <si>
    <t>www.oxiayuda.net</t>
  </si>
  <si>
    <t>1100103113</t>
  </si>
  <si>
    <t>PANORAMAX LTDA</t>
  </si>
  <si>
    <t>MONROY HERNANDEZ JOSE GUILLERMO</t>
  </si>
  <si>
    <t>CALLE 49 # 9 21 PISO 1</t>
  </si>
  <si>
    <t>3384338</t>
  </si>
  <si>
    <t>radiologicopanoramaxmonroy@gmail.com</t>
  </si>
  <si>
    <t>110012042605</t>
  </si>
  <si>
    <t>PASSUS HIDROTERAPIA BOGOTA - CENTRO</t>
  </si>
  <si>
    <t>ANA MARIA CABAL GALINDO</t>
  </si>
  <si>
    <t>CR 32b No 4 - 27</t>
  </si>
  <si>
    <t>3114754396</t>
  </si>
  <si>
    <t>notificacionesips@passusips.com</t>
  </si>
  <si>
    <t>110012042603</t>
  </si>
  <si>
    <t>PASSUS HIDROTERAPIA BOGOTA - SUR OCCIDENTE</t>
  </si>
  <si>
    <t>ANAMARÌA CABAL GALINDO</t>
  </si>
  <si>
    <t>CL 5A No 71B - 27 Piso UNO (1)</t>
  </si>
  <si>
    <t>110012042602</t>
  </si>
  <si>
    <t>PASSUS IPS BOGOTA NORTE</t>
  </si>
  <si>
    <t>ANAMARIA CABAL GALINDO</t>
  </si>
  <si>
    <t>CALLE 142 No 16A 52</t>
  </si>
  <si>
    <t>110012042604</t>
  </si>
  <si>
    <t>PASSUS IPS BOGOTA SUROCCIDENTE 1</t>
  </si>
  <si>
    <t>AC 6 # 71 A 31</t>
  </si>
  <si>
    <t>1100101158</t>
  </si>
  <si>
    <t>PATOLAB SAS</t>
  </si>
  <si>
    <t>TEUZABA TORRES ESPERANZA</t>
  </si>
  <si>
    <t>Cr 19C # 90-14 Cs 308-309-303-304-306</t>
  </si>
  <si>
    <t>3103075205</t>
  </si>
  <si>
    <t>patolab@patolab-ltda.com</t>
  </si>
  <si>
    <t>110010115801</t>
  </si>
  <si>
    <t>PATOLAB SAS CALLE 90</t>
  </si>
  <si>
    <t>ESPERANZA TEUZABA TORRES</t>
  </si>
  <si>
    <t>6103481</t>
  </si>
  <si>
    <t>110010115802</t>
  </si>
  <si>
    <t>PATOLAB SAS CALLE 91</t>
  </si>
  <si>
    <t>Esperanza Teuzaba Torres</t>
  </si>
  <si>
    <t>CALLE 91 No. 19 C - 55 CONSULTORIO 205</t>
  </si>
  <si>
    <t>110011586702</t>
  </si>
  <si>
    <t>PATOLOGIA DIAGNOSTICA S.A.S.</t>
  </si>
  <si>
    <t>BERNARDA JINNETH ACOSTA FORERO</t>
  </si>
  <si>
    <t>CALLE 118 No 19 -52 CONSULTORIO 505</t>
  </si>
  <si>
    <t>601-7906867/3014311893</t>
  </si>
  <si>
    <t>pd.limitada@gmail.com</t>
  </si>
  <si>
    <t>110014165201</t>
  </si>
  <si>
    <t>PDI IA SAS</t>
  </si>
  <si>
    <t>Gilberto Augusto Reyes Ortiz</t>
  </si>
  <si>
    <t>Cr 7 Bis Nº 124-56/64 Cons 1002</t>
  </si>
  <si>
    <t>3174306984</t>
  </si>
  <si>
    <t>gilbertoreyes@gmail.com</t>
  </si>
  <si>
    <t>110014349601</t>
  </si>
  <si>
    <t>PELVIC CENTER SAS</t>
  </si>
  <si>
    <t>RUBEN DARIO ARCILA VALENCIA</t>
  </si>
  <si>
    <t>CL 127 # 19A 10/14/28 CS 212 ACOMEDICA I</t>
  </si>
  <si>
    <t>3143304824</t>
  </si>
  <si>
    <t>info@pelviccenter.com.co</t>
  </si>
  <si>
    <t>110012636101</t>
  </si>
  <si>
    <t>PHENIX SALUD OCUPACIONAL</t>
  </si>
  <si>
    <t>ELIZABETH DUQUE HERNANDEZ</t>
  </si>
  <si>
    <t>CLL 85 No. 49A-40 PISO 1</t>
  </si>
  <si>
    <t>5335016 - 3122910220</t>
  </si>
  <si>
    <t>gerenciageneral@phenixsaludocupacional.com.co</t>
  </si>
  <si>
    <t>1100119381</t>
  </si>
  <si>
    <t>PHYSICAL CARE LTDA</t>
  </si>
  <si>
    <t>DUVAN ALEXANDER MARTINEZ PARRA</t>
  </si>
  <si>
    <t>AV CL 127 20 16 CS 204-205</t>
  </si>
  <si>
    <t>8059065 - 3188276490 - 3182527281</t>
  </si>
  <si>
    <t>physicalcare.ltda@gmail.com</t>
  </si>
  <si>
    <t>110014128901</t>
  </si>
  <si>
    <t>PLARIS SAS</t>
  </si>
  <si>
    <t>DINIMO JOSE BOLIVAR SAENZ</t>
  </si>
  <si>
    <t>CARRERA 47 N° 95 - 72 PISO 1 Y PISO 2</t>
  </si>
  <si>
    <t>6014768534 - 3103196306</t>
  </si>
  <si>
    <t>plaris.ips@gmail.com</t>
  </si>
  <si>
    <t>110012748001</t>
  </si>
  <si>
    <t>PLATINUM HEALTH GROUP IPS SAS</t>
  </si>
  <si>
    <t>MARTHA LUCIA ZAPATA CARRILLO</t>
  </si>
  <si>
    <t>CARRERA 18 Nº 36-37</t>
  </si>
  <si>
    <t>7500174-3004678583</t>
  </si>
  <si>
    <t>platinumhegroup@gmail.com</t>
  </si>
  <si>
    <t>110010401401</t>
  </si>
  <si>
    <t>PMA MARLY</t>
  </si>
  <si>
    <t>Pablo Gómez Cusnir</t>
  </si>
  <si>
    <t>CALLE 50 # 7 36 PI 4 - PI 6</t>
  </si>
  <si>
    <t>6017458154 / 3175165347 / 3176426450</t>
  </si>
  <si>
    <t>pma@fertilidadpma.com</t>
  </si>
  <si>
    <t>1100117732</t>
  </si>
  <si>
    <t>POLICLINICO DIAGNOSTICO DEL SUR E. U.</t>
  </si>
  <si>
    <t>JESSIKA MARIETH PRADA BANGUERO</t>
  </si>
  <si>
    <t>CLL 27 SUR 19B -05 / 07</t>
  </si>
  <si>
    <t>3616639</t>
  </si>
  <si>
    <t>polisursalud@gmail.com</t>
  </si>
  <si>
    <t>110011773201</t>
  </si>
  <si>
    <t>POLICLINICO DIAGNOSTICO DEL SUR E.U.</t>
  </si>
  <si>
    <t>JAIRO PRADA BAUTISTA</t>
  </si>
  <si>
    <t>CLL 27 SUR 19B-05/07</t>
  </si>
  <si>
    <t>1100107037</t>
  </si>
  <si>
    <t>POLICLINICO SOCIAL DEL NORTE LTDA</t>
  </si>
  <si>
    <t>SEGURA BARON JAIME ENRIQUE</t>
  </si>
  <si>
    <t>KRA 8 H # 164 B 19</t>
  </si>
  <si>
    <t>6774390</t>
  </si>
  <si>
    <t>:psndelnorte@policlinicosocial delnorte.com</t>
  </si>
  <si>
    <t>110010929101</t>
  </si>
  <si>
    <t>PORSALUD IPS</t>
  </si>
  <si>
    <t>Dra. CLAUDIA PATRICIA FORERO GOMEZ</t>
  </si>
  <si>
    <t>calle 145A No. 94A - 17</t>
  </si>
  <si>
    <t>7462753</t>
  </si>
  <si>
    <t>auditoriamedica@porsaludips.com</t>
  </si>
  <si>
    <t>1100109291</t>
  </si>
  <si>
    <t>PORSALUD SAS</t>
  </si>
  <si>
    <t>FORERO GOMEZ CLAUDIA PATRICIA</t>
  </si>
  <si>
    <t>CL 145 A # 94 A 17</t>
  </si>
  <si>
    <t>1100113473</t>
  </si>
  <si>
    <t>PRAXIS DE COLOMBIA LTDA</t>
  </si>
  <si>
    <t>MYRIAM CECILIA VACA MORENO</t>
  </si>
  <si>
    <t>AC 127 NO. 50-21 piso 1</t>
  </si>
  <si>
    <t>6208190</t>
  </si>
  <si>
    <t>praxisdecolombia@hotmail.com</t>
  </si>
  <si>
    <t>www.ipspraxis.com</t>
  </si>
  <si>
    <t>110013618201</t>
  </si>
  <si>
    <t>PRAXISALUD IPS SAS</t>
  </si>
  <si>
    <t>Olga Lucia Moya Sáenz</t>
  </si>
  <si>
    <t>DIAGONAL 115 A 70 D 42</t>
  </si>
  <si>
    <t>3173832551</t>
  </si>
  <si>
    <t>praxisaludips@gmail.com</t>
  </si>
  <si>
    <t>110010105201</t>
  </si>
  <si>
    <t>PREGEN</t>
  </si>
  <si>
    <t>CONSTANZA BERNAL VILLEGAS</t>
  </si>
  <si>
    <t>KR 15 A # 106 42</t>
  </si>
  <si>
    <t>6293877</t>
  </si>
  <si>
    <t>pregen@cable.net.co</t>
  </si>
  <si>
    <t>1100118768</t>
  </si>
  <si>
    <t>PRERESALUD S.A.S</t>
  </si>
  <si>
    <t>JAZMINE DEL ROSARIO BOADA MOJICA</t>
  </si>
  <si>
    <t>Kr 27 A # 40 A - 94 P1</t>
  </si>
  <si>
    <t>3203976595</t>
  </si>
  <si>
    <t>preresalud@yahoo.es</t>
  </si>
  <si>
    <t>1100108748</t>
  </si>
  <si>
    <t>PREVEDONTO PREVENCION Y SALUD ORAL INTEGRAL SAS sigla PREVEDONTO SAS</t>
  </si>
  <si>
    <t>BATANCOURT RODRIGUEZ MARIO EDUARDO</t>
  </si>
  <si>
    <t>CL 106 # 57 23 OF 609</t>
  </si>
  <si>
    <t>6131241-3105531257</t>
  </si>
  <si>
    <t>contacto@prevedonto.com</t>
  </si>
  <si>
    <t>1100116971</t>
  </si>
  <si>
    <t>PREVENCIÓN, ATENCIÓN E INVESTIGACIÓN EN SALUD LTDA, PAIS</t>
  </si>
  <si>
    <t>ANDRES ERNESTO VELÁSQUEZ GAVILANES</t>
  </si>
  <si>
    <t>CRA 16 N° 84A-09 CS 505</t>
  </si>
  <si>
    <t>6217254</t>
  </si>
  <si>
    <t>vacunartePAIS@gmail.com</t>
  </si>
  <si>
    <t>110012487401</t>
  </si>
  <si>
    <t>PREVENTSALUD IPS SAS</t>
  </si>
  <si>
    <t>JUAN DAVID CUENCA CUELLAR</t>
  </si>
  <si>
    <t>CALLE 15 SUR No. 16 - 46</t>
  </si>
  <si>
    <t>7575328 - 3155885312</t>
  </si>
  <si>
    <t>preventsaludips@gmail.com</t>
  </si>
  <si>
    <t>110011773802</t>
  </si>
  <si>
    <t>PREVITEST 197</t>
  </si>
  <si>
    <t>NATHALIA LOPEZ BERNAL</t>
  </si>
  <si>
    <t>AUTOPISTA NORTE # 197 - 75 PISO 2</t>
  </si>
  <si>
    <t>6293029</t>
  </si>
  <si>
    <t>previtest@gmail.com</t>
  </si>
  <si>
    <t>1100117738</t>
  </si>
  <si>
    <t>PREVITEST SAS IPS</t>
  </si>
  <si>
    <t>Akira Norio Angarita</t>
  </si>
  <si>
    <t>AVENIDA CARRERA 15 119 86 Consultorio 302</t>
  </si>
  <si>
    <t>7464793 - 3046341981</t>
  </si>
  <si>
    <t>110011773801</t>
  </si>
  <si>
    <t>PREVITEST UNICENTRO UNO</t>
  </si>
  <si>
    <t>Nathalia Lopez Bernal</t>
  </si>
  <si>
    <t>AK 15 # 119 - 86 Consultorio 302</t>
  </si>
  <si>
    <t>3016062749</t>
  </si>
  <si>
    <t>110013837601</t>
  </si>
  <si>
    <t>PROAMBULANCIAS IPS SAS</t>
  </si>
  <si>
    <t>KEILY ALEXANDRA MONROY RICO</t>
  </si>
  <si>
    <t>KR 75k # 58 B 04 SUR PI 1</t>
  </si>
  <si>
    <t>3213494616</t>
  </si>
  <si>
    <t>proambulancias.ips@gmail.com</t>
  </si>
  <si>
    <t>1100104014</t>
  </si>
  <si>
    <t>PROCREACION MEDICAMENTE ASISTIDA LTDA</t>
  </si>
  <si>
    <t>CAVELIER CASTRO LUIS EDUARDO</t>
  </si>
  <si>
    <t>CALLE 50 # 7 36 PI 6</t>
  </si>
  <si>
    <t>WWW.FERTILIDADPMA.COM</t>
  </si>
  <si>
    <t>110012751101</t>
  </si>
  <si>
    <t>PROCTOMEDICAL HMZ SAS</t>
  </si>
  <si>
    <t>JOSE ANTONIO HORMAZA LEON</t>
  </si>
  <si>
    <t>AC 127 # 19 A 28 CS 308 y 608</t>
  </si>
  <si>
    <t>6333320</t>
  </si>
  <si>
    <t>proctomedical@gmail.com</t>
  </si>
  <si>
    <t>110010899507</t>
  </si>
  <si>
    <t>PROFAMILIA BOGOTA FERTILIDAD</t>
  </si>
  <si>
    <t>Zulma Castellanos Ortiz</t>
  </si>
  <si>
    <t>Calle 83 #16A-44 Piso 502</t>
  </si>
  <si>
    <t>(601) 4845808 - 3156076480</t>
  </si>
  <si>
    <t>zulma.castellanos@profamilia.org.co</t>
  </si>
  <si>
    <t>110010899501</t>
  </si>
  <si>
    <t>PROFAMILIA BOGOTA TEUSAQUILLO</t>
  </si>
  <si>
    <t>3009124560</t>
  </si>
  <si>
    <t>110010899505</t>
  </si>
  <si>
    <t>PROFAMILIA CENTRO PARA JÓVENES</t>
  </si>
  <si>
    <t>KR 15 # 34 47</t>
  </si>
  <si>
    <t>110010899508</t>
  </si>
  <si>
    <t>PROFAMILIA EL BOSQUE</t>
  </si>
  <si>
    <t>ZULMA BIANEY CASTELLANOS ORTIZ</t>
  </si>
  <si>
    <t>CALLE 134 N 7b - 83 consultorio 214</t>
  </si>
  <si>
    <t>110010899504</t>
  </si>
  <si>
    <t>PROFAMILIA KENNEDY</t>
  </si>
  <si>
    <t>TV 73C Bis A 38-41 Sur</t>
  </si>
  <si>
    <t>110010899502</t>
  </si>
  <si>
    <t>PROFAMILIA QUIRIGUA</t>
  </si>
  <si>
    <t>CL 80 BIS # 94 K 40</t>
  </si>
  <si>
    <t>110010899506</t>
  </si>
  <si>
    <t>PROFAMILIA TUNAL</t>
  </si>
  <si>
    <t>Calle 47B Sur #24B-33 Local 3009-3010</t>
  </si>
  <si>
    <t>110011823401</t>
  </si>
  <si>
    <t>PROGRAMA MADRE CANGURO INTEGRAL</t>
  </si>
  <si>
    <t>CARRERA 7 No. 40-62 PISO 1</t>
  </si>
  <si>
    <t>2874690</t>
  </si>
  <si>
    <t>secretariaadmonpmci@programacanguro.org</t>
  </si>
  <si>
    <t>110011823402</t>
  </si>
  <si>
    <t>PROGRAMA MADRE CANGURO INTEGRAL SAN JOSE</t>
  </si>
  <si>
    <t>CARRERA 52 No. 67A - 71 PISO 1 CS 2</t>
  </si>
  <si>
    <t>3112965</t>
  </si>
  <si>
    <t>1100118234</t>
  </si>
  <si>
    <t>PROGRAMA MADRE CANGURO INTEGRAL SAS</t>
  </si>
  <si>
    <t>ZITA DEL CARMEN FIGUEROA SANCHEZ</t>
  </si>
  <si>
    <t>CALLE 44B No. 53-50</t>
  </si>
  <si>
    <t>diradmonpmci@programacanguro.org</t>
  </si>
  <si>
    <t>110011107602</t>
  </si>
  <si>
    <t>PROSALUD BULEVAR</t>
  </si>
  <si>
    <t>GUSTAVO LINDE FLOREZ</t>
  </si>
  <si>
    <t>TRANSVERSAL 60 No. 127D 71</t>
  </si>
  <si>
    <t>2261644</t>
  </si>
  <si>
    <t>calidad@prosalud.com.co</t>
  </si>
  <si>
    <t>110011107603</t>
  </si>
  <si>
    <t>PROSALUD KENNEDY</t>
  </si>
  <si>
    <t>CALLE 40 SUR No. 78A 31</t>
  </si>
  <si>
    <t>6917272</t>
  </si>
  <si>
    <t>1100111076</t>
  </si>
  <si>
    <t>PROSALUD SOCIEDAD POR ACCIONES SIMPLIFICADA PROSALUD SAS</t>
  </si>
  <si>
    <t>LINDE FLOREZ GUSTAVO</t>
  </si>
  <si>
    <t>CRA 13 # 77 A 22</t>
  </si>
  <si>
    <t>linde@prosalud.com.co</t>
  </si>
  <si>
    <t>110010315505</t>
  </si>
  <si>
    <t>PROSEGUIR SEDE 3</t>
  </si>
  <si>
    <t>Cra. 16 Nº 59-04</t>
  </si>
  <si>
    <t>1100120257</t>
  </si>
  <si>
    <t>PROSERVANDA SG-SST S.A.S</t>
  </si>
  <si>
    <t>BETTY MANZANO TORRADO</t>
  </si>
  <si>
    <t>DIAGONAL 45D N. 20 - 22 PISO 2</t>
  </si>
  <si>
    <t>3213106117</t>
  </si>
  <si>
    <t>calidad@proservanda-sgsst.com</t>
  </si>
  <si>
    <t>https://proservanda.co/inicio-pro</t>
  </si>
  <si>
    <t>110012751001</t>
  </si>
  <si>
    <t>PROTEGER HEALTH CARE SAS</t>
  </si>
  <si>
    <t>GLORIA MARTINEZ MUÑOZ</t>
  </si>
  <si>
    <t>Calle 119 Nº7-14 CS 313</t>
  </si>
  <si>
    <t>2154414 - 3107632253</t>
  </si>
  <si>
    <t>gerencia@protegerhealthcare.com</t>
  </si>
  <si>
    <t>110012999902</t>
  </si>
  <si>
    <t>PROTEGER IPS BOGOTA</t>
  </si>
  <si>
    <t>AV KR 60 17 35 37 PISO 1</t>
  </si>
  <si>
    <t>3102260832-3214686578</t>
  </si>
  <si>
    <t>110014030401</t>
  </si>
  <si>
    <t>PSICOTOOLS CENTRO DE BIENESTAR S.A.S</t>
  </si>
  <si>
    <t>LINA MARIA MURCIA PIÑEROS</t>
  </si>
  <si>
    <t>KRA 15 # 88-64 OFICINA 521</t>
  </si>
  <si>
    <t>3165492695</t>
  </si>
  <si>
    <t>info@psicotools.com.co</t>
  </si>
  <si>
    <t>110012427903</t>
  </si>
  <si>
    <t>PSQ SEDE 4</t>
  </si>
  <si>
    <t>CARRERA 28 No 63 SUR 20</t>
  </si>
  <si>
    <t>3108058422</t>
  </si>
  <si>
    <t>CALIDAD.IPS@OUTLOOK.COM - PSQGERENCIA@GMAIL.COM</t>
  </si>
  <si>
    <t>110010817161</t>
  </si>
  <si>
    <t>PUNTO DE ATENCIÓN EN SALUD SURA CASTELLANA</t>
  </si>
  <si>
    <t>CARRERA 49#98-20</t>
  </si>
  <si>
    <t>110010817157</t>
  </si>
  <si>
    <t>PUNTO DE ATENCIÓN EN SALUD SURA SUR</t>
  </si>
  <si>
    <t>KR 13 A # 3 - 01 SUR</t>
  </si>
  <si>
    <t>110013747201</t>
  </si>
  <si>
    <t>Para Sanarte SAS</t>
  </si>
  <si>
    <t>Sandra Mayerly Sanchez Tuta</t>
  </si>
  <si>
    <t>Carrera 19a #77 - 18 consultorio 501</t>
  </si>
  <si>
    <t>3178878705</t>
  </si>
  <si>
    <t>parasanarte1@gmail.com</t>
  </si>
  <si>
    <t>110014112101</t>
  </si>
  <si>
    <t>Plastic Skin</t>
  </si>
  <si>
    <t>Ricardo Alfonso Botache Pinzon</t>
  </si>
  <si>
    <t>CL 126 # 7 -26 CS 702-703</t>
  </si>
  <si>
    <t>3127044910</t>
  </si>
  <si>
    <t>wellnessips2024@gmail.com</t>
  </si>
  <si>
    <t>110013417201</t>
  </si>
  <si>
    <t>Progressos IPS SAS</t>
  </si>
  <si>
    <t>Maythe de Lourdes Fernandez Zapiain</t>
  </si>
  <si>
    <t>cra 49 #99-24 piso 1</t>
  </si>
  <si>
    <t>3174319436</t>
  </si>
  <si>
    <t>progressos.ips@gmail.com</t>
  </si>
  <si>
    <t>110014010101</t>
  </si>
  <si>
    <t>QPrevencion</t>
  </si>
  <si>
    <t>Jenny Alexandra Lizcano Castro</t>
  </si>
  <si>
    <t>carrera 56 # 9 - 91 local 17</t>
  </si>
  <si>
    <t>3183732687</t>
  </si>
  <si>
    <t>jenny_lizcano@quironprevencion.com</t>
  </si>
  <si>
    <t>110010754701</t>
  </si>
  <si>
    <t>QUALITAS SALUD CRC CASTELLANA</t>
  </si>
  <si>
    <t>NUBIA ESTELLA MONTEJO LEON</t>
  </si>
  <si>
    <t>KR 46 # 93 07</t>
  </si>
  <si>
    <t>7442412</t>
  </si>
  <si>
    <t>nubia.montejo@qualitas-salud.com</t>
  </si>
  <si>
    <t>110010754705</t>
  </si>
  <si>
    <t>QUALITAS SALUD CRC MONTEVIDEO</t>
  </si>
  <si>
    <t>CARRERA 65 17 10</t>
  </si>
  <si>
    <t>1100107547</t>
  </si>
  <si>
    <t>QUALITAS SALUD LTDA</t>
  </si>
  <si>
    <t>MENDEZ BARRETO CLAUDIO IGNACIO</t>
  </si>
  <si>
    <t>CARRERA 46 No.93-07</t>
  </si>
  <si>
    <t>www.qualitas-salud.com</t>
  </si>
  <si>
    <t>110010764604</t>
  </si>
  <si>
    <t>QUALITY CARE</t>
  </si>
  <si>
    <t>Calle 97 # 23-37 Piso 10 Cons. 1001 Y 309</t>
  </si>
  <si>
    <t>3849060 - 3138935320</t>
  </si>
  <si>
    <t>110012569301</t>
  </si>
  <si>
    <t>QUALITY DATA S A SIGLA QDATA S.A.</t>
  </si>
  <si>
    <t>Leonardo Gonzalez Vigoya</t>
  </si>
  <si>
    <t>CR 7 C No 122 - 06</t>
  </si>
  <si>
    <t>6 37 70 60</t>
  </si>
  <si>
    <t>administrativa@qdata.com.co</t>
  </si>
  <si>
    <t>110013554401</t>
  </si>
  <si>
    <t>QUIASMO IPS S.A.S</t>
  </si>
  <si>
    <t>JHON JAIRO CARVAJAL GOMEZ</t>
  </si>
  <si>
    <t>CL 67 # 14 A 14</t>
  </si>
  <si>
    <t>3227007526-3105355708</t>
  </si>
  <si>
    <t>jhoncg@quiasmo.co</t>
  </si>
  <si>
    <t>110014010102</t>
  </si>
  <si>
    <t>QUIRON PREVENCION SEDE NORTE PISO 2</t>
  </si>
  <si>
    <t>Calle 99 # 13A 30 Piso 2</t>
  </si>
  <si>
    <t>6013785995</t>
  </si>
  <si>
    <t>jennny_lizcano@quironprevencion.com</t>
  </si>
  <si>
    <t>110012864601</t>
  </si>
  <si>
    <t>QUIRÓN UNIDAD MÉDICA SAS</t>
  </si>
  <si>
    <t>SANDRA EUFRANYA MALAGÓN GUTIÉRREZ</t>
  </si>
  <si>
    <t>Cra 49C N° 93-22</t>
  </si>
  <si>
    <t>4758989 - 3138329098</t>
  </si>
  <si>
    <t>quironips@gmail.com</t>
  </si>
  <si>
    <t>1100117910</t>
  </si>
  <si>
    <t>R Y S VACUNACIONES SAS</t>
  </si>
  <si>
    <t>Raúl Aníbal Peláez Muñoz</t>
  </si>
  <si>
    <t>CL 50 # 8 24 CS 204</t>
  </si>
  <si>
    <t>3003072965 - 3107991124</t>
  </si>
  <si>
    <t>gerenciarysvacunaciones@gmail.com</t>
  </si>
  <si>
    <t>110011756301</t>
  </si>
  <si>
    <t>RADA CASSAB MEDICINA ESTETICA S.A.S</t>
  </si>
  <si>
    <t>LEIDY LEON MELGAREJO</t>
  </si>
  <si>
    <t>CL 79 B # 8 10 PI 2 y 5</t>
  </si>
  <si>
    <t>6202081 - 3142748635</t>
  </si>
  <si>
    <t>atencionusuarios@radacassab.com</t>
  </si>
  <si>
    <t>1100117563</t>
  </si>
  <si>
    <t>RADA CASSAB MEDICINA ESTETICA S.A.S.</t>
  </si>
  <si>
    <t>ALEJANDRO RADA CASSAB</t>
  </si>
  <si>
    <t>CL 79 B # 8 10 PI 2 Y 5</t>
  </si>
  <si>
    <t>6202081</t>
  </si>
  <si>
    <t>www.radacassab.com</t>
  </si>
  <si>
    <t>110013314501</t>
  </si>
  <si>
    <t>RADIANTE: CENTRO INTEGRAL DE DERMATOLOGÍA Y ESTÉTICA S.A.S.</t>
  </si>
  <si>
    <t>DANIEL TELLEZ RODRIGUEZ</t>
  </si>
  <si>
    <t>Cr 21 53 75 Consultorio 202-205-206-207</t>
  </si>
  <si>
    <t>4391900-3212321057</t>
  </si>
  <si>
    <t>gerencia@radiante.com.co</t>
  </si>
  <si>
    <t>110013847101</t>
  </si>
  <si>
    <t>RADIOLOGIA DIGITAL MAXILOFACIAL CRX SAS -SIGLA: CRX RESTREPO</t>
  </si>
  <si>
    <t>ANA PATRICIA MIRANDA BONILLA</t>
  </si>
  <si>
    <t>Diagonal 21 A Sur 19 32 Piso 1</t>
  </si>
  <si>
    <t>3114043757</t>
  </si>
  <si>
    <t>crxrestrepo@gmail.com</t>
  </si>
  <si>
    <t>110012584002</t>
  </si>
  <si>
    <t>RADIOLOGIA ORAL ELIPSE</t>
  </si>
  <si>
    <t>RAFAEL ANDRES MONROY DIAZ</t>
  </si>
  <si>
    <t>CALLE 80 No. 89 A 40 LOCAL 123 - 124</t>
  </si>
  <si>
    <t>4813204 - 3107586232</t>
  </si>
  <si>
    <t>radiologiaoralelipse@gmail.com</t>
  </si>
  <si>
    <t>110012584001</t>
  </si>
  <si>
    <t>RADIOLOGIA ORAL ELIPSE SAS</t>
  </si>
  <si>
    <t>CALLE 140 C # 94 D 38 MN 2 CONS 203</t>
  </si>
  <si>
    <t>3099298</t>
  </si>
  <si>
    <t>1100102334</t>
  </si>
  <si>
    <t>RADIOLOGIA Y MEDICINA NUCLEAR DE LA SABANA SAS RADIONUCLEAR SAS</t>
  </si>
  <si>
    <t>PEÑA RODRIGUEZ PEDRO MANUEL</t>
  </si>
  <si>
    <t>AK 7 # 119 14 LOCAL 110</t>
  </si>
  <si>
    <t>6012158860, 6012156258</t>
  </si>
  <si>
    <t>RADIONUCLEAR1@HOTMAIL.COM</t>
  </si>
  <si>
    <t>110012111402</t>
  </si>
  <si>
    <t>RADIOLOGICO IMAGEN DIGITAL RP</t>
  </si>
  <si>
    <t>CONSUELO LILIANA SANCHEZ GALINDO</t>
  </si>
  <si>
    <t>CALLE 141C N 103 F 83</t>
  </si>
  <si>
    <t>8057160</t>
  </si>
  <si>
    <t>110014002601</t>
  </si>
  <si>
    <t>RADIOMEDIC SOLUTIONS SAS</t>
  </si>
  <si>
    <t>Jorge Arturo Buitrago Morales</t>
  </si>
  <si>
    <t>Avenida Carrera 15 # 122 - 35 Interior 2 Oficina 203</t>
  </si>
  <si>
    <t>3176441138</t>
  </si>
  <si>
    <t>jorgeabuitragom@gmail.com</t>
  </si>
  <si>
    <t>110010326602</t>
  </si>
  <si>
    <t>RADIOTERAPIA ONCOLOGIA MARLY EQUIPO 2</t>
  </si>
  <si>
    <t>HERMAN JOSE ESGUERRA VILLAMIZAR</t>
  </si>
  <si>
    <t>KR 8 # 49 34 SOTANO 3 PI 7</t>
  </si>
  <si>
    <t>2124395 2878154 EXT 40 - 3222000488</t>
  </si>
  <si>
    <t>gerencia@radioterapiaoncologiamarly.com</t>
  </si>
  <si>
    <t>1100103266</t>
  </si>
  <si>
    <t>RADIOTERAPIA ONCOLOGIA MARLY S.A</t>
  </si>
  <si>
    <t>ESGUERRA VILLAMIZAR HERMAN JOSE</t>
  </si>
  <si>
    <t>CRA 9 # 49 22</t>
  </si>
  <si>
    <t>2878154 Ext 106</t>
  </si>
  <si>
    <t>110012151202</t>
  </si>
  <si>
    <t>RANGEL REHABILITACION</t>
  </si>
  <si>
    <t>PATRICIA ELENA QUESSEP FERIA</t>
  </si>
  <si>
    <t>Carrera 7B BIS #132-38 PISO 5 Y CS 603 Y 607</t>
  </si>
  <si>
    <t>3102799676</t>
  </si>
  <si>
    <t>notificaciones@rangelrehabilitacion.com.co</t>
  </si>
  <si>
    <t>110012151204</t>
  </si>
  <si>
    <t>RANGEL REHABILITACION 2</t>
  </si>
  <si>
    <t>AC 20 # 43A 32</t>
  </si>
  <si>
    <t>110011636940</t>
  </si>
  <si>
    <t>RAY BAN</t>
  </si>
  <si>
    <t>AK 15 # 124 30 LC 2 272</t>
  </si>
  <si>
    <t>nury.herrera@co.luxottica.co m</t>
  </si>
  <si>
    <t>110011636933</t>
  </si>
  <si>
    <t>RAY BAN ANDINO</t>
  </si>
  <si>
    <t>German Venegas Fajardo</t>
  </si>
  <si>
    <t>CR 12 NO. 82 - 02 LC 1 - 464 1 - 47</t>
  </si>
  <si>
    <t>110013955101</t>
  </si>
  <si>
    <t>REBORN MEDICINA ESTETICA Y RECONSTRUCTIVA SAS</t>
  </si>
  <si>
    <t>ALICIA HERRERA ULLOA</t>
  </si>
  <si>
    <t>CRA 23 # 124 - 87 CONS 703-704 - 705 TORRE 2 EDIFICIO ZENTAI</t>
  </si>
  <si>
    <t>6017033306</t>
  </si>
  <si>
    <t>gerencia@juanpablomd.com</t>
  </si>
  <si>
    <t>110013916901</t>
  </si>
  <si>
    <t>RECONOCER IPS - NUESTRO BOGOTÁ</t>
  </si>
  <si>
    <t>DIEGO FERNANDO CASTAÑEDA SANCHEZ</t>
  </si>
  <si>
    <t>Ak 86 No. 55 A 75 Lc 061 065 P 3</t>
  </si>
  <si>
    <t>3173705208</t>
  </si>
  <si>
    <t>reconocerips@hotmail.com</t>
  </si>
  <si>
    <t>1100101052</t>
  </si>
  <si>
    <t>RED COLOMBIANA DE MEDICINA GENETICA SAS PREGEN</t>
  </si>
  <si>
    <t>RAMIREZ URIBE MARIA VICTORIA</t>
  </si>
  <si>
    <t>CRA 15A No 106-42</t>
  </si>
  <si>
    <t>3187350883</t>
  </si>
  <si>
    <t>pregen@pregencolombia.com</t>
  </si>
  <si>
    <t>www.pregencolombia.com</t>
  </si>
  <si>
    <t>110014182601</t>
  </si>
  <si>
    <t>RED COLOMBIANA DE PRESTACIÓN Y CUIDADOS EN SALUD S.A.S</t>
  </si>
  <si>
    <t>ADRIANA PATRICIA FORERO HINCAPIE</t>
  </si>
  <si>
    <t>CR 45 A 95 37 OFICINA 604</t>
  </si>
  <si>
    <t>3229280050</t>
  </si>
  <si>
    <t>salutio.digital@gmail.com</t>
  </si>
  <si>
    <t>1100108572</t>
  </si>
  <si>
    <t>RED DE DIAGNOSTICO MEDICO S.A. -REDIMED S.A</t>
  </si>
  <si>
    <t>GONZALEZ BUITRAGO JORGE ALBERTO</t>
  </si>
  <si>
    <t>AV CARACAS 32 17</t>
  </si>
  <si>
    <t>teusaquillo@redimed.com.co</t>
  </si>
  <si>
    <t>110012660001</t>
  </si>
  <si>
    <t>RED MEDICA IPS SAS</t>
  </si>
  <si>
    <t>EGDNA L. GUTIERREZ CASTILLO</t>
  </si>
  <si>
    <t>CALLE 71 A N 70B-35 PISO 1</t>
  </si>
  <si>
    <t>6159034-6159035-3185162991</t>
  </si>
  <si>
    <t>gerenciaredmedicaipssas@gmail.com</t>
  </si>
  <si>
    <t>110011587901</t>
  </si>
  <si>
    <t>RED ORAL COLINA</t>
  </si>
  <si>
    <t>CARRERA 58 No 137 B 38 PI 3</t>
  </si>
  <si>
    <t>110010857203</t>
  </si>
  <si>
    <t>REDIMED IPS -CENTRO RADIOLOGICO TEUSAQUILLO-</t>
  </si>
  <si>
    <t>JORGE ALBERTO GONZALEZ BUITRAGO</t>
  </si>
  <si>
    <t>AV CARACAS # 31 B 19 Cs 102 103 104 105 106 107 201 202 203 204 205 206 207 208 301 302 303 304 305 306</t>
  </si>
  <si>
    <t>110010857202</t>
  </si>
  <si>
    <t>REDIMED IPS CENTRO RADIOLOGICO DEL SUR</t>
  </si>
  <si>
    <t>CALLE 27 SUR # 14 - 39 CS 101 103 104 105 201 202 203 204 205 206 207 303 304 305</t>
  </si>
  <si>
    <t>SUR@REDIMED.COM.CO</t>
  </si>
  <si>
    <t>110014201501</t>
  </si>
  <si>
    <t>REDSPIRE BOGOTA</t>
  </si>
  <si>
    <t>SANTIAGO PAREDES BLANCO</t>
  </si>
  <si>
    <t>Carrera 69 98A 11 oficina 203 Centro comercial floresta outlet</t>
  </si>
  <si>
    <t>3125231311</t>
  </si>
  <si>
    <t>planeacion@redspire.co</t>
  </si>
  <si>
    <t>110012665601</t>
  </si>
  <si>
    <t>REFLECTIONS BODY CENTER HACIENDA SANTA BARBARA</t>
  </si>
  <si>
    <t>GLORIA PATRICIA GOMEZ ANGEL</t>
  </si>
  <si>
    <t>Cll 114 No 6A-92 OF. D 507 CENTRO COMERCIAL HACIENDA SANTA BARBARA</t>
  </si>
  <si>
    <t>5200952-4810046-3102216268</t>
  </si>
  <si>
    <t>reflectionsbody@gmail.com</t>
  </si>
  <si>
    <t>110011957602</t>
  </si>
  <si>
    <t>REHABILITACION INTEGRAL INFANTIL ESPECIALIZADA SAS</t>
  </si>
  <si>
    <t>Edna Yucely Díaz Pachón</t>
  </si>
  <si>
    <t>Calle 119 # 13 -51 Oficina 201</t>
  </si>
  <si>
    <t>(601) 7393639</t>
  </si>
  <si>
    <t>gerencia@riie.com.co</t>
  </si>
  <si>
    <t>1100119576</t>
  </si>
  <si>
    <t>REHABILITACION INTEGRAL INFANTIL ESPECIALIZADA SAS CON SIGLA RIIE SAS</t>
  </si>
  <si>
    <t>CL 119 # 11 B 67</t>
  </si>
  <si>
    <t>313 4994151 - 031 6 708078</t>
  </si>
  <si>
    <t>110011957601</t>
  </si>
  <si>
    <t>REHABILITACIÓN INTEGRAL INFANTIL ESPECIALIZADA SAS CON SIGLA RIIE SAS</t>
  </si>
  <si>
    <t>CL 119 #11 B 67</t>
  </si>
  <si>
    <t>313 499 41 51 - 3561023</t>
  </si>
  <si>
    <t>calidad@riie.com.co</t>
  </si>
  <si>
    <t>110012102002</t>
  </si>
  <si>
    <t>REHABILITARTE PLUS S.A.S</t>
  </si>
  <si>
    <t>Paola Andrea Forero Nieto</t>
  </si>
  <si>
    <t>CRA 47 # 91-50</t>
  </si>
  <si>
    <t>3125210170</t>
  </si>
  <si>
    <t>rehabilitacion@rhbtplus.com</t>
  </si>
  <si>
    <t>110012102001</t>
  </si>
  <si>
    <t>REHABILITARTE PLUS SAS</t>
  </si>
  <si>
    <t>PAOLA ANDREA FORERO NIETO</t>
  </si>
  <si>
    <t>Cl 86B #49D-28 Of 201</t>
  </si>
  <si>
    <t>6139952 - 3212484879</t>
  </si>
  <si>
    <t>110013047501</t>
  </si>
  <si>
    <t>REN IPS</t>
  </si>
  <si>
    <t>LUIS ALEJANDRO ROJAS SANCHEZ</t>
  </si>
  <si>
    <t>CLL 97# 23 - 37 CONSULTORIO 714, 606</t>
  </si>
  <si>
    <t>7460039 EXT 1004</t>
  </si>
  <si>
    <t>larojas@renconsultores.com.co</t>
  </si>
  <si>
    <t>110013986901</t>
  </si>
  <si>
    <t>RENAL RESCUE SAS</t>
  </si>
  <si>
    <t>JORGE ALBERTO CASTRO RUIZ</t>
  </si>
  <si>
    <t>KR 23 # 45C 31 LC 317</t>
  </si>
  <si>
    <t>3502816472</t>
  </si>
  <si>
    <t>ventasbarsa@gmail.com</t>
  </si>
  <si>
    <t>110012143401</t>
  </si>
  <si>
    <t>RENE RODRIGUEZ MEDICAL SAS</t>
  </si>
  <si>
    <t>Rene Rodriguez</t>
  </si>
  <si>
    <t>CL 110 # 9 25 CS 704 y 705</t>
  </si>
  <si>
    <t>7552888</t>
  </si>
  <si>
    <t>contacto@2rmd.com</t>
  </si>
  <si>
    <t>110010452901</t>
  </si>
  <si>
    <t>REPROTEC CENTRO DE FERTILIDAD</t>
  </si>
  <si>
    <t>Deisy Judith Mora Maldonado</t>
  </si>
  <si>
    <t>AK 9 # 116 20 OF 302 CS 402-402A-404-404A-406A-406B-408-410-412-412A-415A-416-428-414-515-515A</t>
  </si>
  <si>
    <t>2151807</t>
  </si>
  <si>
    <t>calidad@reprotectucentro.com</t>
  </si>
  <si>
    <t>110012476201</t>
  </si>
  <si>
    <t>REQPERA IPS SAS</t>
  </si>
  <si>
    <t>GIGLIOLA DEL PILAR TARAZONA DIAZ</t>
  </si>
  <si>
    <t>CALLE 127 # 19 A- 44 EDIFICO ACOMEDICA II CONSULTORIO 505</t>
  </si>
  <si>
    <t>3016471946 - 6415967</t>
  </si>
  <si>
    <t>administrativo@reqperaips.com</t>
  </si>
  <si>
    <t>110013920201</t>
  </si>
  <si>
    <t>RESET40HMB</t>
  </si>
  <si>
    <t>HANNIA PATRICIA MURRA BENEDETTI</t>
  </si>
  <si>
    <t>Calle 81 No. 12 - 44 CS.402</t>
  </si>
  <si>
    <t>3134060043</t>
  </si>
  <si>
    <t>hmurra@hotmail.com</t>
  </si>
  <si>
    <t>1100104769</t>
  </si>
  <si>
    <t>RESONANCIA MAGNETICA DE COLOMBIA SAS.</t>
  </si>
  <si>
    <t>CARRERA 16 A 82 37 PISO 2 OFICINA 1</t>
  </si>
  <si>
    <t>resomagdecol@imagenesdiagnosticasdelcountry.com</t>
  </si>
  <si>
    <t>1100104490</t>
  </si>
  <si>
    <t>RESONANCIA MAGNETICA DEL COUNTRY SAS</t>
  </si>
  <si>
    <t>CARRERA 16 A 82 37 PISO 2 OFICINA 2</t>
  </si>
  <si>
    <t>resomagsa@imagenesdiagnosticasdelcountry.com</t>
  </si>
  <si>
    <t>www.rmcs.com.co</t>
  </si>
  <si>
    <t>110010944401</t>
  </si>
  <si>
    <t>RESONANCIA MAGNETICA SAN JOSE</t>
  </si>
  <si>
    <t>Ricardo Alvarez</t>
  </si>
  <si>
    <t>Calle 10 #18-75 entrada 4 parqueadero</t>
  </si>
  <si>
    <t>3713402 3713403 3713404</t>
  </si>
  <si>
    <t>resonanciasj@rmsanjose.com</t>
  </si>
  <si>
    <t>110013284101</t>
  </si>
  <si>
    <t>RESONANCIA MAGNÉTICA Y TAC DE LA SABANA LTDA</t>
  </si>
  <si>
    <t>AC 19 No. 102 - 53 CONS 202</t>
  </si>
  <si>
    <t>resonancialasabana@rmcs.com.co</t>
  </si>
  <si>
    <t>110010449001</t>
  </si>
  <si>
    <t>RESONANCIA Y TAC DEL COUNTRY</t>
  </si>
  <si>
    <t>CARRERA 16 No. 84 A - 09 CONSULTORIO 323</t>
  </si>
  <si>
    <t>110012512806</t>
  </si>
  <si>
    <t>RETINOPTICAL SAS</t>
  </si>
  <si>
    <t>CALLE 19 No 8-11</t>
  </si>
  <si>
    <t>2841369</t>
  </si>
  <si>
    <t>110010777201</t>
  </si>
  <si>
    <t>REVISAVIAE</t>
  </si>
  <si>
    <t>FERNANDO ORTIZ CERON</t>
  </si>
  <si>
    <t>KR 11 # 61 19 PISO 2 OF 201, 203 Y PISO 4 OF 401</t>
  </si>
  <si>
    <t>2112151-3173803115</t>
  </si>
  <si>
    <t>revisaviae@yahoo.es</t>
  </si>
  <si>
    <t>1100107772</t>
  </si>
  <si>
    <t>REVISAVIAE LTDA</t>
  </si>
  <si>
    <t>ORTIZ CERON FERNANDO</t>
  </si>
  <si>
    <t>110012989301</t>
  </si>
  <si>
    <t>REYVELT MEDICINA ESPECIALIZADA SAS</t>
  </si>
  <si>
    <t>Diana Velasquez Velez</t>
  </si>
  <si>
    <t>AK 24 N° 83 - 33</t>
  </si>
  <si>
    <t>3133239499</t>
  </si>
  <si>
    <t>reyvelt.medicinaespecializada@gmail.com</t>
  </si>
  <si>
    <t>110012989302</t>
  </si>
  <si>
    <t>REYVELT MEDICINA ESPECIALIZADA SEDE AMERICAS</t>
  </si>
  <si>
    <t>DIANA PATRICIA VELÁSQUEZ VÉLEZ</t>
  </si>
  <si>
    <t>Carrera 60 # 11 - 14 Local 4 y 5</t>
  </si>
  <si>
    <t>gerencia@reyvelt.com</t>
  </si>
  <si>
    <t>110013016301</t>
  </si>
  <si>
    <t>RH POSITIVO SALUD IPS SAS</t>
  </si>
  <si>
    <t>LUIS SALGADO RACERO</t>
  </si>
  <si>
    <t>CARRERA 26 # 51 - 21</t>
  </si>
  <si>
    <t>3013752581</t>
  </si>
  <si>
    <t>gerencia@rhpositivosalud.com.co</t>
  </si>
  <si>
    <t>110013855001</t>
  </si>
  <si>
    <t>RICARDO GONZALEZ CIRUGIA PLASTICA Y ESTETICA</t>
  </si>
  <si>
    <t>RICARDO ALFREDO GONZALEZ RODRIGUEZ</t>
  </si>
  <si>
    <t>Avenida Cra 9 # 103 A - 36 Oficina 603</t>
  </si>
  <si>
    <t>3217575936</t>
  </si>
  <si>
    <t>rg@doctorricardogonzalez.com</t>
  </si>
  <si>
    <t>110011795201</t>
  </si>
  <si>
    <t>RIE ODONTOLOGIA INTEGRAL</t>
  </si>
  <si>
    <t>DIANA PATRICIA OLARTE LIBREROS</t>
  </si>
  <si>
    <t>CR 55 # 174B 03</t>
  </si>
  <si>
    <t>7597442</t>
  </si>
  <si>
    <t>consultarie@yahoo.com</t>
  </si>
  <si>
    <t>110014273501</t>
  </si>
  <si>
    <t>RIE SONRISA PERFECTA S.A.S SIGLA: RIE SONRISA PERFECTA</t>
  </si>
  <si>
    <t>YAINNI PATRICIA AUNTA SANCHEZ</t>
  </si>
  <si>
    <t>Calle 167 62 48 Piso 2 Local 204 Consultorio 2 Consultorio 3 Consultorio 5</t>
  </si>
  <si>
    <t>3102989475</t>
  </si>
  <si>
    <t>rie.sonrisa.perfecta@hotmail.com</t>
  </si>
  <si>
    <t>1100112437</t>
  </si>
  <si>
    <t>RIESGO DE FRACTURA S.A. CAYRE</t>
  </si>
  <si>
    <t>YESID ALBERTO MUÑOZ URREGO</t>
  </si>
  <si>
    <t>CR 56 NO. 9 - 91 LC 18 - Barrio:SALAZAR GOMEZ</t>
  </si>
  <si>
    <t>3153705784</t>
  </si>
  <si>
    <t>www.cayre.co</t>
  </si>
  <si>
    <t>110012052501</t>
  </si>
  <si>
    <t>RIO SUR SAS</t>
  </si>
  <si>
    <t>CARLOS RODRIGO IBAÑEZ LOZANO</t>
  </si>
  <si>
    <t>AC 26 #103 08 EN 1 IN 20 A</t>
  </si>
  <si>
    <t>4139857-3138084059</t>
  </si>
  <si>
    <t>subgerencia@gruporiosur.com</t>
  </si>
  <si>
    <t>110013900701</t>
  </si>
  <si>
    <t>RIVIERE CLINIC SAS</t>
  </si>
  <si>
    <t>CARLOS ALBERTO RAMOS CORENA</t>
  </si>
  <si>
    <t>AV KR 19 # 109 A - 57</t>
  </si>
  <si>
    <t>3023942435</t>
  </si>
  <si>
    <t>calidadriviereclinic@gmail.com</t>
  </si>
  <si>
    <t>110013950201</t>
  </si>
  <si>
    <t>ROGANS S.A.S. SIGLAS: ROGANS S.A.S.</t>
  </si>
  <si>
    <t>ESTEBAN LOPEZ SALCEDO</t>
  </si>
  <si>
    <t>Avenida Carrera 45 No. 106 - 71 Oficina 401 402 410 Zona 1</t>
  </si>
  <si>
    <t>3103920937</t>
  </si>
  <si>
    <t>salud@rogansya.com</t>
  </si>
  <si>
    <t>110013590801</t>
  </si>
  <si>
    <t>ROHI IPS SAS. BOGOTA</t>
  </si>
  <si>
    <t>JENNY MARCELA HERRERA VELASCO</t>
  </si>
  <si>
    <t>Calle 18 No.77-67 Oficina 505 y 506 Centro Comercial Meridiano Oriental</t>
  </si>
  <si>
    <t>3002628435</t>
  </si>
  <si>
    <t>calidadrohi@gmail.com</t>
  </si>
  <si>
    <t>110010683401</t>
  </si>
  <si>
    <t>RTS AGENCIA CARDIOINFANTIL</t>
  </si>
  <si>
    <t>ARMANDO FORERO</t>
  </si>
  <si>
    <t>KR 14 A # 163 A 98</t>
  </si>
  <si>
    <t>6696996 // 3228807582</t>
  </si>
  <si>
    <t>armando.forero@vantive.com</t>
  </si>
  <si>
    <t>110010683410</t>
  </si>
  <si>
    <t>RTS AGENCIA CSR BOGOTA</t>
  </si>
  <si>
    <t>WILTON JAVIER LESMES FERRO</t>
  </si>
  <si>
    <t>Calle 43 No. 25 - 61 Piso 1 Y Piso 2 Consultorios 8, 9, 10, 11</t>
  </si>
  <si>
    <t>(601)3438900-4391269 - whatsapp 3176400917</t>
  </si>
  <si>
    <t>wilton.lesmes@vantive.com</t>
  </si>
  <si>
    <t>110010683411</t>
  </si>
  <si>
    <t>RTS AGENCIA HOSPITAL MILITAR CENTRAL</t>
  </si>
  <si>
    <t>Claudia Marcela Pineda Fula</t>
  </si>
  <si>
    <t>TV 3C No. 49-02 HOSPITAL MILITAR CENTRAL PISO 4 ALA NORTE UNIDAD RENAL</t>
  </si>
  <si>
    <t>(601) 4391285 Ext. 2400 - 2401 -2405 - Cel 3176417621</t>
  </si>
  <si>
    <t>claudia.pineda@vantive.com</t>
  </si>
  <si>
    <t>110010683413</t>
  </si>
  <si>
    <t>RTS AGENCIA LA CALLEJA</t>
  </si>
  <si>
    <t>Rosa Esperanza Vargas López</t>
  </si>
  <si>
    <t>CALLE 127 BIS No 19-25 PISO 5</t>
  </si>
  <si>
    <t>555 36 10 - 3135945227- 3152638952</t>
  </si>
  <si>
    <t>rosa.esperanza.vargas@vantive.com</t>
  </si>
  <si>
    <t>110010683406</t>
  </si>
  <si>
    <t>RTS AGENCIA SAN RAFAEL</t>
  </si>
  <si>
    <t>LUIS ALBERTO LEON GIRALDO</t>
  </si>
  <si>
    <t>Cra 8 # 17 Sur - 44 Sur Entrada 3 Piso 1 y Local 5</t>
  </si>
  <si>
    <t>(601) 4391295 // 3152449265</t>
  </si>
  <si>
    <t>luis.alberto.leon@vantive.com</t>
  </si>
  <si>
    <t>110010683414</t>
  </si>
  <si>
    <t>RTS AGENCIA UNIVERSIDAD NACIONAL</t>
  </si>
  <si>
    <t>Calle 44 # 59-75 Piso 1 Unidad Renal, Consultorios 16 Y 17</t>
  </si>
  <si>
    <t>3104198250 - (601)5552105</t>
  </si>
  <si>
    <t>1100106834</t>
  </si>
  <si>
    <t>RTS S.A.S</t>
  </si>
  <si>
    <t>JOSE JOAQUIN RODRIGUEZ QUINTERO</t>
  </si>
  <si>
    <t>CALLE 78 No. 23-40 - Barrio:JUAN XVIII</t>
  </si>
  <si>
    <t>(601)4391270 // 3228845160</t>
  </si>
  <si>
    <t>fredy.rojas@vantive.com</t>
  </si>
  <si>
    <t>https://rcs.baxter.com/es - www.vantive.com</t>
  </si>
  <si>
    <t>110010683415</t>
  </si>
  <si>
    <t>RTS SUCURSAL INSTITUTO NACIONAL DEL RIÑON</t>
  </si>
  <si>
    <t>FREDY ORLANDO ROJAS CARVAJAL</t>
  </si>
  <si>
    <t>CALLE 78 No. 23-40</t>
  </si>
  <si>
    <t>(601) 4391270 // 322 8845160</t>
  </si>
  <si>
    <t>110014039001</t>
  </si>
  <si>
    <t>RUTAVITAL SAS</t>
  </si>
  <si>
    <t>JOSE FABIO MUÑOZ CASTAÑO</t>
  </si>
  <si>
    <t>CALLE 109 # 14B-60 OFICINA 302</t>
  </si>
  <si>
    <t>3204990983</t>
  </si>
  <si>
    <t>rutavitalsas@gmail.com</t>
  </si>
  <si>
    <t>110010405205</t>
  </si>
  <si>
    <t>RX COUNTRY SEDE MARLY</t>
  </si>
  <si>
    <t>Juan Carlos Mejia Ossa</t>
  </si>
  <si>
    <t>CALLE 47 # 13 33 OF 105</t>
  </si>
  <si>
    <t>2451544</t>
  </si>
  <si>
    <t>110010405203</t>
  </si>
  <si>
    <t>RX COUNTRY SEDE SANTA BARBARA</t>
  </si>
  <si>
    <t>Avenida 19 Nº 118-30 Lc 8 piso 1</t>
  </si>
  <si>
    <t>110012182701</t>
  </si>
  <si>
    <t>RehaSer S.A.S.</t>
  </si>
  <si>
    <t>JAVIER SUAREZ CASALLAS</t>
  </si>
  <si>
    <t>CARRERA 20 # 125 - 38 CONSULTORIOS 105 Y 106</t>
  </si>
  <si>
    <t>2159912 3118803493</t>
  </si>
  <si>
    <t>gerencia@rehaser.com.co</t>
  </si>
  <si>
    <t>1100109444</t>
  </si>
  <si>
    <t>Resonancia Magnética San José S.A.</t>
  </si>
  <si>
    <t>LUIS ALBERTO BLACO RUBIO</t>
  </si>
  <si>
    <t>3713402</t>
  </si>
  <si>
    <t>www.rmsanjose.com</t>
  </si>
  <si>
    <t>110011407301</t>
  </si>
  <si>
    <t>S.O.S SALUD S.A.S</t>
  </si>
  <si>
    <t>YOHANA LOPEZ GIRALDO</t>
  </si>
  <si>
    <t>Cra 68G N° 75-71</t>
  </si>
  <si>
    <t>6018000519 6014909696</t>
  </si>
  <si>
    <t>gerencia@sossalud.com.co</t>
  </si>
  <si>
    <t>110014275001</t>
  </si>
  <si>
    <t>SABANA MEDICAL CARE SAS</t>
  </si>
  <si>
    <t>MARIA ISABEL MORA MELO</t>
  </si>
  <si>
    <t>CRA 13 N° 48-26 OF 401</t>
  </si>
  <si>
    <t>3123002821</t>
  </si>
  <si>
    <t>sabanasalud@icloud.com</t>
  </si>
  <si>
    <t>110012110001</t>
  </si>
  <si>
    <t>SAC SALUD LTDA</t>
  </si>
  <si>
    <t>HECTOR HERNAN GUTIERREZ BERNAL</t>
  </si>
  <si>
    <t>KR 25 N 45 -05 CS 101</t>
  </si>
  <si>
    <t>2252649</t>
  </si>
  <si>
    <t>sacsaludltda@hotmail.com</t>
  </si>
  <si>
    <t>1100119239</t>
  </si>
  <si>
    <t>SALAZAR Y TAVERA LTDA.</t>
  </si>
  <si>
    <t>CARRERA 72 B N. 23 F 58</t>
  </si>
  <si>
    <t>2715769</t>
  </si>
  <si>
    <t>110014153901</t>
  </si>
  <si>
    <t>SALUD &amp; LÁSER</t>
  </si>
  <si>
    <t>CAROLINA TORRES TRIVIÑO</t>
  </si>
  <si>
    <t>Av Kr 9 103A-36 Ofc 406B - 406E</t>
  </si>
  <si>
    <t>3132811978</t>
  </si>
  <si>
    <t>saludylaser@hotmail.com</t>
  </si>
  <si>
    <t>110010949901</t>
  </si>
  <si>
    <t>SALUD A SU CASA S.A.S.</t>
  </si>
  <si>
    <t>HECTOR FERNANDO OSORIO CIFUENTES</t>
  </si>
  <si>
    <t>Carrera 70 G No. 121 - 31</t>
  </si>
  <si>
    <t>2534861</t>
  </si>
  <si>
    <t>saludasucasa@hotmail.com</t>
  </si>
  <si>
    <t>110013651502</t>
  </si>
  <si>
    <t>SALUD A SU SERVICIO NORMANDIA</t>
  </si>
  <si>
    <t>FIYER SANTIAGO ALAVARADO ORTIZ</t>
  </si>
  <si>
    <t>AVENIDA CARRERA 70 49 55</t>
  </si>
  <si>
    <t>3006123350</t>
  </si>
  <si>
    <t>saludasuserviciosas@gmail.com</t>
  </si>
  <si>
    <t>110012174601</t>
  </si>
  <si>
    <t>SALUD ACTIVA MEDICINA BIOLOGICA Y FUNCIONAL 127</t>
  </si>
  <si>
    <t>MARIA CONSUELO PAVA CAMELO</t>
  </si>
  <si>
    <t>Avenida Calle 127 19 A 62 Consultorio 404-408-413-414-502-510</t>
  </si>
  <si>
    <t>3246850147</t>
  </si>
  <si>
    <t>coordinacion.calidad@saludactivaips.com</t>
  </si>
  <si>
    <t>110012174602</t>
  </si>
  <si>
    <t>SALUD ACTIVA MEDICINA BIOLOGICA Y FUNCIONAL PRADERA</t>
  </si>
  <si>
    <t>KR 65 5 a 94 piso 2</t>
  </si>
  <si>
    <t>110014147201</t>
  </si>
  <si>
    <t>SALUD AMAV SAS AMAV SALUD</t>
  </si>
  <si>
    <t>Juan Angel Alviz Olarte</t>
  </si>
  <si>
    <t>Calle 86 B # 49 D - 28 Piso 2 consultorio 204</t>
  </si>
  <si>
    <t>6019373777</t>
  </si>
  <si>
    <t>ips@saludamav.com</t>
  </si>
  <si>
    <t>110013894001</t>
  </si>
  <si>
    <t>SALUD BOSQUE IPS SAS</t>
  </si>
  <si>
    <t>LINA YURANY GOMEZ GIRALDO</t>
  </si>
  <si>
    <t>Carrera 7 B Bis # 132 - 28 Hub 2, Piso 1 , Tm 1 , Piso 2 Consultorio 1-2</t>
  </si>
  <si>
    <t>6489000</t>
  </si>
  <si>
    <t>diagnostico@unbosque.edu.co</t>
  </si>
  <si>
    <t>110012072702</t>
  </si>
  <si>
    <t>SALUD CUERPO Y BELLEZA II</t>
  </si>
  <si>
    <t>ARAGON BERNAL JENNY VIVIANA</t>
  </si>
  <si>
    <t>AVENIDA PRIMERO DE MAYO No. 72A-74</t>
  </si>
  <si>
    <t>4061725</t>
  </si>
  <si>
    <t>110012072703</t>
  </si>
  <si>
    <t>SALUD CUERPO Y BELLEZA III</t>
  </si>
  <si>
    <t>CALLE 86 No 24-27</t>
  </si>
  <si>
    <t>6350693</t>
  </si>
  <si>
    <t>BELLEZAINTEGRALMERCADEO@HOTMAIL.COM</t>
  </si>
  <si>
    <t>110012072704</t>
  </si>
  <si>
    <t>SALUD CUERPO Y BELLEZA IV</t>
  </si>
  <si>
    <t>CL 127 D #.58 18</t>
  </si>
  <si>
    <t>2266119</t>
  </si>
  <si>
    <t>110012072705</t>
  </si>
  <si>
    <t>SALUD CUERPO Y BELLEZA V</t>
  </si>
  <si>
    <t>JENNY VIVIANA ARAGON BERNAL</t>
  </si>
  <si>
    <t>AV LA ESPERANZA # 74 35</t>
  </si>
  <si>
    <t>4108210</t>
  </si>
  <si>
    <t>saludcuerpoybelleza_ltda@hotmail.com</t>
  </si>
  <si>
    <t>110012072706</t>
  </si>
  <si>
    <t>SALUD CUERPO Y BELLEZA VI</t>
  </si>
  <si>
    <t>CARRERA 16 N 140 -60</t>
  </si>
  <si>
    <t>6264715</t>
  </si>
  <si>
    <t>saludcuerpoybelleza_ltda@4hotmail.com</t>
  </si>
  <si>
    <t>110012072707</t>
  </si>
  <si>
    <t>SALUD CUERPO Y BELLEZA VII</t>
  </si>
  <si>
    <t>CL 63 # 16A 25</t>
  </si>
  <si>
    <t>2530215</t>
  </si>
  <si>
    <t>110012072708</t>
  </si>
  <si>
    <t>SALUD CUERPO Y BELLEZA VIII</t>
  </si>
  <si>
    <t>CRA 20 No 14-18 SUR</t>
  </si>
  <si>
    <t>3734032</t>
  </si>
  <si>
    <t>bellezaintegralmercadeo@hotmail.com</t>
  </si>
  <si>
    <t>110012072701</t>
  </si>
  <si>
    <t>SALUD CUERPO YBELLEZA I</t>
  </si>
  <si>
    <t>110012440801</t>
  </si>
  <si>
    <t>SALUD HOUSE SAS</t>
  </si>
  <si>
    <t>VICTOR FERNANDO ZARATE HERNANDEZ</t>
  </si>
  <si>
    <t>avenida calle 147 no 19-50 local 15</t>
  </si>
  <si>
    <t>5204377</t>
  </si>
  <si>
    <t>saludhouse@hotmail.com</t>
  </si>
  <si>
    <t>110013920101</t>
  </si>
  <si>
    <t>SALUD INMEDIATA I.P.S S.A.S. SIGLA SALINM I.P.S</t>
  </si>
  <si>
    <t>YULI CATHERIN BUITRAGO PAEZ</t>
  </si>
  <si>
    <t>Carrera 18 # 79 - 46 Cs 502</t>
  </si>
  <si>
    <t>3174368179</t>
  </si>
  <si>
    <t>gerenciasalinm@gmail.com</t>
  </si>
  <si>
    <t>1100100483</t>
  </si>
  <si>
    <t>SALUD INTEGRAL EL LAGO LTDA</t>
  </si>
  <si>
    <t>FAJARDO DIAZ FRANCISCO ANTONIO</t>
  </si>
  <si>
    <t>CL 79 # 18 34 CS 506</t>
  </si>
  <si>
    <t>8056234</t>
  </si>
  <si>
    <t>info@saludintegralellago.co</t>
  </si>
  <si>
    <t>110013765701</t>
  </si>
  <si>
    <t>SALUD LLANOS IPS - BOGOTÁ</t>
  </si>
  <si>
    <t>SANDRA PATRICIA ROMERO ROMERO</t>
  </si>
  <si>
    <t>CALLE 106 # 54 - 54</t>
  </si>
  <si>
    <t>6424852 - 3108883479</t>
  </si>
  <si>
    <t>calidad@saludllanosips.com - direccionadministrativa@saludllanosips.com</t>
  </si>
  <si>
    <t>110013858601</t>
  </si>
  <si>
    <t>SALUD MASIN S.A.S</t>
  </si>
  <si>
    <t>Liceth Daniela Prado Cortes</t>
  </si>
  <si>
    <t>CALLE 12 Nº 33-09 LOCAL 1</t>
  </si>
  <si>
    <t>6017450360</t>
  </si>
  <si>
    <t>saludmasin@axon360.co</t>
  </si>
  <si>
    <t>110012460802</t>
  </si>
  <si>
    <t>SALUD MATERNO FETAL S.A.S. Sede 02</t>
  </si>
  <si>
    <t>Edgar Eduardo Ramírez Bojacá</t>
  </si>
  <si>
    <t>Calle 50 No 8- 24 consultorio 308-705</t>
  </si>
  <si>
    <t>2551663</t>
  </si>
  <si>
    <t>smaternofetal@gmail.com</t>
  </si>
  <si>
    <t>110014357201</t>
  </si>
  <si>
    <t>SALUD MENTAL Y COMUNIDAD SAS</t>
  </si>
  <si>
    <t>CRISTIAN CAMILO VARGAS CAÑÓN</t>
  </si>
  <si>
    <t>KR 16 # 82 - 74 CONSULTORIO 301</t>
  </si>
  <si>
    <t>3143596088</t>
  </si>
  <si>
    <t>contacto@sen-p.com</t>
  </si>
  <si>
    <t>1100106537</t>
  </si>
  <si>
    <t>SALUD OCUPACIONAL DE LOS ANDES LIMITADA</t>
  </si>
  <si>
    <t>ROMERO ZAMBRANO ARIEL HUMBERTO</t>
  </si>
  <si>
    <t>CR 62 N° 12 - 58 BG 1-2-3-4-5 - Barrio:CC PUENTE ARANDA</t>
  </si>
  <si>
    <t>3005111879- 3203337914</t>
  </si>
  <si>
    <t>direccion.sgi@soandes.co alexander.leon@soandes.co</t>
  </si>
  <si>
    <t>https://soandes.com.co/</t>
  </si>
  <si>
    <t>110010653703</t>
  </si>
  <si>
    <t>SALUD OCUPACIONAL DE LOS ANDES LTDA</t>
  </si>
  <si>
    <t>LEON TUNJO LUIS ALEXANDER</t>
  </si>
  <si>
    <t>CR 62 N° 12 - 58 BG 1-2-3-4-5</t>
  </si>
  <si>
    <t>2903763 - 7560686 Ext 100 - 203 / 3203337914</t>
  </si>
  <si>
    <t>coordinacion.polo@soandes.co</t>
  </si>
  <si>
    <t>110012451301</t>
  </si>
  <si>
    <t>SALUD OCUPACIONAL INTERNACIONAL S.A.S</t>
  </si>
  <si>
    <t>MERCEDES HERNANDEZ DUARTE</t>
  </si>
  <si>
    <t>AK 30 No 86 A 95 PISO 1</t>
  </si>
  <si>
    <t>8857879</t>
  </si>
  <si>
    <t>mhernandez@ipssoi.com</t>
  </si>
  <si>
    <t>1100117294</t>
  </si>
  <si>
    <t>SALUD OCUPACIONAL SANITAS SAS</t>
  </si>
  <si>
    <t>Rosemarie Eslait de Supelano</t>
  </si>
  <si>
    <t>Tv 60 115 58 Torre B piso 3</t>
  </si>
  <si>
    <t>6466060 ext 5710311 -3173822322</t>
  </si>
  <si>
    <t>saludocupacionalsanitas@colsanitas.com</t>
  </si>
  <si>
    <t>110010817142</t>
  </si>
  <si>
    <t>SALUD PREFERENCIAL MAZUREN</t>
  </si>
  <si>
    <t>CALLE 152 # 53 A 05 PISO 2 y 3</t>
  </si>
  <si>
    <t>7436756 EXT 73355</t>
  </si>
  <si>
    <t>110010778209</t>
  </si>
  <si>
    <t>SALUD SURA CALLE 100 BOGOTA</t>
  </si>
  <si>
    <t>Cl. 100 No. 19 A - 35</t>
  </si>
  <si>
    <t>(1) 487 38 88 / 3164625445</t>
  </si>
  <si>
    <t>1100117167</t>
  </si>
  <si>
    <t>SALUD VISUAL EMPRESARIAL OCUPACIONAL EU</t>
  </si>
  <si>
    <t>JUAN MANUEL CHAVEZ RUEDA</t>
  </si>
  <si>
    <t>CALLE 19 No.8-81 oficina 1005</t>
  </si>
  <si>
    <t>601 750 7039 - 310 679 3968</t>
  </si>
  <si>
    <t>saludvisual@saludvisualempresarial.com</t>
  </si>
  <si>
    <t>110014217301</t>
  </si>
  <si>
    <t>SALUD VITAL DEL HUILA I.P.S. S.A.S.</t>
  </si>
  <si>
    <t>LINA MARIA RIVAS DUSSAN</t>
  </si>
  <si>
    <t>CARRERA 45 a # 94 - 35</t>
  </si>
  <si>
    <t>3213690373</t>
  </si>
  <si>
    <t>vicepresidencia@saludvitalips.com.co</t>
  </si>
  <si>
    <t>110012975901</t>
  </si>
  <si>
    <t>SALUD VITAL Y RIESGOS PROFESIONALES IPS SAS</t>
  </si>
  <si>
    <t>FREDY JERSAY CELY ARIZA</t>
  </si>
  <si>
    <t>CRA 16 # 84A - 09 CS 412</t>
  </si>
  <si>
    <t>3164296696</t>
  </si>
  <si>
    <t>calidadsaludvitalbogota@gmail.com</t>
  </si>
  <si>
    <t>110013034501</t>
  </si>
  <si>
    <t>SALUD Y ATENCION A PERSONAS ADULTAS SAS SIGLA PERSADULT HOME SAS</t>
  </si>
  <si>
    <t>LUZ CLEMENCIA CALDERON PASCUAS</t>
  </si>
  <si>
    <t>AVENIDA CALLE 53 # 73-15 OFICINA 101</t>
  </si>
  <si>
    <t>6017153213-3122961484-3227889713</t>
  </si>
  <si>
    <t>grupoempresarialsaludsas@gmail.com</t>
  </si>
  <si>
    <t>1100105490</t>
  </si>
  <si>
    <t>SALUD Y DIAGNOSTICO DIAMEDICAL SAS</t>
  </si>
  <si>
    <t>OSPITIA CASTRO ANGELA MARIA</t>
  </si>
  <si>
    <t>CL 81 # 19 A 12</t>
  </si>
  <si>
    <t>6016315280</t>
  </si>
  <si>
    <t>diamedical@gmail.com</t>
  </si>
  <si>
    <t>110013646601</t>
  </si>
  <si>
    <t>SALUDPASS SAS</t>
  </si>
  <si>
    <t>JAIME HENRIQUE BERRIO TRUJILLO</t>
  </si>
  <si>
    <t>CARRERA 7 N 74 C- 09 PISO 2</t>
  </si>
  <si>
    <t>7421492</t>
  </si>
  <si>
    <t>contactojudicial@saludpass.com.co</t>
  </si>
  <si>
    <t>110014253801</t>
  </si>
  <si>
    <t>SALUDPEDIA 24/7 SAS - SEDE NORTE</t>
  </si>
  <si>
    <t>Angie Marcela Quintero Villamizar</t>
  </si>
  <si>
    <t>CALLE 93B # 16 - 08 CONSULTORIO 203</t>
  </si>
  <si>
    <t>3014579648</t>
  </si>
  <si>
    <t>saludpedia24.7@gmail.com</t>
  </si>
  <si>
    <t>110011828501</t>
  </si>
  <si>
    <t>SALUDVAL SAS</t>
  </si>
  <si>
    <t>MIGUEL ANGEL PARADA PRIETO</t>
  </si>
  <si>
    <t>CR 7 BIS #124 56 CONS 608</t>
  </si>
  <si>
    <t>3108170233</t>
  </si>
  <si>
    <t>saludvalsas@gmail.com</t>
  </si>
  <si>
    <t>110014287001</t>
  </si>
  <si>
    <t>SAMESU IPS MEDICINA LABORAL S.A.S.</t>
  </si>
  <si>
    <t>ADRIANA DEL PILAR MORALES CASALLAS</t>
  </si>
  <si>
    <t>Cl 26 # 69 D 91 To 2 Of 202 A</t>
  </si>
  <si>
    <t>3189615826</t>
  </si>
  <si>
    <t>calidad@samesu.com.co</t>
  </si>
  <si>
    <t>110011093901</t>
  </si>
  <si>
    <t>SAN LUIS UNIDAD DE CRONICOS Y PALIATIVOS SAS</t>
  </si>
  <si>
    <t>FLOR DEISY RODRIGUEZ</t>
  </si>
  <si>
    <t>CL 127B 45 92</t>
  </si>
  <si>
    <t>2583209</t>
  </si>
  <si>
    <t>luiscarlos@ipssanluis.com</t>
  </si>
  <si>
    <t>110011093902</t>
  </si>
  <si>
    <t>SAN LUIS UNIDAD DE CRONICOS Y PALIATIVOS SEDE DOS SAS</t>
  </si>
  <si>
    <t>CALLE 127 B No. 45 68</t>
  </si>
  <si>
    <t>2583348 / 2583209</t>
  </si>
  <si>
    <t>110012457101</t>
  </si>
  <si>
    <t>SAN@ CENTROS DE TERAPIA SAS</t>
  </si>
  <si>
    <t>Sandra Cecilia Silva Taboada</t>
  </si>
  <si>
    <t>Avenida Calle 80 89 A 40 Piso 3 Local 304, Piso 2 Lc 247 - 202 - 203</t>
  </si>
  <si>
    <t>3906389 - 3134648721</t>
  </si>
  <si>
    <t>administracion@san@-terapia.com</t>
  </si>
  <si>
    <t>110013659801</t>
  </si>
  <si>
    <t>SANAR HEALTH CARE SAS</t>
  </si>
  <si>
    <t>Carolina Gomez Porras</t>
  </si>
  <si>
    <t>CR 7 C BIS NO. 139 - 08 OF. 313</t>
  </si>
  <si>
    <t>3102524420 - (031) 4795184</t>
  </si>
  <si>
    <t>gerenciasanarhealthcare@gmail.com</t>
  </si>
  <si>
    <t>110011445601</t>
  </si>
  <si>
    <t>SANAR REHABILITACION INTEGRAL</t>
  </si>
  <si>
    <t>Olga Lucia Cárdenas Castiblanco</t>
  </si>
  <si>
    <t>AC 3 27 45</t>
  </si>
  <si>
    <t>2374625</t>
  </si>
  <si>
    <t>sanarehabilitacionintegral@gmail.com</t>
  </si>
  <si>
    <t>1100114456</t>
  </si>
  <si>
    <t>SANAR REHABILITACION INTEGRAL SAS</t>
  </si>
  <si>
    <t>OLGA LUCIA CARDENAS CASTIBLANCO</t>
  </si>
  <si>
    <t>1100115877</t>
  </si>
  <si>
    <t>SANARTERAPIAS LTDA PUDIENDO UTILIZAR LA SIGLA SANARTERAPIAS</t>
  </si>
  <si>
    <t>ADRIANA DIAZ STERLING</t>
  </si>
  <si>
    <t>CL 23 # 66 46 IN 4 CS 414 - 412 - 417 - 401 - 402 - 415</t>
  </si>
  <si>
    <t>3 24 45 01 - 5 73 47 44</t>
  </si>
  <si>
    <t>sanarterapias@gmail.com</t>
  </si>
  <si>
    <t>110013878901</t>
  </si>
  <si>
    <t>SANDRA POVEDA CLINICA ODONTOLOGICA</t>
  </si>
  <si>
    <t>SANDRA MILENA POVEDA ORTIZ</t>
  </si>
  <si>
    <t>CALLE 93#12-54 OFICINA 402 CONSULTORIO 2,3 Y 4</t>
  </si>
  <si>
    <t>3158521757</t>
  </si>
  <si>
    <t>sandrapovedaclinicaodont@gmail.com</t>
  </si>
  <si>
    <t>110014000901</t>
  </si>
  <si>
    <t>SANTA BARBARA SURGERY CENTER SAS</t>
  </si>
  <si>
    <t>EDGAR ANDRES FERNANDO ROMERO VASQUEZ</t>
  </si>
  <si>
    <t>CRA 7A # 123-25 OFICINA 2A-2B-2C CONSULTORIO 602-604</t>
  </si>
  <si>
    <t>6013000958</t>
  </si>
  <si>
    <t>andresromer2006@gmail.com</t>
  </si>
  <si>
    <t>110011947901</t>
  </si>
  <si>
    <t>SANTA BARBARA SURGICAL CENTER S.A.S</t>
  </si>
  <si>
    <t>Freddy Alberto Pinto Borda</t>
  </si>
  <si>
    <t>Cra. 22 Nº 100-24 piso 1,piso 3 consultorios 1,2,3 y 7</t>
  </si>
  <si>
    <t>2571399 - 2577588</t>
  </si>
  <si>
    <t>administracion@santabarbarasurgical.com.co</t>
  </si>
  <si>
    <t>1100119479</t>
  </si>
  <si>
    <t>SANTA BARBARA SURGICAL CENTER S.A.S.</t>
  </si>
  <si>
    <t>KR 22 # 100 24 piso1 piso3 consultorios 1 2 3 y 7</t>
  </si>
  <si>
    <t>santabarbara.clinica@gmail.com</t>
  </si>
  <si>
    <t>110013981001</t>
  </si>
  <si>
    <t>SANTEVIT IPS</t>
  </si>
  <si>
    <t>DIEGO FELIPE RENGIFO VELASQUEZ</t>
  </si>
  <si>
    <t>TV 60 115 58 TORRE A CONSULTORIO 306</t>
  </si>
  <si>
    <t>3125853948</t>
  </si>
  <si>
    <t>diegorengifov@gmail.com</t>
  </si>
  <si>
    <t>110012992401</t>
  </si>
  <si>
    <t>SANTIAGO DE COMPOSTELA IPS UNIDAD DOMICILIARIA</t>
  </si>
  <si>
    <t>HAROLD EDICSON ESPITIA SANDOVAL</t>
  </si>
  <si>
    <t>KR 65 a No.97- 94</t>
  </si>
  <si>
    <t>3229423221</t>
  </si>
  <si>
    <t>gerencia@santiagodecompostelaips.com</t>
  </si>
  <si>
    <t>110014146001</t>
  </si>
  <si>
    <t>SARMIDENT PLUS SAS SIGLA SDT PLUS SAS</t>
  </si>
  <si>
    <t>LAURA ROCIO SARMIENTO BEJARANO</t>
  </si>
  <si>
    <t>AC 127 #13A-54 OFICINA 403-404</t>
  </si>
  <si>
    <t>3162771280</t>
  </si>
  <si>
    <t>lrsarmiento@gmail.com</t>
  </si>
  <si>
    <t>110014070301</t>
  </si>
  <si>
    <t>SARSALUD COLOMBIA IPS SAS</t>
  </si>
  <si>
    <t>CARLOS ANDRES GONZALEZ TORRES</t>
  </si>
  <si>
    <t>AC 6 NO. 78 47</t>
  </si>
  <si>
    <t>carlosagt02@gmail.com</t>
  </si>
  <si>
    <t>110011797401</t>
  </si>
  <si>
    <t>SBF SALUD BUCAL FAMILIAR LTDA.</t>
  </si>
  <si>
    <t>HECTOR FABIO PANTOJA BOHORQUEZ</t>
  </si>
  <si>
    <t>CL 90 # 19A 49 CONSULTORIO 301 OFICINA 503</t>
  </si>
  <si>
    <t>6235501 - 3138707940</t>
  </si>
  <si>
    <t>CLINICASBF@GMAIL.COM</t>
  </si>
  <si>
    <t>110014182001</t>
  </si>
  <si>
    <t>SCOPE HEALTHCARE SAS</t>
  </si>
  <si>
    <t>ELIANA MARCELA MURCIA MONROY</t>
  </si>
  <si>
    <t>Cr 7 A No. 123 25 P 7</t>
  </si>
  <si>
    <t>3208000900</t>
  </si>
  <si>
    <t>scopehealthcaresas@gmail.com</t>
  </si>
  <si>
    <t>110013345701</t>
  </si>
  <si>
    <t>SDO SALUD SOLUCIONES DIAGNOSTICAS</t>
  </si>
  <si>
    <t>Clara Liliana Angarita Picon</t>
  </si>
  <si>
    <t>CARRERA 23 Nº 45 C 31 CONSULTORIO 216</t>
  </si>
  <si>
    <t>3014511364</t>
  </si>
  <si>
    <t>sdosalud@gmail.com</t>
  </si>
  <si>
    <t>110014311801</t>
  </si>
  <si>
    <t>SEDARE ANESTESIA SAS Sigla: SEDARE ANESTESIA SAS</t>
  </si>
  <si>
    <t>JAMES ORLANDO CONDE MARTINEZ</t>
  </si>
  <si>
    <t>Cr 15 No. 118 41 Of 606</t>
  </si>
  <si>
    <t>3002655478</t>
  </si>
  <si>
    <t>sedareanestesiasas@gmail.com</t>
  </si>
  <si>
    <t>110010571114</t>
  </si>
  <si>
    <t>SEDE AMERICAS COLCAN</t>
  </si>
  <si>
    <t>ALICIA DE ANDRADE</t>
  </si>
  <si>
    <t>Calle 6A No. 71B-36</t>
  </si>
  <si>
    <t>110010231724</t>
  </si>
  <si>
    <t>SEDE CALLE 100 SALUD VISUAL</t>
  </si>
  <si>
    <t>JUAN ELISEO MACHADO RODRÍGUEZ</t>
  </si>
  <si>
    <t>CALLE 99 # 49 - 38 CS 401, 407, 408, 409, 410, 411, 412</t>
  </si>
  <si>
    <t>110011909505</t>
  </si>
  <si>
    <t>SEDE CALLE 101</t>
  </si>
  <si>
    <t>CALLE 101 #45 A- 42</t>
  </si>
  <si>
    <t>3508063029</t>
  </si>
  <si>
    <t>110010571116</t>
  </si>
  <si>
    <t>SEDE CALLE 45 COLCAN</t>
  </si>
  <si>
    <t>ABDON MARCELO ANDRADE CHAVEZ</t>
  </si>
  <si>
    <t>Calle 45 No. 8-98</t>
  </si>
  <si>
    <t>6017435519 / 3173836592</t>
  </si>
  <si>
    <t>110010231706</t>
  </si>
  <si>
    <t>SEDE CALLE 75 SALUD VISUAL</t>
  </si>
  <si>
    <t>TITO EDUARDO GOMEZ QUIN</t>
  </si>
  <si>
    <t>CALLE 75A # 20C-19 PISO 1 y 2</t>
  </si>
  <si>
    <t>110013205901</t>
  </si>
  <si>
    <t>SEDE CASTELLANA</t>
  </si>
  <si>
    <t>GIOVANNI ALFREDO GUZMAN TRIVIÑO</t>
  </si>
  <si>
    <t>Cr 47 # 94 - 06 P3 - Consultorio 1,2,3 y 4</t>
  </si>
  <si>
    <t>habilitacion@verticalmanager.com.co</t>
  </si>
  <si>
    <t>110010733542</t>
  </si>
  <si>
    <t>SEDE CENTRAL DE PROCESAMIENTO DE LABORATORIO CLINICO</t>
  </si>
  <si>
    <t>CL 63 No. 28 - 42 PI 1 Y PI 2</t>
  </si>
  <si>
    <t>110010571103</t>
  </si>
  <si>
    <t>SEDE CENTRO COLCAN</t>
  </si>
  <si>
    <t>CL 19 # 10 08 CS 204</t>
  </si>
  <si>
    <t>110010231702</t>
  </si>
  <si>
    <t>SEDE CIRUGÍA SALUD VISUAL</t>
  </si>
  <si>
    <t>CR 18 # 80 - 06 CS 417, 419 Y 501 CENTRO MEDICO COUNTRY 80 ETAPA II - PROPIEDAD HORIZONTAL</t>
  </si>
  <si>
    <t>110010231721</t>
  </si>
  <si>
    <t>SEDE COLINA SALUD VISUAL</t>
  </si>
  <si>
    <t>Carrera 59 # 152 b - 79 Consultorio 201 - 202</t>
  </si>
  <si>
    <t>110011909503</t>
  </si>
  <si>
    <t>SEDE COUNTRY</t>
  </si>
  <si>
    <t>CR 16 # 80 -25</t>
  </si>
  <si>
    <t>110013955203</t>
  </si>
  <si>
    <t>SEDE DE REHABILITACION CLINICA ORTOFED</t>
  </si>
  <si>
    <t>CARRERA 47A 95 -34</t>
  </si>
  <si>
    <t>3336025757- 3105509287</t>
  </si>
  <si>
    <t>facturacion@ortofed.com.co</t>
  </si>
  <si>
    <t>110010231723</t>
  </si>
  <si>
    <t>SEDE ELEMENTO SALUD VISUAL</t>
  </si>
  <si>
    <t>CL 26 NO. 69 - 76 OFIC 701 - 702 TO 3</t>
  </si>
  <si>
    <t>110010231725</t>
  </si>
  <si>
    <t>SEDE GRAN ESTACION SALUD VISUAL</t>
  </si>
  <si>
    <t>Ak 60 # 24 - 09 Lc 220 Cc Gran Estacion</t>
  </si>
  <si>
    <t>110013657103</t>
  </si>
  <si>
    <t>SEDE ICONO CHICO</t>
  </si>
  <si>
    <t>CR 14 #98-95 CS 411</t>
  </si>
  <si>
    <t>3044762896</t>
  </si>
  <si>
    <t>110013657102</t>
  </si>
  <si>
    <t>SEDE ICONO COUNTRY</t>
  </si>
  <si>
    <t>CARRERA 19 B #83-16</t>
  </si>
  <si>
    <t>110014120401</t>
  </si>
  <si>
    <t>SEDE IPS HORIZONTE SOCIAL BOGOTA</t>
  </si>
  <si>
    <t>LINA MARCELA LOPEZ CASTRO</t>
  </si>
  <si>
    <t>Carrera 7Bis#124-56/64 Edificio Vitale Consultorio 401</t>
  </si>
  <si>
    <t>3226545629</t>
  </si>
  <si>
    <t>servicioalcliente@ipshorisoes.org</t>
  </si>
  <si>
    <t>110010231703</t>
  </si>
  <si>
    <t>SEDE KENNEDY SALUD VISUAL</t>
  </si>
  <si>
    <t>CRA 78 No 34 SUR - 32</t>
  </si>
  <si>
    <t>110012140003</t>
  </si>
  <si>
    <t>SEDE MULTIHEALTH MARSELLA</t>
  </si>
  <si>
    <t>KR 71F 6B 22</t>
  </si>
  <si>
    <t>110010457304</t>
  </si>
  <si>
    <t>SEDE NORTE</t>
  </si>
  <si>
    <t>NUBIA PATRICIA ACOSTA ZAMBRANO</t>
  </si>
  <si>
    <t>CL 127B # 49 79</t>
  </si>
  <si>
    <t>601 2651320 Whatsapp: 3115184705</t>
  </si>
  <si>
    <t>coordinacionsedenorte@fundacionavante.org</t>
  </si>
  <si>
    <t>110010231720</t>
  </si>
  <si>
    <t>SEDE PASEO VILLA DEL RIO SALUD VISUAL</t>
  </si>
  <si>
    <t>Juan Eliseo Machado Rodriguez</t>
  </si>
  <si>
    <t>Diagonal 57C Sur No.62-60 Local 259-260</t>
  </si>
  <si>
    <t>110010571101</t>
  </si>
  <si>
    <t>SEDE PRINCIPAL COLCAN</t>
  </si>
  <si>
    <t>Abdón Marcelo Andrade Chavez</t>
  </si>
  <si>
    <t>CALLE 49 No. 13 - 60</t>
  </si>
  <si>
    <t>110013643601</t>
  </si>
  <si>
    <t>SEDE PRINCIPAL DE PRESTACION DE SERVICIOS RED HUMANA CASTELLANA</t>
  </si>
  <si>
    <t>CR 45A # 94-71</t>
  </si>
  <si>
    <t>coord.calidad@redhumana.co</t>
  </si>
  <si>
    <t>110010825806</t>
  </si>
  <si>
    <t>SEDE PROPACE</t>
  </si>
  <si>
    <t>JOSE IGNACIO ZAPATA</t>
  </si>
  <si>
    <t>CARRERA 54 # 65-85</t>
  </si>
  <si>
    <t>110010231722</t>
  </si>
  <si>
    <t>SEDE RESTREPO SALUD VISUAL</t>
  </si>
  <si>
    <t>CR 18 NO. 15 - 34 SUR</t>
  </si>
  <si>
    <t>110010733545</t>
  </si>
  <si>
    <t>SEDE SAMU 134</t>
  </si>
  <si>
    <t>AC 134 # 7 B - 41 - PUERTA 2 PISO 1 LABORATORIO CLINICO Y TOMA DE MUESTRAS</t>
  </si>
  <si>
    <t>110013894002</t>
  </si>
  <si>
    <t>SEDE SAN JOSE INFANTIL</t>
  </si>
  <si>
    <t>JULIAN RICARDO LEON AVELLANEDA</t>
  </si>
  <si>
    <t>CR 52 # 67 A 71 CENTRO MEDICO CONSULTORIO 101</t>
  </si>
  <si>
    <t>3167443760</t>
  </si>
  <si>
    <t>gerencia@saludbosque.com.co</t>
  </si>
  <si>
    <t>110010959903</t>
  </si>
  <si>
    <t>SEDE SAN SEBASTIAN</t>
  </si>
  <si>
    <t>Cr 16 No 82 - 74 Cs 313, 314, 315, 512 Y 619</t>
  </si>
  <si>
    <t>110013734102</t>
  </si>
  <si>
    <t>SEDE SANTAFE</t>
  </si>
  <si>
    <t>GERMAN ANÍBAL ARANGO BONNNET</t>
  </si>
  <si>
    <t>Cl 185 45 03 Lc N1 01</t>
  </si>
  <si>
    <t>110010571118</t>
  </si>
  <si>
    <t>SEDE SUBA COLCAN</t>
  </si>
  <si>
    <t>CARRERA 103D No. 152B-23 LC 2</t>
  </si>
  <si>
    <t>110010231716</t>
  </si>
  <si>
    <t>SEDE SUBA SALUD VISUAL</t>
  </si>
  <si>
    <t>CL 139 NO. 94 55 LC 3</t>
  </si>
  <si>
    <t>110010733558</t>
  </si>
  <si>
    <t>SEDE UNIDAD MEDICA SANTAFE CALLE 95</t>
  </si>
  <si>
    <t>AK 45 # 95 - 81 PI 1 CS 105</t>
  </si>
  <si>
    <t>110010733541</t>
  </si>
  <si>
    <t>SEDE UNIDAD MEDICA SANTAFE KENNEDY</t>
  </si>
  <si>
    <t>KR 78 K No 33 A - 03 SUR P2 CS 210 P5 CS 510</t>
  </si>
  <si>
    <t>110012998701</t>
  </si>
  <si>
    <t>SEDE VILLA LUZ</t>
  </si>
  <si>
    <t>PEDRO JULIO SANTAFE PERALTA</t>
  </si>
  <si>
    <t>CALLE 63 77 C -28</t>
  </si>
  <si>
    <t>3102414265-3229494354</t>
  </si>
  <si>
    <t>GERENCIAQHS@GMAIL.COM</t>
  </si>
  <si>
    <t>110012907901</t>
  </si>
  <si>
    <t>SEDOANESTESIA - ANESTESIA ESPECIALIZADA EN SEDACIÓN SAS - SIGLA SEDOANESTESIA SAS</t>
  </si>
  <si>
    <t>ANA MARÍA OROZCO ROJAS</t>
  </si>
  <si>
    <t>KRA 15 No. 118-41 CONSULTORIO 412</t>
  </si>
  <si>
    <t>313585200-3156040165</t>
  </si>
  <si>
    <t>orozcoany@gmail.com</t>
  </si>
  <si>
    <t>110013585401</t>
  </si>
  <si>
    <t>SEGURIDAD Y SALUD OCUPACIONAL SYSO IPS SAS</t>
  </si>
  <si>
    <t>GLADYS MARLEN CASTIBLANCO RONCANCIO</t>
  </si>
  <si>
    <t>CALLE 59 NO. 35 A - 43 PISO UNO</t>
  </si>
  <si>
    <t>3142383825</t>
  </si>
  <si>
    <t>m.castiblanco@sysoips.com</t>
  </si>
  <si>
    <t>110013115901</t>
  </si>
  <si>
    <t>SEINT SALUD I P S S A S</t>
  </si>
  <si>
    <t>CLARA PATRICIA GIRALDO VILLALOBOS</t>
  </si>
  <si>
    <t>KR 69 No 24-65 SUR BODEGA 1 PISO1</t>
  </si>
  <si>
    <t>7021157</t>
  </si>
  <si>
    <t>operacioneseint@gmail.com</t>
  </si>
  <si>
    <t>110014051501</t>
  </si>
  <si>
    <t>SELIKA 94 S.A.S</t>
  </si>
  <si>
    <t>LINA MARIA LANZA DIAZ</t>
  </si>
  <si>
    <t>CARRERA 13 #94A -26 CS 202-203-303-504</t>
  </si>
  <si>
    <t>3125215573</t>
  </si>
  <si>
    <t>lina.lanza@stelioholding.com</t>
  </si>
  <si>
    <t>110013899701</t>
  </si>
  <si>
    <t>SELIKA HEALTH CENTER</t>
  </si>
  <si>
    <t>LINA MARIA LANZA</t>
  </si>
  <si>
    <t>CARRERA 13 # 94A -26 Local 4-02</t>
  </si>
  <si>
    <t>110013906008</t>
  </si>
  <si>
    <t>SEMPER LASER ANDINO</t>
  </si>
  <si>
    <t>Paula López Castaño</t>
  </si>
  <si>
    <t>Carrera 11 # 82-51 lOCAL 7</t>
  </si>
  <si>
    <t>3188276307</t>
  </si>
  <si>
    <t>habilitacion@semperlaser.com</t>
  </si>
  <si>
    <t>110013906002</t>
  </si>
  <si>
    <t>SEMPER LASER EL RETIRO</t>
  </si>
  <si>
    <t>CAMILO ANDRES ZABALETA ARMENTA</t>
  </si>
  <si>
    <t>CALLE 82 11 75 LC 181</t>
  </si>
  <si>
    <t>3218762230</t>
  </si>
  <si>
    <t>habilitacion@semperlaser.com.co</t>
  </si>
  <si>
    <t>110013906001</t>
  </si>
  <si>
    <t>SEMPER LASER MULTIPLAZA</t>
  </si>
  <si>
    <t>PAULA ANDREA LOPEZ</t>
  </si>
  <si>
    <t>CL 19A 72 57 LOCAL B-134</t>
  </si>
  <si>
    <t>3013953917</t>
  </si>
  <si>
    <t>110013906005</t>
  </si>
  <si>
    <t>SEMPER LASER PALATINO</t>
  </si>
  <si>
    <t>CRA 7 # 138 - 33 LC 323</t>
  </si>
  <si>
    <t>3242700802</t>
  </si>
  <si>
    <t>110014186401</t>
  </si>
  <si>
    <t>SENYIX 105</t>
  </si>
  <si>
    <t>Jose Simon Diaz Muelle</t>
  </si>
  <si>
    <t>Calle 105A # 14-92 Consultorio 506</t>
  </si>
  <si>
    <t>3246325317</t>
  </si>
  <si>
    <t>ipssenyix@gmail.com</t>
  </si>
  <si>
    <t>110013974201</t>
  </si>
  <si>
    <t>SER SAS</t>
  </si>
  <si>
    <t>JENNIFFER ALEXANDRA SALAMANCA SANCHEZ</t>
  </si>
  <si>
    <t>AK 45 # 114 50 LOCAL 1-2-3 PISO 3</t>
  </si>
  <si>
    <t>3168753674</t>
  </si>
  <si>
    <t>calidadsermc@clubser.co</t>
  </si>
  <si>
    <t>110014299701</t>
  </si>
  <si>
    <t>SERENYA IPS S.A.S.</t>
  </si>
  <si>
    <t>MIGUEL ANGEL OSORIO BARBOSA</t>
  </si>
  <si>
    <t>CARRERA 18 80 32 PISO 2 CONSULTORIO 212</t>
  </si>
  <si>
    <t>3247576903</t>
  </si>
  <si>
    <t>serenyaips@gmail.com</t>
  </si>
  <si>
    <t>110014104201</t>
  </si>
  <si>
    <t>SERGIO Y ALEXANDRA RADA</t>
  </si>
  <si>
    <t>DIANA MARGARITA MARTINEZ MARIN</t>
  </si>
  <si>
    <t>Cr 17 # 109 - 47</t>
  </si>
  <si>
    <t>3112259796</t>
  </si>
  <si>
    <t>calidad@sergioyalexandrarada.com</t>
  </si>
  <si>
    <t>1100106580</t>
  </si>
  <si>
    <t>SERVICIO DE ATENCION ODONTOLOGICA S.A.S SIGLA SEDATO S.A.S</t>
  </si>
  <si>
    <t>PABON PEREZ ANA MARIA</t>
  </si>
  <si>
    <t>AC 127 # 19 A 28 CS 201 ACOMEDICA 1</t>
  </si>
  <si>
    <t>6601318-6141912- 3123783706</t>
  </si>
  <si>
    <t>gerencia@clinicaodontologicasedato.com</t>
  </si>
  <si>
    <t>110010936103</t>
  </si>
  <si>
    <t>SERVICIO DE RESONANCIA MAGNETICA</t>
  </si>
  <si>
    <t>CL 50 # 9 16 - Local 1</t>
  </si>
  <si>
    <t>110010645324</t>
  </si>
  <si>
    <t>SERVICIO DE VACUNACION CENTRO COMERCIAL PLAZA DE LAS AMERICAS</t>
  </si>
  <si>
    <t>TRANSVERSAL 71D 26 94SUR PISO 1 LOCAL 1931AC1</t>
  </si>
  <si>
    <t>3183505960/3506507266</t>
  </si>
  <si>
    <t>110010645323</t>
  </si>
  <si>
    <t>SERVICIO DE VACUNACIÓN CENTRO COMERCIAL ANDINO</t>
  </si>
  <si>
    <t>CARRERA 11 82 01/51/71 PISO 2 LOCAL 248</t>
  </si>
  <si>
    <t>110013202201</t>
  </si>
  <si>
    <t>SERVICIO MEDICO EMPRESARIAL S.A.S NUEVO SERME S.A.S</t>
  </si>
  <si>
    <t>SAMUEL NIÑO TORRES</t>
  </si>
  <si>
    <t>CARRERA 26 # 12 B -68 PISO 2 LOCAL 2</t>
  </si>
  <si>
    <t>6015734227 3002686705 3202446728 3212945872</t>
  </si>
  <si>
    <t>nuevoserme@gmail.com</t>
  </si>
  <si>
    <t>1100111142</t>
  </si>
  <si>
    <t>SERVICIOS ADOM SAS sigla ADOM Salud Domiciliaria</t>
  </si>
  <si>
    <t>DIAZ RAMIREZ JAIR ROBERTO</t>
  </si>
  <si>
    <t>KR 49 93 17</t>
  </si>
  <si>
    <t>6103520-3138862398</t>
  </si>
  <si>
    <t>notificaciones@adom.com.co</t>
  </si>
  <si>
    <t>www.adom.com.co</t>
  </si>
  <si>
    <t>1100108694</t>
  </si>
  <si>
    <t>SERVICIOS DE SALUD OCUPACIONAL UNIMSALUD SAS</t>
  </si>
  <si>
    <t>RODRIGUEZ RODRIGUEZ MARIELA</t>
  </si>
  <si>
    <t>CALLE 72 A No 20 C 55 - Barrio:SAN FELIPE</t>
  </si>
  <si>
    <t>2359599</t>
  </si>
  <si>
    <t>mrodriguez@unimsalud.com.co</t>
  </si>
  <si>
    <t>1100109977</t>
  </si>
  <si>
    <t>SERVICIOS GRANCOLOMBIANA IPS SAS</t>
  </si>
  <si>
    <t>GRACIA GRANADOS ORLANDO</t>
  </si>
  <si>
    <t>AVENIDA CALLE 134 # 7-83 T2 P4 OF 243-244</t>
  </si>
  <si>
    <t>3102124355</t>
  </si>
  <si>
    <t>abogadoctor@gmail.com</t>
  </si>
  <si>
    <t>110011764801</t>
  </si>
  <si>
    <t>SERVICIOS INTEGRADOS DE SALUD OCUPACIONAL SIS CONSULTORIAS LTDA</t>
  </si>
  <si>
    <t>ALEX FERNANDO ROMERO ZUBIETA</t>
  </si>
  <si>
    <t>Calle 67 No. 10A -40 PISO 3 OFC 301 302 303 304 305 306 307 308 309</t>
  </si>
  <si>
    <t>2490854</t>
  </si>
  <si>
    <t>siscentromedico@yahoo.com</t>
  </si>
  <si>
    <t>1100116767</t>
  </si>
  <si>
    <t>SERVICIOS MEDICO TERAPEUTICOS DOMICILIARIOS SANISALUD SAS</t>
  </si>
  <si>
    <t>NUBIA AZUCENA LOPEZ ORTIZ</t>
  </si>
  <si>
    <t>Calle 59 A Bis N ° 5 - 40 Consultorio 103</t>
  </si>
  <si>
    <t>3123864505</t>
  </si>
  <si>
    <t>sanisaludencasa@hotmail.com</t>
  </si>
  <si>
    <t>www.sanisaludencasa.com.co</t>
  </si>
  <si>
    <t>110013644701</t>
  </si>
  <si>
    <t>SERVICIOS MEDICOS ESPECIALIZADOS A.R.S.A.S.</t>
  </si>
  <si>
    <t>ANTONIO ALEJANDRO ROMERO CASTRO</t>
  </si>
  <si>
    <t>AC 134 # 7B 83 0FC 618</t>
  </si>
  <si>
    <t>2860725 3003205213</t>
  </si>
  <si>
    <t>ARSAS.JURIDICO@GMAIL.COM</t>
  </si>
  <si>
    <t>110013644702</t>
  </si>
  <si>
    <t>SERVICIOS MEDICOS ESPECIALIZADOS AR SAS PALERMO</t>
  </si>
  <si>
    <t>KR 23 # 45C 31 CS 310 -311 -510 -511-506</t>
  </si>
  <si>
    <t>7669812</t>
  </si>
  <si>
    <t>arsas.calidad@gmail.com</t>
  </si>
  <si>
    <t>110013790401</t>
  </si>
  <si>
    <t>SERVICIOS MEDICOS ESPECIALIZADOS NEUROSALUD S.A.S NEUROSALUD I.S.P. S.A.S</t>
  </si>
  <si>
    <t>ARLENE MARGOT CUESTA GUTIERREZ</t>
  </si>
  <si>
    <t>AK 45 # 100-48 Local 3</t>
  </si>
  <si>
    <t>3212266370</t>
  </si>
  <si>
    <t>ipsneurosaludsas1@gmail.com</t>
  </si>
  <si>
    <t>1100117432</t>
  </si>
  <si>
    <t>SERVICIOS MEDICOS INTEGRALES SANTA ELENA SAS</t>
  </si>
  <si>
    <t>RICARDO MENDOZA AMAYA</t>
  </si>
  <si>
    <t>CALLE 27 SUR No 19-19</t>
  </si>
  <si>
    <t>601 6264247 - 3115117029 - 3183832985</t>
  </si>
  <si>
    <t>ocupacional.santaelena@gmail.com</t>
  </si>
  <si>
    <t>110012117201</t>
  </si>
  <si>
    <t>SERVICIOS MEDICOS M S LTDA</t>
  </si>
  <si>
    <t>MARIO MUÑOZ COLLAZOS</t>
  </si>
  <si>
    <t>CR 13 Nº 49-40 OF 532</t>
  </si>
  <si>
    <t>2326120 - 3205175 - 3436600 EXT 1529</t>
  </si>
  <si>
    <t>mmunoz@neuromarly.org</t>
  </si>
  <si>
    <t>1100120057</t>
  </si>
  <si>
    <t>SERVICIOS MEDICOS VITAL HEALTH SAS</t>
  </si>
  <si>
    <t>NIDIA JUDITH LEMUS</t>
  </si>
  <si>
    <t>CALLE 31 # 13 A 51 TORRE 2 OFICINA 228</t>
  </si>
  <si>
    <t>3102312257</t>
  </si>
  <si>
    <t>njlemus@gmail.com</t>
  </si>
  <si>
    <t>https://www.smvital-health.com.co/</t>
  </si>
  <si>
    <t>1100100218</t>
  </si>
  <si>
    <t>SERVICIOS MEDICOS YUNIS TURBAY Y CIA SAS</t>
  </si>
  <si>
    <t>YUNIS TURBAY EMILIO JOSE</t>
  </si>
  <si>
    <t>CALLE 86B # 49D-28 CONSULTORIO 301,302,303,304,305,401,402,403,404,405 - Barrio:PATRIA</t>
  </si>
  <si>
    <t>2329622</t>
  </si>
  <si>
    <t>secretaria@yunis.co</t>
  </si>
  <si>
    <t>110010021802</t>
  </si>
  <si>
    <t>SERVICIOS MÉDICOS YUNIS TURBAY Y CÍA SEDE NORTE</t>
  </si>
  <si>
    <t>DANIEL ANDRES YUNIS LONDOÑO</t>
  </si>
  <si>
    <t>CALLE 86B # 49D-28 CONSULTORIO 301,302,303,304,305,401,402,403,404,405</t>
  </si>
  <si>
    <t>1100120213</t>
  </si>
  <si>
    <t>SERVICIOS OFTALMOLOGICOS OFTALMOCENTER LTDA SIGLA OFTALMOCENTER LTDA</t>
  </si>
  <si>
    <t>DORA CAROLINA ORDUY REY</t>
  </si>
  <si>
    <t>Calle 97 No 23-37 Consultorio 306 - 307</t>
  </si>
  <si>
    <t>7513449-3558700</t>
  </si>
  <si>
    <t>carolina.orduy@hotmail.com -gerencia@oftalmocenter.com.co</t>
  </si>
  <si>
    <t>110012667201</t>
  </si>
  <si>
    <t>SERVICIOS QUIRURGICOS DE CABEZA Y CUELLO SAS</t>
  </si>
  <si>
    <t>JUAN DE FRANCISCO ZAMBRANO</t>
  </si>
  <si>
    <t>CARRERA 16 No 84 A 09 CONSULTORIO 720</t>
  </si>
  <si>
    <t>3118134483</t>
  </si>
  <si>
    <t>jdefz2002@yahoo.com</t>
  </si>
  <si>
    <t>110013014501</t>
  </si>
  <si>
    <t>SERVICIOS Y ASESORIAS EN INFECTOLOGIA SAI SAS</t>
  </si>
  <si>
    <t>YESIKA MILENA SANCHEZ</t>
  </si>
  <si>
    <t>CLL 50 No. 13-62 OF 704-303-304-305-306-307</t>
  </si>
  <si>
    <t>7449571 -3124733625 -3138914441</t>
  </si>
  <si>
    <t>c.administrativa@infectologia.com.co</t>
  </si>
  <si>
    <t>110010922101</t>
  </si>
  <si>
    <t>SERVIMED I. P. S. S. A. UNIDAD MEDICA BOSA</t>
  </si>
  <si>
    <t>GUILLEMO ERNESTO MANSILLA ALVREZ</t>
  </si>
  <si>
    <t>Cl 65 Sur 78 19 P 1</t>
  </si>
  <si>
    <t>8051979</t>
  </si>
  <si>
    <t>umbosa@servimedips.com</t>
  </si>
  <si>
    <t>110010922112</t>
  </si>
  <si>
    <t>SERVIMED I.P.S. S.A. CLINICA MODELIA</t>
  </si>
  <si>
    <t>GUILLERMO ERNESTO MANSILLA ALVAREZ</t>
  </si>
  <si>
    <t>AC 24 No. 80B - 97</t>
  </si>
  <si>
    <t>SUBGERENCIAGENERAL@SERVIMEDIPS.COM</t>
  </si>
  <si>
    <t>110010922111</t>
  </si>
  <si>
    <t>SERVIMED I.P.S. S.A. UNIDAD MEDICA NORMANDIA</t>
  </si>
  <si>
    <t>Ak 72 50 21</t>
  </si>
  <si>
    <t>umnormandia@servimedips.com</t>
  </si>
  <si>
    <t>110010922110</t>
  </si>
  <si>
    <t>SERVIMED I.P.S. S.A. UNIDAD MEDICA NORTE</t>
  </si>
  <si>
    <t>AK 45 104 A 47 - 55</t>
  </si>
  <si>
    <t>umnorte@servimedips.com</t>
  </si>
  <si>
    <t>110010922106</t>
  </si>
  <si>
    <t>SERVIMED I.P.S. S.A. UNIDAD MEDICA OLAYA SEDE 2</t>
  </si>
  <si>
    <t>Cl 27 Sur 19 C 28</t>
  </si>
  <si>
    <t>umolaya@servimedips.com</t>
  </si>
  <si>
    <t>110010922107</t>
  </si>
  <si>
    <t>SERVIMED I.P.S. S.A. UNIDAD MEDICA SANTA LIBRADA</t>
  </si>
  <si>
    <t>Cl 78 Sur 10 56</t>
  </si>
  <si>
    <t>direccioncalidad@servimedips.com</t>
  </si>
  <si>
    <t>110010922109</t>
  </si>
  <si>
    <t>SERVIMED I.P.S. S.A. UNIDAD MEDICA TUNAL</t>
  </si>
  <si>
    <t>Cl 53 A Sur 33 06</t>
  </si>
  <si>
    <t>umtunal@servimedips.com</t>
  </si>
  <si>
    <t>110010922108</t>
  </si>
  <si>
    <t>SERVIMED I.P.S. S.A. UNIDAD MÉDICA SALUD INTEGRAL</t>
  </si>
  <si>
    <t>Cr 14 39 49</t>
  </si>
  <si>
    <t>umchapinero@servimedips.com</t>
  </si>
  <si>
    <t>1100109221</t>
  </si>
  <si>
    <t>SERVIMED INSTITUCION PRESTADORA DE SERVICIOS DE SALUD S.A. SERVIMED I.P.S. S.A.</t>
  </si>
  <si>
    <t>Dra JUDIT PINTO</t>
  </si>
  <si>
    <t>KRA 14 No 39 - 49 - Barrio:TEUSAQUILLO</t>
  </si>
  <si>
    <t>www.servimedips.com</t>
  </si>
  <si>
    <t>110011893301</t>
  </si>
  <si>
    <t>SERVIODONTO SERVICIOS ESPECIALIZADOS LTDA</t>
  </si>
  <si>
    <t>LUIS ALBERTO VARGAS AYALA</t>
  </si>
  <si>
    <t>serviodonto_restrepo@hotmail.com</t>
  </si>
  <si>
    <t>1100112762</t>
  </si>
  <si>
    <t>SERVISALUD OCUPACIONAL IPS SAS</t>
  </si>
  <si>
    <t>AUDITJ REGINA PASTRANA PENICHE</t>
  </si>
  <si>
    <t>CL 27 SUR # 14 43</t>
  </si>
  <si>
    <t>3006168831</t>
  </si>
  <si>
    <t>servisaluddelolaya@gmail.com</t>
  </si>
  <si>
    <t>110013051409</t>
  </si>
  <si>
    <t>SERVISALUD QCL AV CALLE 116</t>
  </si>
  <si>
    <t>JESUS ALBERTO MANRIQUE MORENO</t>
  </si>
  <si>
    <t>AV CL 116 71 D 49</t>
  </si>
  <si>
    <t>3124161896</t>
  </si>
  <si>
    <t>servisaludqcl@gmail.com</t>
  </si>
  <si>
    <t>110013051411</t>
  </si>
  <si>
    <t>SERVISALUD QCL CAMPIN</t>
  </si>
  <si>
    <t>DANIELA ALEJANDRA USECHE TRIANA</t>
  </si>
  <si>
    <t>CALLE 63 A No. 35 -39</t>
  </si>
  <si>
    <t>110013051414</t>
  </si>
  <si>
    <t>SERVISALUD QCL CARVAJAL</t>
  </si>
  <si>
    <t>LUIS MARIO MORENO MORENO</t>
  </si>
  <si>
    <t>CALLE 37C SUR # 72I - 54/64</t>
  </si>
  <si>
    <t>110013051410</t>
  </si>
  <si>
    <t>SERVISALUD QCL OCCIDENTE</t>
  </si>
  <si>
    <t>JUANITA ISABELLA ESPINOSA ORTIZ</t>
  </si>
  <si>
    <t>CARRERA 71 B No 8 - 18 SUR</t>
  </si>
  <si>
    <t>1100107034</t>
  </si>
  <si>
    <t>SERVITERAPIAS SAS - SERVICIOS TERAPEUTICOS DOMICILIARIOS</t>
  </si>
  <si>
    <t>MARIA CLARA CORREA SAGRE</t>
  </si>
  <si>
    <t>Cra 7c Bis No 139-18 OFICINA 409</t>
  </si>
  <si>
    <t>7514675 - 3123511353</t>
  </si>
  <si>
    <t>serviterapias@gmail.com</t>
  </si>
  <si>
    <t>www.serviterapias.com</t>
  </si>
  <si>
    <t>110010703401</t>
  </si>
  <si>
    <t>SERVITERAPIAS SAS- SERVICIOS TERAPEUTICOS DOMICILIARIOS</t>
  </si>
  <si>
    <t>110013764101</t>
  </si>
  <si>
    <t>SERVÍ + IPS SAS</t>
  </si>
  <si>
    <t>ANGELA PATRICIA MATALLANA CASTAÑO</t>
  </si>
  <si>
    <t>CL 25C#85C-44 PISO 4</t>
  </si>
  <si>
    <t>3102821741</t>
  </si>
  <si>
    <t>servimasips@gmail.com</t>
  </si>
  <si>
    <t>1100111623</t>
  </si>
  <si>
    <t>SIERVAS DE CRISTO SACERDOTE</t>
  </si>
  <si>
    <t>PARDO TELLEZ GLORIA STELLA</t>
  </si>
  <si>
    <t>CRA 8 # 1 F 13</t>
  </si>
  <si>
    <t>2339418</t>
  </si>
  <si>
    <t>HOGARCLARITA_SCS@HOTMAIL.COM</t>
  </si>
  <si>
    <t>110012183203</t>
  </si>
  <si>
    <t>SIES SALUD DORADO</t>
  </si>
  <si>
    <t>Alvaro Puerto Valencia</t>
  </si>
  <si>
    <t>Ac 26 N° 85 D-55 Lc A149</t>
  </si>
  <si>
    <t>601-7451415-3153325961-3103278789</t>
  </si>
  <si>
    <t>1100119581</t>
  </si>
  <si>
    <t>SIGANDINI S.A.S</t>
  </si>
  <si>
    <t>CARLOS BERNARDINO SILVA GANDUR</t>
  </si>
  <si>
    <t>KR 16 A # 82 46 CS 411</t>
  </si>
  <si>
    <t>4884640</t>
  </si>
  <si>
    <t>administracion@sigandini.net</t>
  </si>
  <si>
    <t>110013749801</t>
  </si>
  <si>
    <t>SIMC - SERVICIO DE IMAGENES MEDICAS DE COLOMBIA SAS</t>
  </si>
  <si>
    <t>EDNA MARGARITA LADINO VASQUEZ</t>
  </si>
  <si>
    <t>CRA 45 A # 93-29 PISO 1</t>
  </si>
  <si>
    <t>3012337334</t>
  </si>
  <si>
    <t>simccolombia@gmail.com</t>
  </si>
  <si>
    <t>110012191504</t>
  </si>
  <si>
    <t>SIMETRIC CEDRITOS</t>
  </si>
  <si>
    <t>ROQUE JOSE FADUL MEYER</t>
  </si>
  <si>
    <t>Ac 147 19 -50 Lc 27</t>
  </si>
  <si>
    <t>2167411</t>
  </si>
  <si>
    <t>cedritos@simetric.com.co</t>
  </si>
  <si>
    <t>110012191506</t>
  </si>
  <si>
    <t>SIMETRIC RESTREPO INSTITUCION PRESTADORA DE SALUD IPS</t>
  </si>
  <si>
    <t>CALLE 21 SUR No 16-73 LOCAL 1 Y PISO 2</t>
  </si>
  <si>
    <t>3727675</t>
  </si>
  <si>
    <t>restrepo@simetric.com.co</t>
  </si>
  <si>
    <t>110012191508</t>
  </si>
  <si>
    <t>SIMETRIC TEQUENDAMA INSTITUCION PRESTADORA DE SALUD IPS</t>
  </si>
  <si>
    <t>CARRERA 10 No 27-51 LOCAL 311 Y 312</t>
  </si>
  <si>
    <t>4813527</t>
  </si>
  <si>
    <t>TEQUENDAMA@SIMETRIC.COM.CO</t>
  </si>
  <si>
    <t>110013931001</t>
  </si>
  <si>
    <t>SIO SALUD INTEGRAL SAS</t>
  </si>
  <si>
    <t>AIDA YANIRA BERMUDEZ ALGARRA</t>
  </si>
  <si>
    <t>CRA 49B # 91-91 PISO 1</t>
  </si>
  <si>
    <t>3123530163</t>
  </si>
  <si>
    <t>siosaludintegral@gmail.com</t>
  </si>
  <si>
    <t>110010550605</t>
  </si>
  <si>
    <t>SIPLAS PALERMO</t>
  </si>
  <si>
    <t>CALLE 45C bIS 22-38 piso 1 barrio : Palermo</t>
  </si>
  <si>
    <t>110013769001</t>
  </si>
  <si>
    <t>SISTEMA INTEGRAL EN SALUD OCUPACIONAL IPS SAS, SISO IPS</t>
  </si>
  <si>
    <t>OSCAR ANDRES HERNANDEZ VARGAS</t>
  </si>
  <si>
    <t>CALLE 79A # 69R 06 P1</t>
  </si>
  <si>
    <t>3134391122</t>
  </si>
  <si>
    <t>GERENCIA@SISOIPS.COM</t>
  </si>
  <si>
    <t>1100107119</t>
  </si>
  <si>
    <t>SISTEMAS DE TERAPIA RESPIRATORIA SAS</t>
  </si>
  <si>
    <t>MIRANDA MIRANDA JOSE CARLOS</t>
  </si>
  <si>
    <t>Carrera 23 No. 124-87 ofc 703-704</t>
  </si>
  <si>
    <t>7945808</t>
  </si>
  <si>
    <t>notificaciones@strencasa.com</t>
  </si>
  <si>
    <t>1100108499</t>
  </si>
  <si>
    <t>SISTEMAS INTEGRALES EN SALUD OCUPACIONAL IPS SAS</t>
  </si>
  <si>
    <t>RODRIGUEZ ROJAS SANDRA LILIANA</t>
  </si>
  <si>
    <t>CARRERA 11 # 66-53 PISO 4 403</t>
  </si>
  <si>
    <t>3045395508</t>
  </si>
  <si>
    <t>direccioncalidadsiso@gmail.com</t>
  </si>
  <si>
    <t>https://direccioncalidadsiso@gmail.com</t>
  </si>
  <si>
    <t>110013970401</t>
  </si>
  <si>
    <t>SK QUIROFANOS</t>
  </si>
  <si>
    <t>CALLE 119 No. 7-14 CONSULTORIOS 201 A 210</t>
  </si>
  <si>
    <t>110014165301</t>
  </si>
  <si>
    <t>SKIN &amp; BEAUTY DRA JULUET CACERES S.A.S</t>
  </si>
  <si>
    <t>JULUET PAOLA CACERES ZAMORA</t>
  </si>
  <si>
    <t>CARRERA 23 124- 87 CONSULTORIO 706 TORRE 1 EDIFICIO ZENTAI</t>
  </si>
  <si>
    <t>3195230419</t>
  </si>
  <si>
    <t>skinandbeautydrajuluet@gmail.com</t>
  </si>
  <si>
    <t>110012579401</t>
  </si>
  <si>
    <t>SKIN TEAM SAS</t>
  </si>
  <si>
    <t>Angela Rocio Hernandez Arenas</t>
  </si>
  <si>
    <t>AC 134 7B 83 OF 122 CS5</t>
  </si>
  <si>
    <t>6260751</t>
  </si>
  <si>
    <t>angelahernandez@hotmail.com</t>
  </si>
  <si>
    <t>110014312501</t>
  </si>
  <si>
    <t>SKINHOUSE CLINIC S.A.S.</t>
  </si>
  <si>
    <t>Luis Felipe Franco Melgarejo</t>
  </si>
  <si>
    <t>Carrera 19 84 17 Consultorio 204</t>
  </si>
  <si>
    <t>3144549839</t>
  </si>
  <si>
    <t>info@skinhousederma.com</t>
  </si>
  <si>
    <t>110014093101</t>
  </si>
  <si>
    <t>SKINSENCE INSTITUTE</t>
  </si>
  <si>
    <t>John Alejandro Metaute Hernandez</t>
  </si>
  <si>
    <t>Carrera 19 No 95 - 31 / 55 Cs 804</t>
  </si>
  <si>
    <t>3006940201</t>
  </si>
  <si>
    <t>habilitacioncalidad29@gmail.com</t>
  </si>
  <si>
    <t>110014373201</t>
  </si>
  <si>
    <t>SMERCHZ PAIN BOGOTA IPS SAS</t>
  </si>
  <si>
    <t>ANDRES FELIPE PALOMINO BAQUERO</t>
  </si>
  <si>
    <t>CRA 45A 105 24</t>
  </si>
  <si>
    <t>3105749339</t>
  </si>
  <si>
    <t>gerenciageneral@smerchz.com</t>
  </si>
  <si>
    <t>110013979201</t>
  </si>
  <si>
    <t>SMILE ARCHITECS MARTIN PRATO SAS</t>
  </si>
  <si>
    <t>MARTIN PRATO JIMENEZ</t>
  </si>
  <si>
    <t>CL 127 A NO. 7 19 CS 308 CC EMPRESARIAL ACCESS</t>
  </si>
  <si>
    <t>3022780781</t>
  </si>
  <si>
    <t>infomartinprato@gmail.com</t>
  </si>
  <si>
    <t>110012072101</t>
  </si>
  <si>
    <t>SMILE EXPRESS DENTAL SPA S.A.S.</t>
  </si>
  <si>
    <t>JAVIER OLMEDO BEDOYA OSORIO</t>
  </si>
  <si>
    <t>Cra 18#80-32 cons 207</t>
  </si>
  <si>
    <t>8051060-3186437326</t>
  </si>
  <si>
    <t>linajoha1@hotmail.com</t>
  </si>
  <si>
    <t>110014260901</t>
  </si>
  <si>
    <t>SMILE HUB SAS</t>
  </si>
  <si>
    <t>DIEGO MORALES ARRIAGADA</t>
  </si>
  <si>
    <t>Cl 31 #13 A 51 To 2 Of 115</t>
  </si>
  <si>
    <t>3226858292</t>
  </si>
  <si>
    <t>smilehubsas@gmail.com</t>
  </si>
  <si>
    <t>110014245001</t>
  </si>
  <si>
    <t>SMILE INC IPS S.A.S - SMILE INC IPS</t>
  </si>
  <si>
    <t>CARLOS ANDRES GUZMAN CASTRO</t>
  </si>
  <si>
    <t>CR 62 #12 - 45 / 61 LOCAL 306 Y 307 CENTRO COMERCIAL PLAZA CENTRAL</t>
  </si>
  <si>
    <t>3161867046</t>
  </si>
  <si>
    <t>gerenciasmileinc@gmail.com</t>
  </si>
  <si>
    <t>110011313201</t>
  </si>
  <si>
    <t>SMILE QUALITY CLINICA ODONTOLOGICA ESPECIALIZADA SAS, SIGLA SMILE QUALITY SAS</t>
  </si>
  <si>
    <t>PAOLA ANDREA GOMEZ VASQUEZ</t>
  </si>
  <si>
    <t>CALLE 123 Nº 7A 17 OFICINA 201</t>
  </si>
  <si>
    <t>3002937837</t>
  </si>
  <si>
    <t>smilequality@outlook.com</t>
  </si>
  <si>
    <t>110010548029</t>
  </si>
  <si>
    <t>SO CALLE 100</t>
  </si>
  <si>
    <t>CESAR JAVIER OTERO ACEVEDO</t>
  </si>
  <si>
    <t>AVENIDA CALLE 100 # 49-31 LOCAL 1</t>
  </si>
  <si>
    <t>6056828 - 3103039409</t>
  </si>
  <si>
    <t>110010548027</t>
  </si>
  <si>
    <t>SO CENTRO INTEGRAL DE SERVICIOS</t>
  </si>
  <si>
    <t>CARRERA 24 No. 53-73 LOCAL 201 - 214</t>
  </si>
  <si>
    <t>110010548028</t>
  </si>
  <si>
    <t>SO EUREKA</t>
  </si>
  <si>
    <t>Cesar Javier Otero Acevedo</t>
  </si>
  <si>
    <t>CR 19 Nº. 84-09 PISO 1 ENTRADA 1</t>
  </si>
  <si>
    <t>110010548030</t>
  </si>
  <si>
    <t>SO PLAZA CENTRAL</t>
  </si>
  <si>
    <t>CARRERA 65 # 11-50 LOCAL 2-06</t>
  </si>
  <si>
    <t>110012637701</t>
  </si>
  <si>
    <t>SO-SIMETRIC SAS</t>
  </si>
  <si>
    <t>DOLCEY JUNIOR TORRES VISBAL</t>
  </si>
  <si>
    <t>CARRERA 57 No 44 B - 21</t>
  </si>
  <si>
    <t>7046061</t>
  </si>
  <si>
    <t>sosimetricsaludocupacional@gmail.com</t>
  </si>
  <si>
    <t>110013955601</t>
  </si>
  <si>
    <t>SOCIEDAD CLINICA EMCOSALUD S.A. SIGLA CLINICA EMCOSALUD S.A.</t>
  </si>
  <si>
    <t>MARCO AURELIO DAZA RODRIGUEZ</t>
  </si>
  <si>
    <t>CL 110 9 25 Torre empresarial pacific OF 511</t>
  </si>
  <si>
    <t>6013900772</t>
  </si>
  <si>
    <t>1100108679</t>
  </si>
  <si>
    <t>SOCIEDAD DE CIRUGIA DE BOGOTA HOSPITAL DE SAN JOSE</t>
  </si>
  <si>
    <t>GOMEZ GUSNIR JORGE EUGENIO</t>
  </si>
  <si>
    <t>CALLE 10 # 18 75</t>
  </si>
  <si>
    <t>3538000 ext 109 o 179</t>
  </si>
  <si>
    <t>habilitacion@hospitaldesanjose.org.co - calidad@hospitaldesanjose.org.</t>
  </si>
  <si>
    <t>www.hospitaldesanjose.org.co</t>
  </si>
  <si>
    <t>110010614601</t>
  </si>
  <si>
    <t>SOCIEDAD DE CIRUGIA OCULAR CALLE 134</t>
  </si>
  <si>
    <t>AC 134 Nº 7B- 83 Cs 714-716</t>
  </si>
  <si>
    <t>6257723</t>
  </si>
  <si>
    <t>info@cirugiaocular.com.co</t>
  </si>
  <si>
    <t>1100106146</t>
  </si>
  <si>
    <t>SOCIEDAD DE CIRUGIA OCULAR SOCIEDAD ANONIMA Sigla:SCO</t>
  </si>
  <si>
    <t>UCROS CUELLAR ALFONSO MARIA</t>
  </si>
  <si>
    <t>KR 16 # 97 46 TO A LC 02</t>
  </si>
  <si>
    <t>6257723 ext 113 - 1103</t>
  </si>
  <si>
    <t>INFO@CIRUGIAOCULAR.COM.CO</t>
  </si>
  <si>
    <t>110010614602</t>
  </si>
  <si>
    <t>SOCIEDAD DE CIRUGIA OCULAR TORRE 97</t>
  </si>
  <si>
    <t>CRA 16 # 97-46 ED TORRE 97 PH Torre II Pisos 2-3-4-5, Cs 704, LC 3 Pisos 1 - 2</t>
  </si>
  <si>
    <t>1100117929</t>
  </si>
  <si>
    <t>SOCIEDAD DE CONSULTORIA Y PRESTACION DE SERVICIOS ANDAR S.A.S SIGLA A &amp; P ANDAR S.A.S</t>
  </si>
  <si>
    <t>CESAR AUGUSTO ANDRADE SERRANO</t>
  </si>
  <si>
    <t>110012582701</t>
  </si>
  <si>
    <t>SOCIEDAD DE DIAGNOSTICO VISUAL SAS</t>
  </si>
  <si>
    <t>INGRY GALIDIA DEL ROSARIO FRANCO SANCHEZ</t>
  </si>
  <si>
    <t>Avenida Carrera 9 # 116 - 20 Consultorio 608</t>
  </si>
  <si>
    <t>2142130</t>
  </si>
  <si>
    <t>info.sdvisual@gmail.com</t>
  </si>
  <si>
    <t>110010262202</t>
  </si>
  <si>
    <t>SOCIEDAD DE ENFERMERAS PROFESIONALES SAS</t>
  </si>
  <si>
    <t>MARIA ESMERALDA GUTIERREZ ESCOBAR</t>
  </si>
  <si>
    <t>Carrera 18 No.134-71</t>
  </si>
  <si>
    <t>clinicasep@hotmail.com</t>
  </si>
  <si>
    <t>1100102622</t>
  </si>
  <si>
    <t>SOCIEDAD DE ENFERMERAS PROFESIONALES SAS - SEP SAS</t>
  </si>
  <si>
    <t>GUTIERREZ ESCOBAR MARIA ESMERALDA</t>
  </si>
  <si>
    <t>Carrera 18 No 140 - 53</t>
  </si>
  <si>
    <t>7420842</t>
  </si>
  <si>
    <t>www.clinicasep.com</t>
  </si>
  <si>
    <t>1100104529</t>
  </si>
  <si>
    <t>SOCIEDAD DE MEDICINA REPRODUCTIVA SAS</t>
  </si>
  <si>
    <t>GUTIERREZ APARICIO ANDRES</t>
  </si>
  <si>
    <t>2151807 - 3138166014</t>
  </si>
  <si>
    <t>notificaciones@reprotectucentro.com</t>
  </si>
  <si>
    <t>110014151901</t>
  </si>
  <si>
    <t>SOCIEDAD DE ORTOPEDISTAS PEDIATRICOS SAS SIGLA ORTOPED</t>
  </si>
  <si>
    <t>VICTOR ALEJANDRO VARGAS MARTINEZ</t>
  </si>
  <si>
    <t>CARRERA 16 84A - 09 CONSULTORIO 718 EDIFICIO ALMIRANTE COLON</t>
  </si>
  <si>
    <t>3290100</t>
  </si>
  <si>
    <t>administracion@ortopediapediatrica.co</t>
  </si>
  <si>
    <t>110012949501</t>
  </si>
  <si>
    <t>SOCIEDAD DE SERVICIOS INTEGRALES EN SALUD S. A. S.</t>
  </si>
  <si>
    <t>DERLY BAUTISTA ACOSTA</t>
  </si>
  <si>
    <t>AC 26 85 D 55 LC LE27 AEROCENTRO COMERCIAL EL DORADO</t>
  </si>
  <si>
    <t>3132286140</t>
  </si>
  <si>
    <t>SERVINSALUDIPS@HOTAMIL.COM, asesoriacalidad@servinsaludips.com.co</t>
  </si>
  <si>
    <t>1100110006</t>
  </si>
  <si>
    <t>SOCIEDAD DE SERVICIOS OCULARES S.A.S-OPTISALUD</t>
  </si>
  <si>
    <t>KR 50 # 95 94 - Barrio:LA CASTELLANA</t>
  </si>
  <si>
    <t>1100110310</t>
  </si>
  <si>
    <t>SOCIEDAD ENTORNO Y COMPAÑIA LTDA</t>
  </si>
  <si>
    <t>ROSSI SARMIENTO LEYLA VERONICA</t>
  </si>
  <si>
    <t>Transversal 19a # 98 28 piso 4to</t>
  </si>
  <si>
    <t>gerente@entornoycia.co, calidad@entornoycia.co</t>
  </si>
  <si>
    <t>www.entornoycia.co</t>
  </si>
  <si>
    <t>1100105506</t>
  </si>
  <si>
    <t>SOCIEDAD INTERDISCIPLINARIA PARA LA SALUD S.A.S Sigla: SIPLAS S.A.S, CENTRO DE MEDICINA DIAGNOSTICA SIPLAS Y CMD SIPLAS</t>
  </si>
  <si>
    <t>GUTIERREZ VELEZ JUAN DIEGO</t>
  </si>
  <si>
    <t>Carrera 14 A 101 73</t>
  </si>
  <si>
    <t>110013455201</t>
  </si>
  <si>
    <t>SOCIEDAD MEDICA ALCALA SAS</t>
  </si>
  <si>
    <t>ANGIE VIVIANA CAÑAVERAL ASTUDILLO</t>
  </si>
  <si>
    <t>AVENIDA CARRERA 19 No 135-24</t>
  </si>
  <si>
    <t>3232255717-3114849286</t>
  </si>
  <si>
    <t>calidad@smaclinica.com</t>
  </si>
  <si>
    <t>1100108437</t>
  </si>
  <si>
    <t>SOCIEDAD MEDICA DE ORTOPEDIA Y ACCIDENTES LABORALES S A</t>
  </si>
  <si>
    <t>CASTRO BUENO FERNANDO</t>
  </si>
  <si>
    <t>7423099</t>
  </si>
  <si>
    <t>110010157901</t>
  </si>
  <si>
    <t>SOCIEDAD PEDIATRICA DE LOS ANDES S.A.S - SPLA S.A.S</t>
  </si>
  <si>
    <t>JENNY PAOLA MOLANO PERALTA</t>
  </si>
  <si>
    <t>Carrera 48 # 94-19 Pisos 0, 1, 2, 3 y 4</t>
  </si>
  <si>
    <t>6016107242</t>
  </si>
  <si>
    <t>gerencia@spla.com.co</t>
  </si>
  <si>
    <t>1100101579</t>
  </si>
  <si>
    <t>SOCIEDAD PEDIATRICA DE LOS ANDES S.A.S - SPLA S.A.S.</t>
  </si>
  <si>
    <t>EDGAR AUGUSTO CASTRO CAMACHO</t>
  </si>
  <si>
    <t>110014216701</t>
  </si>
  <si>
    <t>SOCJ IPS SAS</t>
  </si>
  <si>
    <t>SANDRA MILENA OJEDA ROJAS</t>
  </si>
  <si>
    <t>Dg 63 F # 88- 40 Lc 1 P 1 Y P 2</t>
  </si>
  <si>
    <t>3117069601</t>
  </si>
  <si>
    <t>socjips@gmail.com</t>
  </si>
  <si>
    <t>1100118139</t>
  </si>
  <si>
    <t>SOLANO &amp; TERRONT SERVICIOS MEDICOS SAS</t>
  </si>
  <si>
    <t>MONICA ALEXANDRA TERRON LOZANO</t>
  </si>
  <si>
    <t>CRA.19 No 82-32</t>
  </si>
  <si>
    <t>3143956599</t>
  </si>
  <si>
    <t>administracion@investigacionuniendo.com</t>
  </si>
  <si>
    <t>www.investigacionuniendo.com</t>
  </si>
  <si>
    <t>110012303301</t>
  </si>
  <si>
    <t>SOLUCION ORAL</t>
  </si>
  <si>
    <t>PEDRO FELIPE BAUTISTA TRIANA</t>
  </si>
  <si>
    <t>TR 35 # 38 B -13 SUR PISO 1</t>
  </si>
  <si>
    <t>2025291 - 3202801821</t>
  </si>
  <si>
    <t>clinicasolucionoral@gmail.com</t>
  </si>
  <si>
    <t>110012209103</t>
  </si>
  <si>
    <t>SOLUCIONES DIAGNOSTICAS 3D CP 2</t>
  </si>
  <si>
    <t>CLAUDIA PATRICIA PINZON GOMEZ</t>
  </si>
  <si>
    <t>CARRERA 23 No.124-87 TORRE 2 LOCAL 6</t>
  </si>
  <si>
    <t>7047047-3108547365</t>
  </si>
  <si>
    <t>claopinzon@hotmail.com</t>
  </si>
  <si>
    <t>110012209104</t>
  </si>
  <si>
    <t>SOLUCIONES DIAGNOSTICAS 3D CP 3</t>
  </si>
  <si>
    <t>claudia patricia pinzon gomez</t>
  </si>
  <si>
    <t>CARRERA 14 # 79 56 PI 2</t>
  </si>
  <si>
    <t>7434209</t>
  </si>
  <si>
    <t>info@solucionesdiagnosticas3d.com</t>
  </si>
  <si>
    <t>110012496701</t>
  </si>
  <si>
    <t>SOLUCIONES DIAGNOSTICAS 3D DX</t>
  </si>
  <si>
    <t>AK 58 128 B 29 PISO 1</t>
  </si>
  <si>
    <t>2539135 - 3108547365</t>
  </si>
  <si>
    <t>1100118365</t>
  </si>
  <si>
    <t>SOLUCIONES EN ENFERMERIA CLINICA SAS SIGLA SOLEEC S.A.S.</t>
  </si>
  <si>
    <t>UVA MARGARITA GONZALEZ CALDERON</t>
  </si>
  <si>
    <t>Calle 168 # 14-42 Edificio de Investigación Piso 4 Consultorio 434</t>
  </si>
  <si>
    <t>3107597925-3005697814</t>
  </si>
  <si>
    <t>gerencia@soleecenfermeria.com</t>
  </si>
  <si>
    <t>www.soleecenfermeria.com</t>
  </si>
  <si>
    <t>1100120249</t>
  </si>
  <si>
    <t>SOLUCIONES MEDICAS EMPRESARIALES LIMITADA SOMEDE LTDA</t>
  </si>
  <si>
    <t>LORENA POLO TORRES</t>
  </si>
  <si>
    <t>calle 41 Nº 21 -29</t>
  </si>
  <si>
    <t>2875705</t>
  </si>
  <si>
    <t>gerencia@somedelimitada.com</t>
  </si>
  <si>
    <t>110012581101</t>
  </si>
  <si>
    <t>SOLUCIONES OCUPACIONALES S.A.S - SIGLA: SOLOC S.A.S</t>
  </si>
  <si>
    <t>RICARDINA ROSIBEL RODRIGUEZ MENDOZA</t>
  </si>
  <si>
    <t>AC 134 Nº 7 - 83 TO 3 PI 2 OF 328</t>
  </si>
  <si>
    <t>3004931 - 6273309</t>
  </si>
  <si>
    <t>solucionesocupacionales.soloc@gmail.com</t>
  </si>
  <si>
    <t>110014333901</t>
  </si>
  <si>
    <t>SOLUCIONES PREVENTIVAS BOGOTÁ N</t>
  </si>
  <si>
    <t>WILLIAM CAMILO BERNAL RAMOS</t>
  </si>
  <si>
    <t>CALLE 12 B No. 9-40 Piso 4 Local 442-443-444-445</t>
  </si>
  <si>
    <t>110014333902</t>
  </si>
  <si>
    <t>SOLUCIONES PREVENTIVAS BOGOTÁ U</t>
  </si>
  <si>
    <t>Milena Bedoya</t>
  </si>
  <si>
    <t>Calle 119 # 14 -23 Piso 1</t>
  </si>
  <si>
    <t>3012500969</t>
  </si>
  <si>
    <t>solucionespreventivas2026@gmail.com</t>
  </si>
  <si>
    <t>110012576601</t>
  </si>
  <si>
    <t>SOLUCIONES Y ASISTENCIA EN SALUD SAS</t>
  </si>
  <si>
    <t>Carol Andrea Moreno Bernal</t>
  </si>
  <si>
    <t>CR 67 # 167 61 OF 308</t>
  </si>
  <si>
    <t>3183539844 - 3685536</t>
  </si>
  <si>
    <t>solucionesyasistenciaensalud@yahoo.com</t>
  </si>
  <si>
    <t>110012135901</t>
  </si>
  <si>
    <t>SOMHER S.A.S IPS</t>
  </si>
  <si>
    <t>JULIO ARMANDO HERNANDEZ DIAZ</t>
  </si>
  <si>
    <t>CALLE 91 # 19 C 55 consultorio 208-203-209.</t>
  </si>
  <si>
    <t>691 05 00- 473 99 43</t>
  </si>
  <si>
    <t>ipssomherips@yahoo.com.co</t>
  </si>
  <si>
    <t>1100110589</t>
  </si>
  <si>
    <t>SOMIDE LTDA SERVICIOS ODONTOLOGICOS MEDICOS E IMAGENES DIAGNOSTICAS EMPRESARIALES</t>
  </si>
  <si>
    <t>Ivan Dario Trivino Paez</t>
  </si>
  <si>
    <t>k 100 n 22a- 12</t>
  </si>
  <si>
    <t>4158017- 4158496</t>
  </si>
  <si>
    <t>info.somide@gmail.com</t>
  </si>
  <si>
    <t>1100109831</t>
  </si>
  <si>
    <t>SOMNARUM S.A.S</t>
  </si>
  <si>
    <t>MARIÑO SUAREZ RITA BEATRIZ</t>
  </si>
  <si>
    <t>CRA 19 # 84 - 17 CONSULTORIO 302</t>
  </si>
  <si>
    <t>6015644867/ 3212048659</t>
  </si>
  <si>
    <t>somnarum@gmail.com</t>
  </si>
  <si>
    <t>110014210706</t>
  </si>
  <si>
    <t>SOMOS PRIMERO IPS CHAPINERO</t>
  </si>
  <si>
    <t>OSCAR JAVIER LEON CEPEDA</t>
  </si>
  <si>
    <t>Avenida Carrera 14 58 58 Local 08 Centro Comercial Infinitum</t>
  </si>
  <si>
    <t>3152800775</t>
  </si>
  <si>
    <t>notificacioneschapinero@primeroips.com.co</t>
  </si>
  <si>
    <t>110014210705</t>
  </si>
  <si>
    <t>SOMOS PRIMERO IPS ENSUEÑO</t>
  </si>
  <si>
    <t>Calle 59 S 51 21 Local 286 Centro Comercial Gran Plaza El Ensueño</t>
  </si>
  <si>
    <t>notificacionesensueno@primeroips.com.co</t>
  </si>
  <si>
    <t>110014210702</t>
  </si>
  <si>
    <t>SOMOS PRIMERO IPS FIESTA SUBA</t>
  </si>
  <si>
    <t>Calle 144 #101 - 56 Local 327</t>
  </si>
  <si>
    <t>notificacionesfiestasuba@primeroips.com.co</t>
  </si>
  <si>
    <t>110014210707</t>
  </si>
  <si>
    <t>SOMOS PRIMERO IPS PLAZA DE LAS AMÉRICAS</t>
  </si>
  <si>
    <t>Oscar Javier León Cepeda</t>
  </si>
  <si>
    <t>KR 71 D 6 94 S LOCAL 2466 CENTRO COMERCIAL PLAZA DE LAS AMÉRICAS</t>
  </si>
  <si>
    <t>3195236904</t>
  </si>
  <si>
    <t>oleon@primero.com.co</t>
  </si>
  <si>
    <t>110014210701</t>
  </si>
  <si>
    <t>SOMOS PRIMERO IPS PUNTO CALLE 72</t>
  </si>
  <si>
    <t>CLL 72 A 86 49 CENTRO EMPRESARIAL PUNTO 72 LOCAL 26</t>
  </si>
  <si>
    <t>notificacionespuntoempresarial72@primeroips.com.co</t>
  </si>
  <si>
    <t>110014210704</t>
  </si>
  <si>
    <t>SOMOS PRIMERO IPS SANTA FÉ</t>
  </si>
  <si>
    <t>Calle 185 # 45-03 Local Zona Met 169-170</t>
  </si>
  <si>
    <t>notificacionessantafe@primeroips.com.co</t>
  </si>
  <si>
    <t>110014210703</t>
  </si>
  <si>
    <t>SOMOS PRIMERO IPS TRÉBOLIS</t>
  </si>
  <si>
    <t>Calle 50 S # 93 D-98 Local 2-13</t>
  </si>
  <si>
    <t>notificacionestrebolis@primeroips.com.co</t>
  </si>
  <si>
    <t>110013887601</t>
  </si>
  <si>
    <t>SONOMEDICS IPS S.A.S</t>
  </si>
  <si>
    <t>SANDRA BIBIANA PIÑEROS PAZOS</t>
  </si>
  <si>
    <t>CARRERA 21 22 38 SUR PISO 1 y 2 LOCAL 1</t>
  </si>
  <si>
    <t>3107863936</t>
  </si>
  <si>
    <t>sonomedics.salud@gmail.com</t>
  </si>
  <si>
    <t>110010013021</t>
  </si>
  <si>
    <t>SONRIA DAMA SALUD COLINA CAMPESTRE</t>
  </si>
  <si>
    <t>LAURA JULIANA CORTES BECERRA</t>
  </si>
  <si>
    <t>AK 58 # 128 B - 94</t>
  </si>
  <si>
    <t>6433130</t>
  </si>
  <si>
    <t>110010013030</t>
  </si>
  <si>
    <t>SONRIA DAMA SALUD DIVERPLAZA</t>
  </si>
  <si>
    <t>PAOLA ALEJANDRA ANGEL TRIANA</t>
  </si>
  <si>
    <t>TRANSVERSAL 99 # 70 A 89 LOCAL 2-53</t>
  </si>
  <si>
    <t>3580430</t>
  </si>
  <si>
    <t>110010013007</t>
  </si>
  <si>
    <t>SONRIA DAMA SALUD SEDE AV 68</t>
  </si>
  <si>
    <t>MARIA XIMENA SCARPETTA ROZO</t>
  </si>
  <si>
    <t>AC 72 No. 76 - 76</t>
  </si>
  <si>
    <t>2230775</t>
  </si>
  <si>
    <t>110010013026</t>
  </si>
  <si>
    <t>SONRIA DAMA SALUD SEDE BOSA</t>
  </si>
  <si>
    <t>SANTIAGO IVAN VARELA CASTRO</t>
  </si>
  <si>
    <t>CL 65 SUR NO. 78 L - 65</t>
  </si>
  <si>
    <t>3580412</t>
  </si>
  <si>
    <t>110010013015</t>
  </si>
  <si>
    <t>SONRIA DAMA SALUD SEDE C.C GRAN PLAZA EL ENSUEÑO</t>
  </si>
  <si>
    <t>ANGELA ROCIO MORENO ANDRADE</t>
  </si>
  <si>
    <t>CALLE 59 S # 51 - 21 LC 145</t>
  </si>
  <si>
    <t>3580432</t>
  </si>
  <si>
    <t>110010013013</t>
  </si>
  <si>
    <t>SONRIA DAMA SALUD SEDE C.C HAYUELOS</t>
  </si>
  <si>
    <t>STEPHANY ATEHORTUA SANCHEZ</t>
  </si>
  <si>
    <t>CALLE 20 # 82-52 LOCAL 1-66C/1-66B PISO 1 HAYUELOS CENTRO COMERCIAL Y EMPRESARIAL</t>
  </si>
  <si>
    <t>4462808</t>
  </si>
  <si>
    <t>110010013027</t>
  </si>
  <si>
    <t>SONRIA DAMA SALUD SEDE C.C PLAZA CENTRAL</t>
  </si>
  <si>
    <t>ANDREA CAROLINA ACHURY HUERTAS</t>
  </si>
  <si>
    <t>CR 65 # 11 - 50 L 2 - 45, L 2 - 46</t>
  </si>
  <si>
    <t>3580458</t>
  </si>
  <si>
    <t>110010013025</t>
  </si>
  <si>
    <t>SONRIA DAMA SALUD SEDE C.C PLAZA IMPERIAL</t>
  </si>
  <si>
    <t>MARY LUZ CAMELO RUIZ</t>
  </si>
  <si>
    <t>CL 146 A NO. 106 - 20 LC 1 - 98 CC PLAZA IMPERIAL</t>
  </si>
  <si>
    <t>3580462</t>
  </si>
  <si>
    <t>110010013032</t>
  </si>
  <si>
    <t>SONRIA DAMA SALUD SEDE CC PLAZA IMPERIAL 2</t>
  </si>
  <si>
    <t>CL 146 A NO. 106 - 20 LC 2-86 - 2-87</t>
  </si>
  <si>
    <t>110010013034</t>
  </si>
  <si>
    <t>SONRIA DAMA SALUD SEDE CEDRITOS</t>
  </si>
  <si>
    <t>LUZ ANGELA CASTILLO BENAVIDES</t>
  </si>
  <si>
    <t>AK 19 134A-07</t>
  </si>
  <si>
    <t>6253555</t>
  </si>
  <si>
    <t>110010013022</t>
  </si>
  <si>
    <t>SONRIA DAMA SALUD SEDE CENTRO MAYOR</t>
  </si>
  <si>
    <t>ANDRES IVAN JIMENEZ GARZON</t>
  </si>
  <si>
    <t>Calle 38A SUR NO 34D 51 C.C CENTRO MAYOR LC 1-107</t>
  </si>
  <si>
    <t>3580434</t>
  </si>
  <si>
    <t>110010013017</t>
  </si>
  <si>
    <t>SONRIA DAMA SALUD SEDE CHAPINERO</t>
  </si>
  <si>
    <t>YEISON DAVID PINZON SANCHEZ</t>
  </si>
  <si>
    <t>KR 13 # 57-12</t>
  </si>
  <si>
    <t>3144322</t>
  </si>
  <si>
    <t>110010013008</t>
  </si>
  <si>
    <t>SONRIA DAMA SALUD SEDE FONTIBON</t>
  </si>
  <si>
    <t>ANA MARIA CAMARGO NAVARRETE</t>
  </si>
  <si>
    <t>CRA 99 # 18 04</t>
  </si>
  <si>
    <t>2984202</t>
  </si>
  <si>
    <t>110010013004</t>
  </si>
  <si>
    <t>SONRIA DAMA SALUD SEDE GALERIAS</t>
  </si>
  <si>
    <t>LUISA AGUDELO ALEMAN</t>
  </si>
  <si>
    <t>AC 53 N 25 - 03 LC</t>
  </si>
  <si>
    <t>3580424</t>
  </si>
  <si>
    <t>110010013005</t>
  </si>
  <si>
    <t>SONRIA DAMA SALUD SEDE KENNEDY</t>
  </si>
  <si>
    <t>YURI ADRIANA ESCUDERO HERRÁN</t>
  </si>
  <si>
    <t>AK 80 No 55 - 37 SUR LC</t>
  </si>
  <si>
    <t>7824756</t>
  </si>
  <si>
    <t>110010013024</t>
  </si>
  <si>
    <t>SONRIA DAMA SALUD SEDE PLAZA DE LAS AMERICAS</t>
  </si>
  <si>
    <t>DANIELA PARDO VALENCIA</t>
  </si>
  <si>
    <t>KR 71D # 6 - 94 SUR CC PLAZA DE LAS AMERICAS LC 1129</t>
  </si>
  <si>
    <t>3144333</t>
  </si>
  <si>
    <t>110010013003</t>
  </si>
  <si>
    <t>SONRIA DAMA SALUD SEDE QUIRIGUA</t>
  </si>
  <si>
    <t>MONICA MAYERLY ARIZA HERREÑO</t>
  </si>
  <si>
    <t>TV 94A # 80A 91</t>
  </si>
  <si>
    <t>4425296</t>
  </si>
  <si>
    <t>110010013002</t>
  </si>
  <si>
    <t>SONRIA DAMA SALUD SEDE RESTREPO</t>
  </si>
  <si>
    <t>LUISA FERNANDA AGUDELO ALEMAN</t>
  </si>
  <si>
    <t>DIAGONAL 19 SUR No 20 -39</t>
  </si>
  <si>
    <t>3665265</t>
  </si>
  <si>
    <t>110010013029</t>
  </si>
  <si>
    <t>SONRIA DAMA SALUD SEDE RESTREPO 2</t>
  </si>
  <si>
    <t>MARIA ALEJANDRA GOMEZ BARRERA</t>
  </si>
  <si>
    <t>CARRERA 18 SUR No. 17-68</t>
  </si>
  <si>
    <t>3580449</t>
  </si>
  <si>
    <t>110010013018</t>
  </si>
  <si>
    <t>SONRIA DAMA SALUD SEDE SALITRE</t>
  </si>
  <si>
    <t>ANDREA DEL PILAR GUTIERREZ CASTRO</t>
  </si>
  <si>
    <t>Ac 24 No. 68 C 25 Lc 18</t>
  </si>
  <si>
    <t>4055555</t>
  </si>
  <si>
    <t>110010013009</t>
  </si>
  <si>
    <t>SONRIA DAMA SALUD SEDE SUBA</t>
  </si>
  <si>
    <t>IRMA CONSTANZA PIÑEROS CARDENAS</t>
  </si>
  <si>
    <t>CRA 92 # 147 68 LOCAL 22</t>
  </si>
  <si>
    <t>6819121</t>
  </si>
  <si>
    <t>110010013010</t>
  </si>
  <si>
    <t>SONRIA DAMA SALUD SEDE TECHO</t>
  </si>
  <si>
    <t>CARRERA 78 B NO 38 C 23 SUR</t>
  </si>
  <si>
    <t>3580454</t>
  </si>
  <si>
    <t>110010013020</t>
  </si>
  <si>
    <t>SONRIA DAMA SALUD SEDE TITAN PLAZA</t>
  </si>
  <si>
    <t>Kelly Johanna Silva Sepulveda</t>
  </si>
  <si>
    <t>AV. BOYACA NO. 80- 94 LOCAL 1-36</t>
  </si>
  <si>
    <t>3580464</t>
  </si>
  <si>
    <t>110010013036</t>
  </si>
  <si>
    <t>SONRIA DAMA SALUD SEDE TOBERIN CALLE 164</t>
  </si>
  <si>
    <t>Irma Pinñeros</t>
  </si>
  <si>
    <t>Calle 164 23 40 Local 3</t>
  </si>
  <si>
    <t>3144300</t>
  </si>
  <si>
    <t>coordinadohabilitacion@sonria.com.co</t>
  </si>
  <si>
    <t>110010013011</t>
  </si>
  <si>
    <t>SONRIA DAMA SALUD SEDE TUNAL</t>
  </si>
  <si>
    <t>JACOBO ENRIQUE DEL RIO CEDEÑO</t>
  </si>
  <si>
    <t>CR 25 # 48 - 09 SUR</t>
  </si>
  <si>
    <t>2049827</t>
  </si>
  <si>
    <t>110010013035</t>
  </si>
  <si>
    <t>SONRIA DAMA SALUD SEDE UNICENTRO I</t>
  </si>
  <si>
    <t>DARÍO FERNANDO CAICEDO MESÍAS</t>
  </si>
  <si>
    <t>Avenida Carrera 15 124 03 05 07 Local 1 Y 2</t>
  </si>
  <si>
    <t>3144311</t>
  </si>
  <si>
    <t>110010013016</t>
  </si>
  <si>
    <t>SONRIA DAMA SALUD SEDE VENECIA</t>
  </si>
  <si>
    <t>CINDY PAOLA ALVARADO VIDES</t>
  </si>
  <si>
    <t>AUTOP. SUR Nº 54A-25</t>
  </si>
  <si>
    <t>7416100</t>
  </si>
  <si>
    <t>1100119213</t>
  </si>
  <si>
    <t>SONRISAS BRILLANTES S.A.S.</t>
  </si>
  <si>
    <t>CAROL SANCHEZ SEGURA</t>
  </si>
  <si>
    <t>CLL 12 B # 9 - 22 C.C.SAVILLE PISO 2</t>
  </si>
  <si>
    <t>2815207/3103490132</t>
  </si>
  <si>
    <t>carolsanchez123@hotmail.com</t>
  </si>
  <si>
    <t>110011921301</t>
  </si>
  <si>
    <t>SONRISAS BRILLANTES SAS</t>
  </si>
  <si>
    <t>110012495903</t>
  </si>
  <si>
    <t>SORING CLINICA DE HERIDAS Y MEDICINAS INTEGRATIVAS CENTRO MEDICO LAGO</t>
  </si>
  <si>
    <t>ANGY LISSETH NIEVES ARIZA</t>
  </si>
  <si>
    <t>Calle 77 16 A 23</t>
  </si>
  <si>
    <t>6017460086- 3174014001</t>
  </si>
  <si>
    <t>comercial@soring.com.co</t>
  </si>
  <si>
    <t>110012495902</t>
  </si>
  <si>
    <t>SORING CLINICA DE HERIDAS Y MEDICINAS INTEGRATIVAS RESTREPO</t>
  </si>
  <si>
    <t>CALLE 13 SUR 19 25</t>
  </si>
  <si>
    <t>3174014001</t>
  </si>
  <si>
    <t>110012495901</t>
  </si>
  <si>
    <t>SORING CLINICA DE HERIDAS Y MEDICINAS INTEGRATIVAS SAS</t>
  </si>
  <si>
    <t>Calle 6A 69F 54</t>
  </si>
  <si>
    <t>7460086- 3175160407</t>
  </si>
  <si>
    <t>1100112560</t>
  </si>
  <si>
    <t>SOSALUD SAS</t>
  </si>
  <si>
    <t>JUAN PABLO RIOS</t>
  </si>
  <si>
    <t>CL 130 #58 20 LC 2 90</t>
  </si>
  <si>
    <t>3209465519</t>
  </si>
  <si>
    <t>gerencia@sosalud.com.co</t>
  </si>
  <si>
    <t>110013894201</t>
  </si>
  <si>
    <t>SOTHYSALUD IPS SAS</t>
  </si>
  <si>
    <t>Daniel José Durán Orozco</t>
  </si>
  <si>
    <t>calle 53 B Bis 25-52 Local 1, Piso 1</t>
  </si>
  <si>
    <t>375841735</t>
  </si>
  <si>
    <t>sothysaludips@gmail.com</t>
  </si>
  <si>
    <t>110013979301</t>
  </si>
  <si>
    <t>SOUL BY CALA</t>
  </si>
  <si>
    <t>LAURA CRISTINA CALA URIBE</t>
  </si>
  <si>
    <t>KR 11 # 84-09 LOCAL 22 PISO 1</t>
  </si>
  <si>
    <t>3202619526</t>
  </si>
  <si>
    <t>innerbeauty@drlauracala.com</t>
  </si>
  <si>
    <t>110012287101</t>
  </si>
  <si>
    <t>SOULMEDICAL LTDA</t>
  </si>
  <si>
    <t>ADA LIZETH DURAN COGOLLO</t>
  </si>
  <si>
    <t>CLL 50 No. 13-62 OF 302, 701,702,703,704, y 8º piso</t>
  </si>
  <si>
    <t>7449652/3138707304</t>
  </si>
  <si>
    <t>ada.duran@infectologia.com.co</t>
  </si>
  <si>
    <t>110010571127</t>
  </si>
  <si>
    <t>SOY VIOLETA</t>
  </si>
  <si>
    <t>Abdón Marcelo Andrade Chávez</t>
  </si>
  <si>
    <t>Calle 109 15 66</t>
  </si>
  <si>
    <t>110011658801</t>
  </si>
  <si>
    <t>SPORT GYM</t>
  </si>
  <si>
    <t>Diego Mallarino Matiz</t>
  </si>
  <si>
    <t>CL 90 # 8- 60</t>
  </si>
  <si>
    <t>57-1-6115031</t>
  </si>
  <si>
    <t>sports_gym@yahoo.com</t>
  </si>
  <si>
    <t>1100117277</t>
  </si>
  <si>
    <t>SPORTSMED COLOMBIA S.A.S</t>
  </si>
  <si>
    <t>www.medsport.com.co</t>
  </si>
  <si>
    <t>110011727702</t>
  </si>
  <si>
    <t>SPORTSMED SEDE AMBULATORIA</t>
  </si>
  <si>
    <t>KR 16A # 82 - 13 2P CS. 205-206 3P OFI 305-306 AREA ADMON ALA SUR CS. 307</t>
  </si>
  <si>
    <t>gerencia@medsport.com.co</t>
  </si>
  <si>
    <t>110013860401</t>
  </si>
  <si>
    <t>STARKEY HEARING TECHNOLOGIES COLOMBIA IPS</t>
  </si>
  <si>
    <t>SANDRA XIMENA TRUJILLO SALCEDO</t>
  </si>
  <si>
    <t>CRA 10 #97A-13 TORRE B OF602</t>
  </si>
  <si>
    <t>3103270512</t>
  </si>
  <si>
    <t>paola_baquero@starkey.com</t>
  </si>
  <si>
    <t>110014131701</t>
  </si>
  <si>
    <t>STAY GUT</t>
  </si>
  <si>
    <t>CARLOS ALBERTO CASTRO RODRIGUEZ</t>
  </si>
  <si>
    <t>AVENIDA CALLE 127 # 19 A 62 Consultorio 403</t>
  </si>
  <si>
    <t>3102442882</t>
  </si>
  <si>
    <t>ac.inversa@gmail.com</t>
  </si>
  <si>
    <t>1100119947</t>
  </si>
  <si>
    <t>STEM MEDICINA REGENERATIVA S.A.</t>
  </si>
  <si>
    <t>CAUDIA GOMEZ GOMEZ</t>
  </si>
  <si>
    <t>CALLE 113 # 7-45 TORRE B OF 702/703 Y 1004 EDIFICIO TELEPORT</t>
  </si>
  <si>
    <t>6292991</t>
  </si>
  <si>
    <t>coordinacionlab@bancodecelulas.com</t>
  </si>
  <si>
    <t>www.bancodecelulas.com</t>
  </si>
  <si>
    <t>110011994701</t>
  </si>
  <si>
    <t>STEM MEDICINA REGENERATIVA S.A.S.</t>
  </si>
  <si>
    <t>MARIA CRISTINA FONTALVO ARJONA</t>
  </si>
  <si>
    <t>CALLE 113 # 7 - 45 TORRE B OF 702/703 Y 1004 EDIFICIO TELEPORT</t>
  </si>
  <si>
    <t>110012957901</t>
  </si>
  <si>
    <t>STEMWELL</t>
  </si>
  <si>
    <t>MEHMET AKIF CAN</t>
  </si>
  <si>
    <t>Cra. 13 No 118-08</t>
  </si>
  <si>
    <t>3104068755 - 3148079475</t>
  </si>
  <si>
    <t>administracion@stemwell.co recepcion@stemwell.co</t>
  </si>
  <si>
    <t>110013132803</t>
  </si>
  <si>
    <t>STK STARK GYM MAZUREN</t>
  </si>
  <si>
    <t>FELIPE GARZON MENDEZ</t>
  </si>
  <si>
    <t>CARRERA 55 N° 152 B -68</t>
  </si>
  <si>
    <t>3202515813</t>
  </si>
  <si>
    <t>deportologo@starksmartgym.com.co</t>
  </si>
  <si>
    <t>110013132805</t>
  </si>
  <si>
    <t>STK STARK GYM PLAZA CLARO</t>
  </si>
  <si>
    <t>CR 68 A # 24 B - 10 LC 2 - 01</t>
  </si>
  <si>
    <t>3134533818</t>
  </si>
  <si>
    <t>110013132807</t>
  </si>
  <si>
    <t>STK STARK SMART GYM 127</t>
  </si>
  <si>
    <t>KR 7 A # 127 A - 80 PISO 3</t>
  </si>
  <si>
    <t>110013132808</t>
  </si>
  <si>
    <t>STK STARK SMART GYM 66</t>
  </si>
  <si>
    <t>Cl 65 A # 7 - 12 Piso 5 Y 6</t>
  </si>
  <si>
    <t>110013132801</t>
  </si>
  <si>
    <t>STK STARK SMART GYM IPS JAVERIANA</t>
  </si>
  <si>
    <t>FREDDY ANDRES BELTRAN BLANCO</t>
  </si>
  <si>
    <t>CR 7 N° 43 - 53 OFICINA 204</t>
  </si>
  <si>
    <t>3103214962</t>
  </si>
  <si>
    <t>110013132802</t>
  </si>
  <si>
    <t>STK STARK SMART GYM SAS COLINA</t>
  </si>
  <si>
    <t>AC 134 N° 55 A - 22</t>
  </si>
  <si>
    <t>110012741801</t>
  </si>
  <si>
    <t>STUDIO ORAL DIGITAL S.A.S</t>
  </si>
  <si>
    <t>GINA MILENA PACHON</t>
  </si>
  <si>
    <t>CARRERA 78 No. 8 -26</t>
  </si>
  <si>
    <t>7009845 - 3209689760</t>
  </si>
  <si>
    <t>studioraldigital@gmail.com</t>
  </si>
  <si>
    <t>1100107807</t>
  </si>
  <si>
    <t>SUPERAR LTDA</t>
  </si>
  <si>
    <t>BUSTAMANTE OSPINA GLORIA STELLA</t>
  </si>
  <si>
    <t>CARRERA 21 N° 82-51</t>
  </si>
  <si>
    <t>6015267262- 3103340911</t>
  </si>
  <si>
    <t>superar12@yahoo.com</t>
  </si>
  <si>
    <t>110013851301</t>
  </si>
  <si>
    <t>SUPERBIEN MEDICINA LABORAL S.A.S</t>
  </si>
  <si>
    <t>ELIANA DE JESUS CAMPO GONZALEZ</t>
  </si>
  <si>
    <t>CR 42 BIS NO. 17 A 75 LC 2 P1</t>
  </si>
  <si>
    <t>3123782956</t>
  </si>
  <si>
    <t>superbienips@gmail.com</t>
  </si>
  <si>
    <t>110012048401</t>
  </si>
  <si>
    <t>SUPLIMED HOSPITALARIO BOGOTA</t>
  </si>
  <si>
    <t>ADRIANA SANCHEZ QUIROZ</t>
  </si>
  <si>
    <t>KR 63 # 100 27</t>
  </si>
  <si>
    <t>6017027235</t>
  </si>
  <si>
    <t>alvarosanchez@suplimed.com.co</t>
  </si>
  <si>
    <t>110010695407</t>
  </si>
  <si>
    <t>SVIK QUIRIGUA</t>
  </si>
  <si>
    <t>ANGELA OCAÑA</t>
  </si>
  <si>
    <t>TRANSV. 94 No 83B -22</t>
  </si>
  <si>
    <t>2513758</t>
  </si>
  <si>
    <t>vangel.svik@yahoo.com</t>
  </si>
  <si>
    <t>110012876001</t>
  </si>
  <si>
    <t>SYG AMBULANCIAS S.A.S.</t>
  </si>
  <si>
    <t>JUAN CARLOS SUAREZ SANCHEZ</t>
  </si>
  <si>
    <t>CL 164B # 4 47 PI 1</t>
  </si>
  <si>
    <t>3208555096 - 3213353137</t>
  </si>
  <si>
    <t>sygambulancias@hotmail.com</t>
  </si>
  <si>
    <t>110013885201</t>
  </si>
  <si>
    <t>SYMMETRY PLASTIC SURGERY</t>
  </si>
  <si>
    <t>REINEL MAURICIO AGUILAR GUTIERREZ</t>
  </si>
  <si>
    <t>CRA 18 80 52 PISO 5</t>
  </si>
  <si>
    <t>3102979033</t>
  </si>
  <si>
    <t>symmetry.gerencia@gmail.com</t>
  </si>
  <si>
    <t>110013563205</t>
  </si>
  <si>
    <t>SYNLAB CENTRAL DE PROCESOS CENTRO</t>
  </si>
  <si>
    <t>CARRERA 14A N° 101-73</t>
  </si>
  <si>
    <t>110013563201</t>
  </si>
  <si>
    <t>SYNLAB COUNTRY</t>
  </si>
  <si>
    <t>CARRERA 16 N° 82-95 local 102</t>
  </si>
  <si>
    <t>110013563228</t>
  </si>
  <si>
    <t>SYNLAB GALERÍAS</t>
  </si>
  <si>
    <t>AV Calle 53 # 27ª- 71 Piso 3 Local 301</t>
  </si>
  <si>
    <t>6015938393 Opción 7 Temas normativos</t>
  </si>
  <si>
    <t>yasmin.perez@synlab.co; claudia.dimate@synlab.co; erika.echavarria@synlab.co; alejandra.serna@synlab.co; mariangeles.davila@synlab.co; servicliente@synlab.co</t>
  </si>
  <si>
    <t>110013563207</t>
  </si>
  <si>
    <t>SYNLAB NOGAL</t>
  </si>
  <si>
    <t>Cra 7 N° 82-66 Piso 2 Cs 203 -204</t>
  </si>
  <si>
    <t>110013563208</t>
  </si>
  <si>
    <t>SYNLAB Paseo villa del rio</t>
  </si>
  <si>
    <t>Diagonal 57 C Sur #62-60 Local 403 C.C. Paseo Villa del Rio</t>
  </si>
  <si>
    <t>110013563219</t>
  </si>
  <si>
    <t>SYNLAB SALITRE PLAZA</t>
  </si>
  <si>
    <t>Carrera 68B #24-39 local 343 Centro comercial Salitre Plaza</t>
  </si>
  <si>
    <t>110014210301</t>
  </si>
  <si>
    <t>SYO SALUD IPS SAS-PRIMAVERA</t>
  </si>
  <si>
    <t>OSWALDO JAVIER MENDEZ GUTIERREZ</t>
  </si>
  <si>
    <t>CLL79 No 89a-40 LOCAL 2-41</t>
  </si>
  <si>
    <t>3154473105</t>
  </si>
  <si>
    <t>SYOSALUDIPSSAS@GMAIL.COM</t>
  </si>
  <si>
    <t>110014037302</t>
  </si>
  <si>
    <t>SYSO IPS</t>
  </si>
  <si>
    <t>ARLEN EDWIN DE VEGA ARIZA</t>
  </si>
  <si>
    <t>Calle 99 No. 49-38 oficina 1101 consultorios 1, 2 y 5 Zona 1 A La 7</t>
  </si>
  <si>
    <t>3017002018</t>
  </si>
  <si>
    <t>juridico@syso.co</t>
  </si>
  <si>
    <t>110014037301</t>
  </si>
  <si>
    <t>SYSO SALUD IPS</t>
  </si>
  <si>
    <t>AC 161 # 16c - 39 Consultorio 305 piso 3</t>
  </si>
  <si>
    <t>gerencia@syso.co</t>
  </si>
  <si>
    <t>110011729401</t>
  </si>
  <si>
    <t>Salud Ocupacional Sede CUC</t>
  </si>
  <si>
    <t>Maria Fernanda Angulo Padilla</t>
  </si>
  <si>
    <t>CL 23 NO. 66 -46 INT 4 CN 1024 -1025 -1026</t>
  </si>
  <si>
    <t>5948650 EXTENSION 5716960</t>
  </si>
  <si>
    <t>110011729402</t>
  </si>
  <si>
    <t>Salud Ocupacional Sede Ilarco</t>
  </si>
  <si>
    <t>Tv 60 115 58 Torre B Piso 3</t>
  </si>
  <si>
    <t>6466060 EXT 5710311 - 3173822322</t>
  </si>
  <si>
    <t>110011962902</t>
  </si>
  <si>
    <t>Sede Ambulatoria Corazón Sano</t>
  </si>
  <si>
    <t>Calle 35 # 14-58</t>
  </si>
  <si>
    <t>110010457303</t>
  </si>
  <si>
    <t>Sede C</t>
  </si>
  <si>
    <t>Carrera 65 No. 4 G - 30</t>
  </si>
  <si>
    <t>601 4661276 - 601 2077609 Whatsapp: 3212230222</t>
  </si>
  <si>
    <t>subdireccionclinica@fundacionavante.org</t>
  </si>
  <si>
    <t>110010561814</t>
  </si>
  <si>
    <t>Sede Calle 123 Fundación Santa Fe de Bogotá</t>
  </si>
  <si>
    <t>carrera 7 #123-35 piso 10 piso y psio 3</t>
  </si>
  <si>
    <t>110010561808</t>
  </si>
  <si>
    <t>Sede Flor Morado Fundación Santa Fe de Bogotá</t>
  </si>
  <si>
    <t>Javier Romero</t>
  </si>
  <si>
    <t>calle 119 No. 7-14 (Segundo Piso)</t>
  </si>
  <si>
    <t>6030303 EXT: 5270-5247</t>
  </si>
  <si>
    <t>110010680101</t>
  </si>
  <si>
    <t>Sede Nutrición Pediátrica David Restrepo</t>
  </si>
  <si>
    <t>MARTHA YOLANDA RUIZ VALDES</t>
  </si>
  <si>
    <t>Carrera 13 No. 42-36 Edificio Villa Esther - Consultorio 101</t>
  </si>
  <si>
    <t>3158981781</t>
  </si>
  <si>
    <t>direccion@fundaciondavidrestrepo.com.co</t>
  </si>
  <si>
    <t>110013719802</t>
  </si>
  <si>
    <t>Sede aunar salud chapinero piso 6 consultorio 16</t>
  </si>
  <si>
    <t>Diego Alejandro Villamizar</t>
  </si>
  <si>
    <t>Calle 63 # 13 - 12 piso 6</t>
  </si>
  <si>
    <t>110012917801</t>
  </si>
  <si>
    <t>Servicios Aeromédicos Integrales SAMI S.A.S</t>
  </si>
  <si>
    <t>José Hans lópez León</t>
  </si>
  <si>
    <t>Calle 83 19-36 cons 702 703</t>
  </si>
  <si>
    <t>6161019</t>
  </si>
  <si>
    <t>administracionsami@samiweb.com.co</t>
  </si>
  <si>
    <t>110012320601</t>
  </si>
  <si>
    <t>Servicios de Patologia Oscar Messa Botero</t>
  </si>
  <si>
    <t>Elba Zenaida Huerfano Moreno</t>
  </si>
  <si>
    <t>Calle 64 No 7 - 42 Consultorio 103</t>
  </si>
  <si>
    <t>2358716</t>
  </si>
  <si>
    <t>serviciosdepatologia@gmail.com</t>
  </si>
  <si>
    <t>1100107782</t>
  </si>
  <si>
    <t>Servicios de Salud IPS Suramericana S.A.S</t>
  </si>
  <si>
    <t>CARDONA VELEZ ANA MARIA</t>
  </si>
  <si>
    <t>2602100 3164625445 3178525626</t>
  </si>
  <si>
    <t>rqext@suramericana.com.co / llbenavidesm@sura.com.co / gpgonzalez@sura.com.co</t>
  </si>
  <si>
    <t>110010867901</t>
  </si>
  <si>
    <t>Sociedad de Cirugía de Bogotá - Hospital de San José</t>
  </si>
  <si>
    <t>Carlos Humberto Pérez Moreno</t>
  </si>
  <si>
    <t>CL 10 No. 18 - 75</t>
  </si>
  <si>
    <t>3538000 ext 523 o 509</t>
  </si>
  <si>
    <t>calidad@hospitaldesanjose.org.co</t>
  </si>
  <si>
    <t>110012598001</t>
  </si>
  <si>
    <t>Soluciones integrales en salud Aurum Medical SAS Sigla: AURUM MEDICAL SAS</t>
  </si>
  <si>
    <t>Andres David Cortes Sierra</t>
  </si>
  <si>
    <t>CARRERA 17 #24 44</t>
  </si>
  <si>
    <t>3203477487</t>
  </si>
  <si>
    <t>aurummedicalsas@gmail.com</t>
  </si>
  <si>
    <t>110012216201</t>
  </si>
  <si>
    <t>Somnomédica Clinica Especializada en Medicina del Sueño SAS</t>
  </si>
  <si>
    <t>KELLY JOHANNA ZARATE ALGECIRA</t>
  </si>
  <si>
    <t>Carrera 49A No. 93-71</t>
  </si>
  <si>
    <t>8063361</t>
  </si>
  <si>
    <t>gerencia@somnomedica.co</t>
  </si>
  <si>
    <t>110013426501</t>
  </si>
  <si>
    <t>Sonoaudio SAS</t>
  </si>
  <si>
    <t>Jose Arley Millan Giraldo</t>
  </si>
  <si>
    <t>Carrera 15 No 124 - 29 oficina 702</t>
  </si>
  <si>
    <t>3011685190 - 3224458553</t>
  </si>
  <si>
    <t>coordinadorahseq@sonoaudio.co</t>
  </si>
  <si>
    <t>110012905701</t>
  </si>
  <si>
    <t>Spina Colombia 1</t>
  </si>
  <si>
    <t>Esteban Amaya Suárez</t>
  </si>
  <si>
    <t>CR 18 C NO. 121-40 OFIC 102</t>
  </si>
  <si>
    <t>3115860518</t>
  </si>
  <si>
    <t>spinacolombia@gmail.com</t>
  </si>
  <si>
    <t>1100116588</t>
  </si>
  <si>
    <t>Sport`s Gym S.A.</t>
  </si>
  <si>
    <t>CL 90 # 8 - 60</t>
  </si>
  <si>
    <t>110012084602</t>
  </si>
  <si>
    <t>Svelthus Clinica De Rejuvenecimiento Facial Y Corporal</t>
  </si>
  <si>
    <t>LUIS FELIPE ALZATE GIRALDO</t>
  </si>
  <si>
    <t>CALLE 116 No 71 a- 78</t>
  </si>
  <si>
    <t>2711414- 3102157304</t>
  </si>
  <si>
    <t>elpip82@hotmail.com</t>
  </si>
  <si>
    <t>110010448806</t>
  </si>
  <si>
    <t>TAC BELLA SUIZA</t>
  </si>
  <si>
    <t>Calle 127 A # 7-19 Local 102</t>
  </si>
  <si>
    <t>3797910</t>
  </si>
  <si>
    <t>coord.servicio@rmcs.com.co</t>
  </si>
  <si>
    <t>110010448805</t>
  </si>
  <si>
    <t>TAC LA COLINA</t>
  </si>
  <si>
    <t>Calle 167 # 72 - 07 Consultorio 216</t>
  </si>
  <si>
    <t>3797910 ext. 205</t>
  </si>
  <si>
    <t>110010448803</t>
  </si>
  <si>
    <t>TAC Y RESONANCIA DEL COUNTRY</t>
  </si>
  <si>
    <t>KR 16 A # 82-37 PI 4</t>
  </si>
  <si>
    <t>110011745901</t>
  </si>
  <si>
    <t>TAREAS TALLERES TERAPEUTICOS INTEGRADOS E U</t>
  </si>
  <si>
    <t>Irma Guzmán Moncada</t>
  </si>
  <si>
    <t>Cra 47 No. 101B 08</t>
  </si>
  <si>
    <t>5 33 15 72</t>
  </si>
  <si>
    <t>centrotareas@hotmail.com</t>
  </si>
  <si>
    <t>1100117459</t>
  </si>
  <si>
    <t>TAREAS TALLERES TERAPEUTICOS INTEGRADOS EU</t>
  </si>
  <si>
    <t>Carrera 47 No.101 B 08</t>
  </si>
  <si>
    <t>centrotarea@hotmail.com</t>
  </si>
  <si>
    <t>110011964601</t>
  </si>
  <si>
    <t>TECHNO VISION OPTICS</t>
  </si>
  <si>
    <t>CALLE 19 12 - 85 LOCAL 01</t>
  </si>
  <si>
    <t>1100119931</t>
  </si>
  <si>
    <t>TEMPO INVERSIONES SAS</t>
  </si>
  <si>
    <t>Diego Rojas Galeano</t>
  </si>
  <si>
    <t>Calle 15 Sur # 22-04</t>
  </si>
  <si>
    <t>2394437</t>
  </si>
  <si>
    <t>tempodr@hotmail.com</t>
  </si>
  <si>
    <t>110011993101</t>
  </si>
  <si>
    <t>TEMPO SPA</t>
  </si>
  <si>
    <t>Calle 15 Sur N° 22-04</t>
  </si>
  <si>
    <t>110012593501</t>
  </si>
  <si>
    <t>TERAMED SAS</t>
  </si>
  <si>
    <t>SANDRA PATRICIA LINARES MARROQUIN</t>
  </si>
  <si>
    <t>CL 5 SUR NO 10-82 PISO 1</t>
  </si>
  <si>
    <t>3118862642</t>
  </si>
  <si>
    <t>teramedsas@gmail.com</t>
  </si>
  <si>
    <t>110011796701</t>
  </si>
  <si>
    <t>TERAPIAS BOGOTA S.A.S</t>
  </si>
  <si>
    <t>LINA MARCELA SABOGAL DELGADO</t>
  </si>
  <si>
    <t>Calle 116 # 70 G -74 PRIMER PISO</t>
  </si>
  <si>
    <t>7944008 - 3003004659 - 3124700600</t>
  </si>
  <si>
    <t>marcesabogal@hotmail.com</t>
  </si>
  <si>
    <t>110012878301</t>
  </si>
  <si>
    <t>TERAPIAS CATHERIN TATIANA JIMENEZ SAS</t>
  </si>
  <si>
    <t>LINA MARIANA JIMENEZ LOPEZ</t>
  </si>
  <si>
    <t>CALLE 142 # 16-26</t>
  </si>
  <si>
    <t>3107658829</t>
  </si>
  <si>
    <t>terapiasctj@hotmail.com</t>
  </si>
  <si>
    <t>110012878303</t>
  </si>
  <si>
    <t>TERAPIAS CATHERIN TATIANA JIMENEZ SEDE 142</t>
  </si>
  <si>
    <t>CALLE 142 Nº 16-26</t>
  </si>
  <si>
    <t>3107658829 PBX 3907149 - 7944003</t>
  </si>
  <si>
    <t>sistemainfirmacionctj@gmail.com</t>
  </si>
  <si>
    <t>110011792908</t>
  </si>
  <si>
    <t>TERAPIAS DEL NORTE ANDAR</t>
  </si>
  <si>
    <t>PAOLA ANDREA MORENO RODRIGUEZ</t>
  </si>
  <si>
    <t>AC 80 NO 69 H 31</t>
  </si>
  <si>
    <t>110012940801</t>
  </si>
  <si>
    <t>TERAPIAS ESPECIALIZADAS SAS</t>
  </si>
  <si>
    <t>CR 7 NO. 72A - 64 CONSULTORIO 218-219</t>
  </si>
  <si>
    <t>3134324033</t>
  </si>
  <si>
    <t>spinaterapias@gmail.com</t>
  </si>
  <si>
    <t>1100105620</t>
  </si>
  <si>
    <t>TERAPIAS SAS</t>
  </si>
  <si>
    <t>PEREZ FERNANDEZ NATALIA</t>
  </si>
  <si>
    <t>CL 135A No 10-39 piso 1</t>
  </si>
  <si>
    <t>terapias_ltda@yahoo.es</t>
  </si>
  <si>
    <t>110014236401</t>
  </si>
  <si>
    <t>THERAPIST GROUP IPS SAS</t>
  </si>
  <si>
    <t>DANIEL VELEZ</t>
  </si>
  <si>
    <t>CL 93 Nº 19 - 66 Consultorio 207</t>
  </si>
  <si>
    <t>3123109412</t>
  </si>
  <si>
    <t>therapistgroupips@gmail.com</t>
  </si>
  <si>
    <t>110013864301</t>
  </si>
  <si>
    <t>TLIMAGEN Y DIAGNOSTICO SAS</t>
  </si>
  <si>
    <t>VICTOR VELOSA PORRAS</t>
  </si>
  <si>
    <t>CARRERA 7 BIS 124 56 CN 208</t>
  </si>
  <si>
    <t>3006947022</t>
  </si>
  <si>
    <t>TL.IMAGEN@HOTMAIL.COM</t>
  </si>
  <si>
    <t>110010918683</t>
  </si>
  <si>
    <t>TOMA DE MUESTRAS LABORATORIO KERALTY NOGAL</t>
  </si>
  <si>
    <t>Calle 74 6 65 Piso 2 Interior 2</t>
  </si>
  <si>
    <t>110014007301</t>
  </si>
  <si>
    <t>TOP DENTIST BY IVAN MORENO</t>
  </si>
  <si>
    <t>IRMA LEONOR JURADO MORALES</t>
  </si>
  <si>
    <t>Cr 11 B No. 97-56 Lc 1</t>
  </si>
  <si>
    <t>3153160551</t>
  </si>
  <si>
    <t>gerencia@topdentist.com.co</t>
  </si>
  <si>
    <t>110010917818</t>
  </si>
  <si>
    <t>TORRE 7-CPO</t>
  </si>
  <si>
    <t>Zayda Ibet Rodriguez Rengifo</t>
  </si>
  <si>
    <t>CARRERA 19 C SUR 24 67</t>
  </si>
  <si>
    <t>6013612888</t>
  </si>
  <si>
    <t>110014096402</t>
  </si>
  <si>
    <t>TOTAL DEFINER BEAUTY SPA</t>
  </si>
  <si>
    <t>Monica Tatiana Peñuela Forero</t>
  </si>
  <si>
    <t>callle 93 N° 14-55 PISO 5</t>
  </si>
  <si>
    <t>3204985772</t>
  </si>
  <si>
    <t>gerencia@alfredohoyos.com</t>
  </si>
  <si>
    <t>110014096401</t>
  </si>
  <si>
    <t>TOTAL DEFINER MEDICAL</t>
  </si>
  <si>
    <t>Monica Tatiana Peñuela forero</t>
  </si>
  <si>
    <t>AVENIDA CARRERA 15 83 33 PISO 2</t>
  </si>
  <si>
    <t>110014121901</t>
  </si>
  <si>
    <t>TRINITY LIFE SAS CS 308 - 309</t>
  </si>
  <si>
    <t>ANGELICA MARGARITA ORTIZ ROMERO</t>
  </si>
  <si>
    <t>AK 19 # 114-65 CONSULTORIO 308 - 309</t>
  </si>
  <si>
    <t>3213457465</t>
  </si>
  <si>
    <t>trinity.bogota@outlook.com</t>
  </si>
  <si>
    <t>110013862601</t>
  </si>
  <si>
    <t>TU MEDICO EN CASA IPS COLOMBIA SAS</t>
  </si>
  <si>
    <t>Adriana Lorena Espinosa Salazar</t>
  </si>
  <si>
    <t>Cra. 15 No. 118-03 Ofc. 304</t>
  </si>
  <si>
    <t>3229655507</t>
  </si>
  <si>
    <t>info@tumedicoencasaips.com</t>
  </si>
  <si>
    <t>110014085201</t>
  </si>
  <si>
    <t>TU OIDO IPS CENTRO AUDIOLOGICO ESPECIALIZADO</t>
  </si>
  <si>
    <t>DIANA ROCIO OLAVE GARCIA</t>
  </si>
  <si>
    <t>CARRERA 16 # 84 A-09 Consultorios 312 y 315-3 Almirante Colón</t>
  </si>
  <si>
    <t>3186779774</t>
  </si>
  <si>
    <t>ips@tuoido.com</t>
  </si>
  <si>
    <t>110012264901</t>
  </si>
  <si>
    <t>TU SALUD H&amp;G SOCIEDAD POR ACCIONES SIMPLIFICADA SAS</t>
  </si>
  <si>
    <t>Martha Patricia Sanchez Orjuela</t>
  </si>
  <si>
    <t>Calle 62 No 22 -16</t>
  </si>
  <si>
    <t>2356515 2354324</t>
  </si>
  <si>
    <t>administracion@tusalud.com.co</t>
  </si>
  <si>
    <t>110014312001</t>
  </si>
  <si>
    <t>TUS PEDIATRAS SAS</t>
  </si>
  <si>
    <t>DANIELA SILVA ARDILA</t>
  </si>
  <si>
    <t>CARRERA 23 #124 - 87 T2 Consultorio 503</t>
  </si>
  <si>
    <t>3103481914</t>
  </si>
  <si>
    <t>caito27@hotmail.com</t>
  </si>
  <si>
    <t>110013788301</t>
  </si>
  <si>
    <t>TUSALUD LABORAL IPS SAS</t>
  </si>
  <si>
    <t>ANDREA LARITZA TORRADO AREVALO</t>
  </si>
  <si>
    <t>Carrera 20 C 72 A 14 Piso 1 Consultorio 3 Piso 2 Consultorio 4-5-6-7-8</t>
  </si>
  <si>
    <t>3166505339</t>
  </si>
  <si>
    <t>gestionad@tusaludlaboralipssas.com</t>
  </si>
  <si>
    <t>110012132001</t>
  </si>
  <si>
    <t>Te Aliviamos SAS</t>
  </si>
  <si>
    <t>Paola Filauri</t>
  </si>
  <si>
    <t>Cra.48 #101A-09 Piso 1</t>
  </si>
  <si>
    <t>5203018</t>
  </si>
  <si>
    <t>mercadeo@aliviamos.com</t>
  </si>
  <si>
    <t>110010561815</t>
  </si>
  <si>
    <t>Toma de muestras AMA</t>
  </si>
  <si>
    <t>Carrera 9 No 117-20 Local 111, piso 1 Asociación Médica de Bogotá- Bogotá D.C</t>
  </si>
  <si>
    <t>110012763901</t>
  </si>
  <si>
    <t>Tu IPS</t>
  </si>
  <si>
    <t>MARITZA CECILIA GONZALEZ AVILA</t>
  </si>
  <si>
    <t>Avenida de las Américas 63 48 Local 238 - 239</t>
  </si>
  <si>
    <t>3003334 - 3118126730</t>
  </si>
  <si>
    <t>gerencia@tuips.com.co</t>
  </si>
  <si>
    <t>110011726101</t>
  </si>
  <si>
    <t>UAP LOS HEROES</t>
  </si>
  <si>
    <t>F</t>
  </si>
  <si>
    <t>110013620601</t>
  </si>
  <si>
    <t>UBIMED SAS</t>
  </si>
  <si>
    <t>Sandra Milena Aguilera Martín</t>
  </si>
  <si>
    <t>carrera 7 Bis 124 56 consultorio 209</t>
  </si>
  <si>
    <t>sandraaguilera@ubimed.com.co</t>
  </si>
  <si>
    <t>110014180201</t>
  </si>
  <si>
    <t>UDIAM IPS DISTRITO CAPITAL</t>
  </si>
  <si>
    <t>ALEXANDRA KALENATIC REMOLINA</t>
  </si>
  <si>
    <t>Cl 140 No. 11 45 Cs 820</t>
  </si>
  <si>
    <t>3008650114</t>
  </si>
  <si>
    <t>udiamipsdistritocapital@gmail.com</t>
  </si>
  <si>
    <t>110011964303</t>
  </si>
  <si>
    <t>ULTRASONIDO VASCULAR S.A.S.</t>
  </si>
  <si>
    <t>OSCAR GIRALDO NEIRA</t>
  </si>
  <si>
    <t>AV CALLE 127 NO. 19A-28 CS 401</t>
  </si>
  <si>
    <t>7317200 - 3174270527</t>
  </si>
  <si>
    <t>ultrasonidovascularsas@gmail.com</t>
  </si>
  <si>
    <t>1100119643</t>
  </si>
  <si>
    <t>ULTRASONIDO VASCULAR S.A.S. CON SIGLA ULVASC S.A.S.</t>
  </si>
  <si>
    <t>GIRALDO NEIRA OSCAR</t>
  </si>
  <si>
    <t>AV CALLE 127 NO. 19A-28 CS 401 - Barrio:LA CALLEJA</t>
  </si>
  <si>
    <t>110010565901</t>
  </si>
  <si>
    <t>UMED LTDA</t>
  </si>
  <si>
    <t>MARIA LUISA MOLINA MONTENEGRO</t>
  </si>
  <si>
    <t>KR 21 # 26 06 SUR</t>
  </si>
  <si>
    <t>2785555 - 3665291 - 3112655841</t>
  </si>
  <si>
    <t>umedltda@gmail.com</t>
  </si>
  <si>
    <t>1100113706</t>
  </si>
  <si>
    <t>UMI EMERGENCIAS S.A.S</t>
  </si>
  <si>
    <t>RAFAEL ANTONIO SUAREZ MARTINEZ</t>
  </si>
  <si>
    <t>AVENIDA CALLE 127 # 19A 44 CS 517 ACOMEDICA II</t>
  </si>
  <si>
    <t>7454542</t>
  </si>
  <si>
    <t>jduran@umiemergencias.com</t>
  </si>
  <si>
    <t>www.umiemergencias.com</t>
  </si>
  <si>
    <t>110012732201</t>
  </si>
  <si>
    <t>UNIDAD BIOMEDICA S.A.S</t>
  </si>
  <si>
    <t>FREDY ORLANDO VILLARRAGA FRANCO</t>
  </si>
  <si>
    <t>CRA 50 NO. 118-22</t>
  </si>
  <si>
    <t>2139815 - 3008493768</t>
  </si>
  <si>
    <t>unidadbiomedica@gmail.com</t>
  </si>
  <si>
    <t>110010845001</t>
  </si>
  <si>
    <t>UNIDAD CARDIOFETAL LTDA</t>
  </si>
  <si>
    <t>ALICIA MARQUEZ GARCIA</t>
  </si>
  <si>
    <t>CALLE 90 No. 19 A 49 OFICINA 205</t>
  </si>
  <si>
    <t>2189878 -466 04 09 - 3152444038</t>
  </si>
  <si>
    <t>u.cardiofetal@gmail.com</t>
  </si>
  <si>
    <t>1100120005</t>
  </si>
  <si>
    <t>UNIDAD CLINICA ODONTOLOGICA SANTA LIBRADA SAS</t>
  </si>
  <si>
    <t>110013163201</t>
  </si>
  <si>
    <t>UNIDAD CLÍNICA DEL SISTEMA NERVIOSO LIMITADA RENOVAR LTDA</t>
  </si>
  <si>
    <t>Rosario Lozano Peña</t>
  </si>
  <si>
    <t>CL 7 SUR # 7A - 63</t>
  </si>
  <si>
    <t>6015301506</t>
  </si>
  <si>
    <t>renovar.ltda@hotmail.com</t>
  </si>
  <si>
    <t>110010918669</t>
  </si>
  <si>
    <t>UNIDAD CONSULTA EXTERNA CLÍNICA INFANTIL SANTA MARÍA DEL LAGO</t>
  </si>
  <si>
    <t>CR 76 73 35</t>
  </si>
  <si>
    <t>110010817170</t>
  </si>
  <si>
    <t>UNIDAD DE APLICACIÓN DE MEDICAMENTOS COLSUBSIDIO</t>
  </si>
  <si>
    <t>AK 72 12 B - 48 local 2 - 092</t>
  </si>
  <si>
    <t>7468900</t>
  </si>
  <si>
    <t>110012500301</t>
  </si>
  <si>
    <t>UNIDAD DE CUIDADOS PALIATIVOS PRESENTES S.A.S</t>
  </si>
  <si>
    <t>JUAN CARLOS HERNANDEZ GROSSO</t>
  </si>
  <si>
    <t>CRA 18 N. 140 - 27</t>
  </si>
  <si>
    <t>6015895432 Ext 5717825 - 3102172577</t>
  </si>
  <si>
    <t>german.marentes@versania.com</t>
  </si>
  <si>
    <t>110012121701</t>
  </si>
  <si>
    <t>UNIDAD DE DIAGNOSTICO ECOGRAFICO FONTIBON I P S SOCIEDAD LIMITADA SU SIGLA ES UDEF I P S LTDA</t>
  </si>
  <si>
    <t>Marco Edgar Ariza Benitez</t>
  </si>
  <si>
    <t>Calle 18 A # 98 - 34</t>
  </si>
  <si>
    <t>6083449</t>
  </si>
  <si>
    <t>unidaddediagnostico2@hotmail.com</t>
  </si>
  <si>
    <t>1100119128</t>
  </si>
  <si>
    <t>UNIDAD DE DIAGNOSTICO S.A.S</t>
  </si>
  <si>
    <t>SONIA MARIA MOLANO CARO</t>
  </si>
  <si>
    <t>CRA 19A N. 82-85 CONSULTORIO 209 EDIF COUNTRY MEDICAL CENTER</t>
  </si>
  <si>
    <t>7953780 - 3124817662</t>
  </si>
  <si>
    <t>gerencia@udd.com.co</t>
  </si>
  <si>
    <t>1100105271</t>
  </si>
  <si>
    <t>UNIDAD DE ESPECIALISTAS OFTALMOLOGICOS S.A.</t>
  </si>
  <si>
    <t>ROMERO SANTA CRUZ GERMAN ASDRUBAL</t>
  </si>
  <si>
    <t>CRA 16 82 95 CS 801-802-305</t>
  </si>
  <si>
    <t>6216615/2572891</t>
  </si>
  <si>
    <t>gerencia@ueoftalmologicos.com.co</t>
  </si>
  <si>
    <t>www.ueoftalmologicos.com.co</t>
  </si>
  <si>
    <t>1100108935</t>
  </si>
  <si>
    <t>UNIDAD DE ESTETICA DENTAL S A S</t>
  </si>
  <si>
    <t>www.marlonbecerra.co</t>
  </si>
  <si>
    <t>110012225301</t>
  </si>
  <si>
    <t>UNIDAD DE ESTUDIO Y TRATAMIENTO INTEGRAL DE LAS EPILEPSIAS - UNIEPILEPSIAS</t>
  </si>
  <si>
    <t>ANA MARIA GOMEZ DUQUE</t>
  </si>
  <si>
    <t>CARRERA 19 # 84-17 OF 301-304</t>
  </si>
  <si>
    <t>3174341632</t>
  </si>
  <si>
    <t>gerencia@uniepilepsias.com</t>
  </si>
  <si>
    <t>1100105076</t>
  </si>
  <si>
    <t>UNIDAD DE FERTILIDAD DEL COUNTRY SAS</t>
  </si>
  <si>
    <t>MONTOYA MEJIA JUAN MANUEL</t>
  </si>
  <si>
    <t>CRA 16 # 82 29 PI 7</t>
  </si>
  <si>
    <t>6164480</t>
  </si>
  <si>
    <t>conceptum@conceptum.com</t>
  </si>
  <si>
    <t>1100114862</t>
  </si>
  <si>
    <t>UNIDAD DE FERTILIDAD FERTIVIDA SAS</t>
  </si>
  <si>
    <t>CECILIA HERNANDEZ LEAL</t>
  </si>
  <si>
    <t>KR 19A No. 82-85 CONSULTORIO 401</t>
  </si>
  <si>
    <t>7953130 EXT 4017</t>
  </si>
  <si>
    <t>administracion@fertivida.co</t>
  </si>
  <si>
    <t>110012391901</t>
  </si>
  <si>
    <t>UNIDAD DE GASTROENTEROLOGIA INTEGRAL SAS</t>
  </si>
  <si>
    <t>D</t>
  </si>
  <si>
    <t>CALLE 119 No. 7-14 CON 813</t>
  </si>
  <si>
    <t>3114526589 - 3114815468</t>
  </si>
  <si>
    <t>dipitor@yahoo.com</t>
  </si>
  <si>
    <t>1100103450</t>
  </si>
  <si>
    <t>UNIDAD DE LABORATORIOS ESPECIALIZADA S.A.S. SIGLA: ZEPHIA 1-A S.A.S.</t>
  </si>
  <si>
    <t>CALLE 93 N° 14 - 20 entrada C Torre Norte Consultorio 410 Centro Comercial Centro 93</t>
  </si>
  <si>
    <t>3157939993</t>
  </si>
  <si>
    <t>zephia1a@hotmail.com</t>
  </si>
  <si>
    <t>http://www.zephia1a.com/pw/</t>
  </si>
  <si>
    <t>1100101693</t>
  </si>
  <si>
    <t>UNIDAD DE NEUROLOGIA LIMITADA</t>
  </si>
  <si>
    <t>DIAZ PECCHENINO FERNANDO</t>
  </si>
  <si>
    <t>CARRERA 16 N 84 A 09 CS 523</t>
  </si>
  <si>
    <t>3132926045</t>
  </si>
  <si>
    <t>unidaddeneurologia@gmail.com</t>
  </si>
  <si>
    <t>https://unidaddeneurologia.com</t>
  </si>
  <si>
    <t>110012594601</t>
  </si>
  <si>
    <t>UNIDAD DE RADIOLOGIA ORAL Y MAXILOFACIAL RADIDENT SAS</t>
  </si>
  <si>
    <t>ALFONSO SALAS NUÑEZ</t>
  </si>
  <si>
    <t>CL 106 # 56 - 76 CS 302</t>
  </si>
  <si>
    <t>6552604</t>
  </si>
  <si>
    <t>administracion@radident.co</t>
  </si>
  <si>
    <t>110012575404</t>
  </si>
  <si>
    <t>UNIDAD DE SALUD OCUPACIONAL BOGOTA MONTEVIDEO</t>
  </si>
  <si>
    <t>MARGARITA LUCIA DE LOS MILAGROS MACIAS FAJARDO</t>
  </si>
  <si>
    <t>AV DE LAS AMERICAS # 62-84 OUTLET FACTORY LOCAL 232</t>
  </si>
  <si>
    <t>3104736060</t>
  </si>
  <si>
    <t>gestioncalidad@unidadso.com.co</t>
  </si>
  <si>
    <t>110012575401</t>
  </si>
  <si>
    <t>UNIDAD DE SALUD OCUPACIONAL NORTE</t>
  </si>
  <si>
    <t>Margarita Lucia de los Milagros Macias Fajardo</t>
  </si>
  <si>
    <t>Transversal 55 # 98a-76 suba con calle 100 Centro comercial Iserra 100 Local 2-34</t>
  </si>
  <si>
    <t>110012575403</t>
  </si>
  <si>
    <t>UNIDAD DE SALUD OCUPACIONAL SEDE NORMANDIA</t>
  </si>
  <si>
    <t>AK 72 No. 49 - 29 Piso 6</t>
  </si>
  <si>
    <t>110010733513</t>
  </si>
  <si>
    <t>UNIDAD DE SERVICIOS AVENIDA PRIMERO DE MAYO</t>
  </si>
  <si>
    <t>AV 1o. DE MAYO No 10 BIS - 22 SUR</t>
  </si>
  <si>
    <t>110010733505</t>
  </si>
  <si>
    <t>UNIDAD DE SERVICIOS CALLE 134</t>
  </si>
  <si>
    <t>AC 134 # 7 B 83 LC 6 - LC 17 y PI 11</t>
  </si>
  <si>
    <t>110010733550</t>
  </si>
  <si>
    <t>UNIDAD DE SERVICIOS CALLE 145</t>
  </si>
  <si>
    <t>AK 45 No. 145 - 24 TO A PI 1 PI 2 PI 3 TO B PI 1 PI 2</t>
  </si>
  <si>
    <t>110010733503</t>
  </si>
  <si>
    <t>UNIDAD DE SERVICIOS CALLE 26</t>
  </si>
  <si>
    <t>AC 26 No 66 A 48</t>
  </si>
  <si>
    <t>110010733504</t>
  </si>
  <si>
    <t>UNIDAD DE SERVICIOS CALLE 42</t>
  </si>
  <si>
    <t>CL 42 # 13-19 TO A TO B</t>
  </si>
  <si>
    <t>110010733509</t>
  </si>
  <si>
    <t>UNIDAD DE SERVICIOS CALLE 94</t>
  </si>
  <si>
    <t>CL 94 No. 23-43 TO B, PI1, PI2, PI3, PI4, PI5, PI6, PI7, PI8</t>
  </si>
  <si>
    <t>110010733566</t>
  </si>
  <si>
    <t>UNIDAD DE SERVICIOS DE SALUD AUTOPISTA SUR</t>
  </si>
  <si>
    <t>AC 57 R SUR # 73 I - 55 PI 1 CS 1 al 18 y 106 al 141</t>
  </si>
  <si>
    <t>110010733565</t>
  </si>
  <si>
    <t>UNIDAD DE SERVICIOS DE SALUD CALLE 153</t>
  </si>
  <si>
    <t>KR 59 No. 152B 79 PI 2 CONS 203 - 204 PI3 PI4 PI5 PI6</t>
  </si>
  <si>
    <t>110010733567</t>
  </si>
  <si>
    <t>UNIDAD DE SERVICIOS DE SALUD CARRERA 69 BLOQUE I</t>
  </si>
  <si>
    <t>KR 69 # 47 34 TO A PI 1 PI 2 SALA TELESALUD</t>
  </si>
  <si>
    <t>110010733533</t>
  </si>
  <si>
    <t>UNIDAD DE SERVICIOS EAAB CENTRO NARIÑO</t>
  </si>
  <si>
    <t>AK 36 No. 23 - 33</t>
  </si>
  <si>
    <t>110010733535</t>
  </si>
  <si>
    <t>UNIDAD DE SERVICIOS EAAB SANTA LUCIA</t>
  </si>
  <si>
    <t>AK 14 N. 41 - 70 SUR</t>
  </si>
  <si>
    <t>110010733522</t>
  </si>
  <si>
    <t>UNIDAD DE SERVICIOS FONTIBON</t>
  </si>
  <si>
    <t>DG 16 # 104 51 OF100 - LC5 y LC8 - CENTRO COMERCIAL VIVA FONTIBON</t>
  </si>
  <si>
    <t>110010733502</t>
  </si>
  <si>
    <t>UNIDAD DE SERVICIOS KENNEDY</t>
  </si>
  <si>
    <t>TV 78 H # 41 C 48 SUR</t>
  </si>
  <si>
    <t>110010733508</t>
  </si>
  <si>
    <t>UNIDAD DE SERVICIOS SUBA</t>
  </si>
  <si>
    <t>CL 139 No. 94-55 PI1, PI2, CONS 201, PI5, PI6, P7 CONS 701, LOCAL 2</t>
  </si>
  <si>
    <t>110012921401</t>
  </si>
  <si>
    <t>UNIDAD DE TRATAMIENTO DEL DOLOR COLOMBIA SAS. SIGLA: UTD-COLOMBIA</t>
  </si>
  <si>
    <t>GERMAN ANDRES FRANCO GRUNTORAD</t>
  </si>
  <si>
    <t>AVENIDA CARRERA 45 #108A-50 LOCAL 104</t>
  </si>
  <si>
    <t>3122689863</t>
  </si>
  <si>
    <t>utd_colombia@icloud.com</t>
  </si>
  <si>
    <t>110013630033</t>
  </si>
  <si>
    <t>UNIDAD DE URGENCIAS PUENTE ARANDA</t>
  </si>
  <si>
    <t>Carrera 62 14 41</t>
  </si>
  <si>
    <t>1100100923</t>
  </si>
  <si>
    <t>UNIDAD DERMATOLOGICA DE FOTOTERAPIA SAS</t>
  </si>
  <si>
    <t>HERNANDEZ DE CHALELA CECILIA</t>
  </si>
  <si>
    <t>Transversal 55 98 A 66 Oficina 405 Centro Comercial Iserra 100</t>
  </si>
  <si>
    <t>4263111</t>
  </si>
  <si>
    <t>gerencia@udf.com.co</t>
  </si>
  <si>
    <t>110010092302</t>
  </si>
  <si>
    <t>UNIDAD DERMATOLOGICA Y DE FOTOTERAPIA</t>
  </si>
  <si>
    <t>ANDREA LEON PILONIETA</t>
  </si>
  <si>
    <t>AVENIDA AMERICAS No. 62-84 Local 2-19</t>
  </si>
  <si>
    <t>110011813901</t>
  </si>
  <si>
    <t>UNIDAD INTEGRAL DE ENDOCRINOLOGIA UNIENDO</t>
  </si>
  <si>
    <t>CRA.19 #82-32</t>
  </si>
  <si>
    <t>110013163101</t>
  </si>
  <si>
    <t>UNIDAD INTEGRAL DE TOXICOLOGIA UNITOX SAS UNITOX</t>
  </si>
  <si>
    <t>ROSIRIS DEL SOCORRO MAUSSA DORIA</t>
  </si>
  <si>
    <t>CARRERA 45 A 94 -84</t>
  </si>
  <si>
    <t>3290647</t>
  </si>
  <si>
    <t>unitoxsas@gmail.com</t>
  </si>
  <si>
    <t>110011725001</t>
  </si>
  <si>
    <t>UNIDAD LASER Y PIEL</t>
  </si>
  <si>
    <t>PINZON HURTADO YUDY CLEMENCIA</t>
  </si>
  <si>
    <t>CL 134 # 7 B 83 Cs 412 - 413 - 414- 415- 416- 417</t>
  </si>
  <si>
    <t>3225996468</t>
  </si>
  <si>
    <t>ulaserypiel2017@hotmail.com</t>
  </si>
  <si>
    <t>1100117250</t>
  </si>
  <si>
    <t>UNIDAD LASER Y PIEL S.A.S</t>
  </si>
  <si>
    <t>CL 134 # 7 B 83 Cs 412- 413- 414- 415- 416-417</t>
  </si>
  <si>
    <t>1100106036</t>
  </si>
  <si>
    <t>UNIDAD MAMOGRAFICA DEL COUNTRY SAS</t>
  </si>
  <si>
    <t>BERNARDO SANCEZ RESTREPO</t>
  </si>
  <si>
    <t>KR 16 # 84 A 09 CS 423</t>
  </si>
  <si>
    <t>6217290</t>
  </si>
  <si>
    <t>umcb.m@hotmail.com</t>
  </si>
  <si>
    <t>110010793903</t>
  </si>
  <si>
    <t>UNIDAD MATERNO FETAL CLINICA DE LA MUJER S.A.S.</t>
  </si>
  <si>
    <t>MONICA ALEJANDRA CUEVAS ESLAVA</t>
  </si>
  <si>
    <t>KR 19 C 90-30 PI 4</t>
  </si>
  <si>
    <t>110013737801</t>
  </si>
  <si>
    <t>UNIDAD MEDICA BOSA NOVA IPS SAS</t>
  </si>
  <si>
    <t>LUCY FAYBEYE URBINA CARMONA</t>
  </si>
  <si>
    <t>CL 62 Sur No. 87B 22</t>
  </si>
  <si>
    <t>310 280 2760 - 321 204 9303</t>
  </si>
  <si>
    <t>faybeye@hotmail.com</t>
  </si>
  <si>
    <t>110010862601</t>
  </si>
  <si>
    <t>UNIDAD MEDICA CECIMIN</t>
  </si>
  <si>
    <t>STEPHEN COLAS SANCHEZ</t>
  </si>
  <si>
    <t>3125508004</t>
  </si>
  <si>
    <t>110010440413</t>
  </si>
  <si>
    <t>UNIDAD MEDICA DIAGNOSTICA ESPINOSA GOMEZ</t>
  </si>
  <si>
    <t>MARIA LUCIA GOMEZ DE ESPINOSA</t>
  </si>
  <si>
    <t>Calle 147 # 7-62 Local 29</t>
  </si>
  <si>
    <t>6013000932 y 3154018962</t>
  </si>
  <si>
    <t>calidad@espinosagomez.com</t>
  </si>
  <si>
    <t>110010440412</t>
  </si>
  <si>
    <t>UNIDAD MEDICA DIAGNOSTICA ESPINOSA GOMEZ S.A.S.</t>
  </si>
  <si>
    <t>CRA 16 # 84 A 09 CONS 609</t>
  </si>
  <si>
    <t>6016217157, 3154018962</t>
  </si>
  <si>
    <t>country@espinosagomez.com</t>
  </si>
  <si>
    <t>1100104404</t>
  </si>
  <si>
    <t>UNIDAD MEDICA DIAGNOSTICA ESPINOSA GOMEZ SAS</t>
  </si>
  <si>
    <t>GOMEZ DE ESPINOSA MARIA LUCIA</t>
  </si>
  <si>
    <t>Carrera 11 73 40 Local 3</t>
  </si>
  <si>
    <t>3450900 EXT 103</t>
  </si>
  <si>
    <t>GERENCIA@ESPINOSAGOMEZ.COM</t>
  </si>
  <si>
    <t>www.espinosagomez.com</t>
  </si>
  <si>
    <t>1100108649</t>
  </si>
  <si>
    <t>UNIDAD MEDICA FAMILIAR DEL SUR IPS S.A.</t>
  </si>
  <si>
    <t>CARLOS ALBERTO HURTADO SALAZAR</t>
  </si>
  <si>
    <t>Kra 4 ESTE # 41B-15 SUR consultorio 1,2,5,6,7</t>
  </si>
  <si>
    <t>3678236</t>
  </si>
  <si>
    <t>carlos_a_hurtado@hotmail.com</t>
  </si>
  <si>
    <t>1100107919</t>
  </si>
  <si>
    <t>UNIDAD MEDICA INTEGRAL MARIA AUXILIADORA LIMITADA</t>
  </si>
  <si>
    <t>DONATO RONDON ANGEL OCTAVIO</t>
  </si>
  <si>
    <t>CL 57 A SUR # 79 A 16 P1,P2 Cs201,202,203,204,205,206,207,208,209, P3,P4</t>
  </si>
  <si>
    <t>7774794</t>
  </si>
  <si>
    <t>mariaauxiliadoraips@yahoo.com</t>
  </si>
  <si>
    <t>110012891101</t>
  </si>
  <si>
    <t>UNIDAD MEDICA INTEGRAL MOTUS IPS SAS</t>
  </si>
  <si>
    <t>LUIS ALEJANDRO GUAQUETA AGUDELO</t>
  </si>
  <si>
    <t>CL 24 A NO. 81 C 90 piso 1</t>
  </si>
  <si>
    <t>3202749492</t>
  </si>
  <si>
    <t>yesidb2@hotmail.com</t>
  </si>
  <si>
    <t>110010959910</t>
  </si>
  <si>
    <t>UNIDAD MEDICA NUEVA 1 CLINICA DEL COUNTRY</t>
  </si>
  <si>
    <t>Carrera 16 No. 82-95 Consultorio 103</t>
  </si>
  <si>
    <t>110012147701</t>
  </si>
  <si>
    <t>UNIDAD MEDICA ONCOLOGICA ONCOLIFE IPS SAS</t>
  </si>
  <si>
    <t>AV Carrera 45 # 104A 87/91</t>
  </si>
  <si>
    <t>5803973-3178061653</t>
  </si>
  <si>
    <t>1100115272</t>
  </si>
  <si>
    <t>UNIDAD MEDICA RIONEGRO LTDA</t>
  </si>
  <si>
    <t>ONEIDA HERREÑO QUIROGA</t>
  </si>
  <si>
    <t>CL 76 # 20 C - 42 PISO 1</t>
  </si>
  <si>
    <t>8050082</t>
  </si>
  <si>
    <t>unirionegro@gmail.com</t>
  </si>
  <si>
    <t>110010586809</t>
  </si>
  <si>
    <t>UNIDAD MEDICA SANTA FE AMERICAS</t>
  </si>
  <si>
    <t>ALBERTO CADAVID</t>
  </si>
  <si>
    <t>Calle 6 A No. 69 c 56</t>
  </si>
  <si>
    <t>6017430506 - 3174025612 - 3163847676 - 3173682892</t>
  </si>
  <si>
    <t>americasadm@ums.com.co americasjefeadministrativa@ums.com.co calidad@ums.com.co</t>
  </si>
  <si>
    <t>110010586812</t>
  </si>
  <si>
    <t>UNIDAD MEDICA SANTAFE CALLE 122</t>
  </si>
  <si>
    <t>Alberto Efrain Cadavid Ibarra</t>
  </si>
  <si>
    <t>CR 16 122 18/28 PI 2</t>
  </si>
  <si>
    <t>7466629 - 3163345158 - 3173682892 -7429579</t>
  </si>
  <si>
    <t>Calle122adm@ums.com.co</t>
  </si>
  <si>
    <t>110010586807</t>
  </si>
  <si>
    <t>UNIDAD MEDICA SANTAFE IPS CLL 95</t>
  </si>
  <si>
    <t>ALBERTO EFRAIN CADAVID IBARRA</t>
  </si>
  <si>
    <t>AK 45 # 95 81 PISO 1 CS 101, 102, 103, 104 Y PISO 2 COMPLETO</t>
  </si>
  <si>
    <t>7429559 -3183518270 - 3163345158 - 3173682892- 3163195807</t>
  </si>
  <si>
    <t>calle95adm@ums.com.co</t>
  </si>
  <si>
    <t>110010586810</t>
  </si>
  <si>
    <t>UNIDAD MEDICA SANTAFE UNICENTRO</t>
  </si>
  <si>
    <t>Dr. Alberto Efraín Cadavid Ibarra</t>
  </si>
  <si>
    <t>AC 127 NO. 15A - 55</t>
  </si>
  <si>
    <t>7429579 - 3173834659 - 3163195807 - 3163345158 -3173682892</t>
  </si>
  <si>
    <t>unicentroadm@ums.com.co</t>
  </si>
  <si>
    <t>110010403520</t>
  </si>
  <si>
    <t>UNIDAD MEDICA Y DE DIAGNOSTICO - IPS</t>
  </si>
  <si>
    <t>CR 65 No. 11-50 LC 3-101, 3-102, 3-103, 3-104,3-105, 3-107, 3-107A, 3-01, 3-03, 3-04 CC PLAZA CENTRAL</t>
  </si>
  <si>
    <t>1100104035</t>
  </si>
  <si>
    <t>UNIDAD MEDICA Y DE DIAGNOSTICO S.A</t>
  </si>
  <si>
    <t>CASTELLANOS GUTIERREZ JUAN CARLOS</t>
  </si>
  <si>
    <t>AK 45 NO. 122 - 96 Piso 1 Excepto Consultorios A y B - Piso 2 - Piso 4 - Barrio:SANTA BARBARA</t>
  </si>
  <si>
    <t>1100117745</t>
  </si>
  <si>
    <t>UNIDAD MEDICA Y ODONTOLOGICA SANTA PILAR E.U.</t>
  </si>
  <si>
    <t>WILLIAM OTALORA GUTIERREZ</t>
  </si>
  <si>
    <t>AK 14 74 C 03 Sur</t>
  </si>
  <si>
    <t>6017612926 - 3008010381</t>
  </si>
  <si>
    <t>umedicosp@hotmail.com</t>
  </si>
  <si>
    <t>110010199604</t>
  </si>
  <si>
    <t>UNIDAD MEDICO QUIRURGICA DE ORL</t>
  </si>
  <si>
    <t>ELIZABETH GARCIA GOMEZ</t>
  </si>
  <si>
    <t>Transversal 23 No 94-33 Consultorio 201 Y 202</t>
  </si>
  <si>
    <t>7396139 3118995244</t>
  </si>
  <si>
    <t>calidad@unimeqorl.co</t>
  </si>
  <si>
    <t>110010199603</t>
  </si>
  <si>
    <t>UNIDAD MEDICO QUIRÚRGICA DE ORL S.A.S</t>
  </si>
  <si>
    <t>KR 7 BIS 124 26 CS 301, 302</t>
  </si>
  <si>
    <t>7396139 y 3118995244</t>
  </si>
  <si>
    <t>1100101996</t>
  </si>
  <si>
    <t>UNIDAD MEDICO QUIRÚRGICA DE ORL SAS SIGLA UNIMEQ ORL SAS</t>
  </si>
  <si>
    <t>PEÑARANDA SAN JUAN AUGUSTO</t>
  </si>
  <si>
    <t>Transversal 23 94 33 Oficina 301</t>
  </si>
  <si>
    <t>7396139 - 3118995244</t>
  </si>
  <si>
    <t>augpenar@gmail.com</t>
  </si>
  <si>
    <t>110010440401</t>
  </si>
  <si>
    <t>UNIDAD MÉDICA DIAGNÓSTICA ESPINOSA GÓMEZ SAS</t>
  </si>
  <si>
    <t>Carrera 11 No 73 - 40 Local 3</t>
  </si>
  <si>
    <t>3450900</t>
  </si>
  <si>
    <t>CALIDAD@ESPINOSAGOMEZ.COM</t>
  </si>
  <si>
    <t>110012139001</t>
  </si>
  <si>
    <t>UNIDAD MÉDICA ONCOLÓGICA S.A.S.</t>
  </si>
  <si>
    <t>JUAN SALVADOR CELIS ARÁMBULA</t>
  </si>
  <si>
    <t>AK 45 NO. 106 30 CONS 610, 611, 612, 617, 620</t>
  </si>
  <si>
    <t>315 894 4271 - 315 894 4673 - 801 1857</t>
  </si>
  <si>
    <t>unidadmedicaoncologica@gmail.com</t>
  </si>
  <si>
    <t>110013926101</t>
  </si>
  <si>
    <t>UNIDAD ODONTOFACIAL S.A.S.</t>
  </si>
  <si>
    <t>CARLOS EDUARDO FORERO SANTAMARIA</t>
  </si>
  <si>
    <t>Avenida Carrera 15 No. 112-46 CONSULTORIOS 101-102</t>
  </si>
  <si>
    <t>3108743839</t>
  </si>
  <si>
    <t>odontofacialsas@gmail.com</t>
  </si>
  <si>
    <t>110011822102</t>
  </si>
  <si>
    <t>UNIDAD QUIRURGICA DEPIEL</t>
  </si>
  <si>
    <t>AV CL 134 # 7 -83 MODULOS 152 / 351 TORRE 1 Y 3 PISO 5</t>
  </si>
  <si>
    <t>consultas@depiel.com</t>
  </si>
  <si>
    <t>1100100592</t>
  </si>
  <si>
    <t>UNIDAD RADIOLOGICA DENTO CRANEO MAXILO FACIAL S.A.</t>
  </si>
  <si>
    <t>DACHIARDI REY ALBERTO</t>
  </si>
  <si>
    <t>CL 125 No. 20 - 70 OF 204</t>
  </si>
  <si>
    <t>6012153469 - 3226313167</t>
  </si>
  <si>
    <t>unidadradiologica125@gmail.com</t>
  </si>
  <si>
    <t>110012436905</t>
  </si>
  <si>
    <t>UNIDAD RENAL DAVITA SAN CARLOS</t>
  </si>
  <si>
    <t>Alba Estela Duarte Rivera</t>
  </si>
  <si>
    <t>CARRERA 12D No. 32-44 SUR PISO 3 LOCAL 301</t>
  </si>
  <si>
    <t>0315804949</t>
  </si>
  <si>
    <t>110010918629</t>
  </si>
  <si>
    <t>UNIDAD RENAL SANITAS</t>
  </si>
  <si>
    <t>AVENIDA CALLE 127 No 20-78 CONSULTORIOS 201-202-203 Y 204</t>
  </si>
  <si>
    <t>2744590 6274745</t>
  </si>
  <si>
    <t>110012337001</t>
  </si>
  <si>
    <t>UNIDAD ROBÓTICA DENTAL ODONTOLOGIA 3D</t>
  </si>
  <si>
    <t>LUZ DARY LOPEZ CASTRO</t>
  </si>
  <si>
    <t>AV 19 # 134 38</t>
  </si>
  <si>
    <t>311 4803538 - 311 4284949 - 313 4312436</t>
  </si>
  <si>
    <t>directoracedritos.urd@hotmail.com</t>
  </si>
  <si>
    <t>110012369901</t>
  </si>
  <si>
    <t>UNIDIAGNOSTICO SAS</t>
  </si>
  <si>
    <t>MARCELA RIGUEROS DE MORALES</t>
  </si>
  <si>
    <t>KR 15 No. 100 - 43 OF. 201</t>
  </si>
  <si>
    <t>6000027 - 3204062345</t>
  </si>
  <si>
    <t>marcela.rigueros@unidiagnostico.com.co</t>
  </si>
  <si>
    <t>110014249302</t>
  </si>
  <si>
    <t>UNIENDOSCOPIA RESTREPO</t>
  </si>
  <si>
    <t>MARIA FERNANDA RODRIGUEZ LORETO</t>
  </si>
  <si>
    <t>Transversal 18 Bis 14 A 21 Sur Piso 2</t>
  </si>
  <si>
    <t>3118049377</t>
  </si>
  <si>
    <t>uniendoscopia@gmail.com</t>
  </si>
  <si>
    <t>110014249301</t>
  </si>
  <si>
    <t>UNIENDOSCOPIA SAS</t>
  </si>
  <si>
    <t>CALLE 140 C # 94 D 38 CONSULTORIO 507</t>
  </si>
  <si>
    <t>1100107876</t>
  </si>
  <si>
    <t>UNIFISIO S.A.S.</t>
  </si>
  <si>
    <t>GOMEZ RAMIREZ LYDDA DEL CARMEN</t>
  </si>
  <si>
    <t>CRA 23 # 45C-31 CONS 609 / 610</t>
  </si>
  <si>
    <t>2875525</t>
  </si>
  <si>
    <t>unifisioltda@hotmail.es</t>
  </si>
  <si>
    <t>110010694801</t>
  </si>
  <si>
    <t>UNILASER MEDICA</t>
  </si>
  <si>
    <t>CARLOS ADRIAN RIOS MORA</t>
  </si>
  <si>
    <t>CALLE 90 # 11-44 OFICINA 210</t>
  </si>
  <si>
    <t>5302682</t>
  </si>
  <si>
    <t>unilasermedica@gmail.com</t>
  </si>
  <si>
    <t>1100106948</t>
  </si>
  <si>
    <t>UNILASER MEDICA S.A.</t>
  </si>
  <si>
    <t>RIOS MORA CARLOS ADRIAN</t>
  </si>
  <si>
    <t>110010936106</t>
  </si>
  <si>
    <t>UNIMARLY</t>
  </si>
  <si>
    <t>CRA 13 # 48 63</t>
  </si>
  <si>
    <t>3436600 EXT 6121</t>
  </si>
  <si>
    <t>110010586803</t>
  </si>
  <si>
    <t>UNIMEDICA SANTAFE KENNEDY</t>
  </si>
  <si>
    <t>KR 78 K # 33 A 39 SUR</t>
  </si>
  <si>
    <t>7429579 - 3174038396 - 3173682892 - 3186156250 - 3174349439</t>
  </si>
  <si>
    <t>coordinacionodontologica@ums.com.co kennedyadm@ums.com.co</t>
  </si>
  <si>
    <t>110010586811</t>
  </si>
  <si>
    <t>UNIMEDICA SANTAFE KENNEDY II</t>
  </si>
  <si>
    <t>Dr. Alberto Cadavid</t>
  </si>
  <si>
    <t>CR 78 K NO. 33 A 03 SUR</t>
  </si>
  <si>
    <t>7429579 - 3174038396 - 3173682892 - 3174349439 -3186156250</t>
  </si>
  <si>
    <t>kennedyadm@ums.com.co kennedyjefeadm@ums.com.co</t>
  </si>
  <si>
    <t>110010199601</t>
  </si>
  <si>
    <t>UNIMEQ ORL SAS</t>
  </si>
  <si>
    <t>GARCIA GOMEZ ELIZABETH</t>
  </si>
  <si>
    <t>Avenida Carrera 9 116 20 Consultorio 203-207-209-211-215-217-221</t>
  </si>
  <si>
    <t>110010199605</t>
  </si>
  <si>
    <t>UNIMEQ ORL SAS.</t>
  </si>
  <si>
    <t>Elizabeth García Gómez</t>
  </si>
  <si>
    <t>Carrera 56 # 9-17 Local 4 y 5</t>
  </si>
  <si>
    <t>7396139</t>
  </si>
  <si>
    <t>110010572508</t>
  </si>
  <si>
    <t>UNIMINUTO</t>
  </si>
  <si>
    <t>Ruben Dario Robayo Rodriguez</t>
  </si>
  <si>
    <t>TRANSVERSAL 76 # 81 A 09</t>
  </si>
  <si>
    <t>3219389403</t>
  </si>
  <si>
    <t>110012726601</t>
  </si>
  <si>
    <t>UNIMOS SALUD SAS</t>
  </si>
  <si>
    <t>BORIS GARCIA LOPEZ</t>
  </si>
  <si>
    <t>CL 97A # 51-45 P1</t>
  </si>
  <si>
    <t>3105686562</t>
  </si>
  <si>
    <t>calidadunimossalud@gmail.com</t>
  </si>
  <si>
    <t>110010869403</t>
  </si>
  <si>
    <t>UNIMSALUD ASISTENCIAL</t>
  </si>
  <si>
    <t>MARIELA RODRIGUEZ DE RODRIGUEZ</t>
  </si>
  <si>
    <t>CALLE 72 A No 20 C 55</t>
  </si>
  <si>
    <t>110010869404</t>
  </si>
  <si>
    <t>UNIMSALUD SEDE NORTE</t>
  </si>
  <si>
    <t>Kr 23 # 124 - 87 Torre 2 Oficina 405</t>
  </si>
  <si>
    <t>7264721 - 3005718073</t>
  </si>
  <si>
    <t>110010914301</t>
  </si>
  <si>
    <t>UNION MEDICA DEL NORTE</t>
  </si>
  <si>
    <t>EUCLIDES CARREÑO MORA</t>
  </si>
  <si>
    <t>Calle 129 B No. 92 B 09</t>
  </si>
  <si>
    <t>7438163 - 7025526</t>
  </si>
  <si>
    <t>umndelnorte@gmail.com</t>
  </si>
  <si>
    <t>1100109143</t>
  </si>
  <si>
    <t>UNION MEDICA DEL NORTE SAS</t>
  </si>
  <si>
    <t>CARREÑO MORA EUCLIDES</t>
  </si>
  <si>
    <t>CL 129 B # 92 B 09</t>
  </si>
  <si>
    <t>1100115070</t>
  </si>
  <si>
    <t>UNIVER PLUS S.A.</t>
  </si>
  <si>
    <t>Cra 7 B BIS # 132-38 Edificio Forest Medical Center Local 104 - Barrio:Bella Suiza</t>
  </si>
  <si>
    <t>110010829302</t>
  </si>
  <si>
    <t>UNIVERSIDAD DEL ROSARIO SEDE COMPLEMENTARIA</t>
  </si>
  <si>
    <t>MARIA CRISTINA ARIZA CORRADINE</t>
  </si>
  <si>
    <t>CALLE 200 ENTRE AUTOPISTA NORTE Y CARRERA SEPTIMA</t>
  </si>
  <si>
    <t>2970200 EXTENSION 7601</t>
  </si>
  <si>
    <t>www.diana.ortiz@urosario.edu.co</t>
  </si>
  <si>
    <t>110011370102</t>
  </si>
  <si>
    <t>UNIVERSIDAD MANUELA BELTRAN</t>
  </si>
  <si>
    <t>Carrera 20B No. 75 A-24</t>
  </si>
  <si>
    <t>5460600</t>
  </si>
  <si>
    <t>hugo.segura@umb.edu.co</t>
  </si>
  <si>
    <t>1100103694</t>
  </si>
  <si>
    <t>UROBOSQUE S.A</t>
  </si>
  <si>
    <t>GUTIERREZ MARTINEZ ALVARO</t>
  </si>
  <si>
    <t>AC 134 No. 7- 83 TO 3 PI 6 MD 361 -TO 2 PI 6 MD 266 CS 1-3</t>
  </si>
  <si>
    <t>6482254 - 3178929377</t>
  </si>
  <si>
    <t>informacion@urobosque.com - direccionadministrativa@urobosque.com</t>
  </si>
  <si>
    <t>110010369406</t>
  </si>
  <si>
    <t>UROBOSQUE SEDE SUR</t>
  </si>
  <si>
    <t>ALVARO JR GUTIERREZ MARTINEZ</t>
  </si>
  <si>
    <t>CR 32 No.25 B-80</t>
  </si>
  <si>
    <t>6482254 - 3173703964</t>
  </si>
  <si>
    <t>informacion@urobosque.com - christian@tobonmedellinortiz.com</t>
  </si>
  <si>
    <t>110012749701</t>
  </si>
  <si>
    <t>UROLOGIA DE COLOMBIA SAS</t>
  </si>
  <si>
    <t>MARCELA PATRICIA GUERRERO BARBOSA</t>
  </si>
  <si>
    <t>CRA. 13 No.48 - 26 CS 302</t>
  </si>
  <si>
    <t>3200383 - 3007192019</t>
  </si>
  <si>
    <t>urologiadecolombia@hotmail.com</t>
  </si>
  <si>
    <t>110013966201</t>
  </si>
  <si>
    <t>US COLOMBIA FERTILITY CENTER SAS</t>
  </si>
  <si>
    <t>ZHUO LU</t>
  </si>
  <si>
    <t>CARRERA 14 A # 101 - 47 P8</t>
  </si>
  <si>
    <t>3159166790</t>
  </si>
  <si>
    <t>quality@ucfcivf.com</t>
  </si>
  <si>
    <t>1100107994</t>
  </si>
  <si>
    <t>USIS PERCODEN SAS</t>
  </si>
  <si>
    <t>CHACON TRANSLAVINIA LIDA</t>
  </si>
  <si>
    <t>KR 8 # 49 25 CS 801-802</t>
  </si>
  <si>
    <t>5705021-3158410056</t>
  </si>
  <si>
    <t>usispercoden@gmail.com lydachacon@hotmail.com</t>
  </si>
  <si>
    <t>www.percoden.com</t>
  </si>
  <si>
    <t>1100119291</t>
  </si>
  <si>
    <t>Ultima Generación Sas Sigla Ultigen Sas</t>
  </si>
  <si>
    <t>JOSE MARIA FUENTES OJEDA</t>
  </si>
  <si>
    <t>Carrera 28B No 71C-20 Piso 1</t>
  </si>
  <si>
    <t>3108170150</t>
  </si>
  <si>
    <t>cesar.borda@ultigen.com.co</t>
  </si>
  <si>
    <t>https://ultigen.com.co</t>
  </si>
  <si>
    <t>110012091401</t>
  </si>
  <si>
    <t>Unidad Especializada en Ortopedia y Traumatología S.A.S</t>
  </si>
  <si>
    <t>Dr. Pedro Antonio Sánchez Mesa, MD</t>
  </si>
  <si>
    <t>Calle 145 No. 91-19, L 10-104 2P CENTRO SUBA</t>
  </si>
  <si>
    <t>6009349 -6836020</t>
  </si>
  <si>
    <t>pedroantonio.sanchezmesa@gmail.com</t>
  </si>
  <si>
    <t>110012833701</t>
  </si>
  <si>
    <t>Uroclinic SAS</t>
  </si>
  <si>
    <t>Julian Alejandro Bohorquez Quevedo</t>
  </si>
  <si>
    <t>CALLE 83 N 19 36 CONSULTORIO 204</t>
  </si>
  <si>
    <t>7626114 - 3204302624</t>
  </si>
  <si>
    <t>gerencia@uroclinic.co</t>
  </si>
  <si>
    <t>110013804001</t>
  </si>
  <si>
    <t>VAE MEDICINA Y BIENESTAR INTEGRAL IPS SAS</t>
  </si>
  <si>
    <t>VICTORIA ANDREA ESCALANTE</t>
  </si>
  <si>
    <t>Avenida Calle 127 # 20 16 Consultorios 202 - 216 - 217 - 218 Edificio Pluss 127</t>
  </si>
  <si>
    <t>7032295</t>
  </si>
  <si>
    <t>dra.victoriaescalante@vaebienestar.org</t>
  </si>
  <si>
    <t>110014144801</t>
  </si>
  <si>
    <t>VALENTE MEDICA SAS</t>
  </si>
  <si>
    <t>MATEO RIVERA GARCIA</t>
  </si>
  <si>
    <t>AVENIDA CALLE 134 -7B - 83 OFICINA 921</t>
  </si>
  <si>
    <t>3164932650</t>
  </si>
  <si>
    <t>matiorivera@hotmail.com</t>
  </si>
  <si>
    <t>110013854901</t>
  </si>
  <si>
    <t>VALERIUS SALUD SAS IPS SIGLA VALERIUS SALUD</t>
  </si>
  <si>
    <t>ELIZABETH DELGADO RIVERA</t>
  </si>
  <si>
    <t>AC 127 # 70D 70 piso 1 y 2</t>
  </si>
  <si>
    <t>3219198702</t>
  </si>
  <si>
    <t>valeriussalud@gmail.com</t>
  </si>
  <si>
    <t>110014053801</t>
  </si>
  <si>
    <t>VALESSIO SALUD MASCULINA S.A.S</t>
  </si>
  <si>
    <t>DELY MARCELA HERRERA CRISTANCHO</t>
  </si>
  <si>
    <t>Calle 99 # 49 - 38 oficina 609</t>
  </si>
  <si>
    <t>3014371303</t>
  </si>
  <si>
    <t>valessio.adm@gmail.com</t>
  </si>
  <si>
    <t>1100118936</t>
  </si>
  <si>
    <t>VASCULAB COLOMBIA LTDA</t>
  </si>
  <si>
    <t>PEDRO LEON REY SAEQUEZ</t>
  </si>
  <si>
    <t>CL 23 # 66 46 CS 1010</t>
  </si>
  <si>
    <t>4783999</t>
  </si>
  <si>
    <t>vasculabcol@gmail.com</t>
  </si>
  <si>
    <t>110013877602</t>
  </si>
  <si>
    <t>VERSANIA DE MENTE JOVEN AV. 68</t>
  </si>
  <si>
    <t>Jorge Mc Douall Lombana</t>
  </si>
  <si>
    <t>CALLE 17 # 65 B 95</t>
  </si>
  <si>
    <t>601 5804344 Ext 5717839</t>
  </si>
  <si>
    <t>110013877601</t>
  </si>
  <si>
    <t>VERSANIA DE MENTE JOVEN CALLE 139</t>
  </si>
  <si>
    <t>CARRERA 19 A 139-36</t>
  </si>
  <si>
    <t>601 6466060 Ext. 5718830</t>
  </si>
  <si>
    <t>110014317201</t>
  </si>
  <si>
    <t>VERSANIA NOVA BOGOTA 125</t>
  </si>
  <si>
    <t>FABIAN RICARDO GUEVARA SANTAMARIA</t>
  </si>
  <si>
    <t>CALLE 125 #21 A 61. PISO 5 Y 6</t>
  </si>
  <si>
    <t>3102219830</t>
  </si>
  <si>
    <t>110013446201</t>
  </si>
  <si>
    <t>VIDA SEGURIDAD Y SALUD EN EL TRABAJO BOGOTA</t>
  </si>
  <si>
    <t>OSCAR JOSE DAZA MESTRE</t>
  </si>
  <si>
    <t>AK 45 # 109-06</t>
  </si>
  <si>
    <t>3166930844 - 6316588</t>
  </si>
  <si>
    <t>vidabogota@hotmail.com</t>
  </si>
  <si>
    <t>110012285702</t>
  </si>
  <si>
    <t>VIDAMEDICAL CALLE 100</t>
  </si>
  <si>
    <t>Marco Antonio Cárdenas Diaz</t>
  </si>
  <si>
    <t>Calle 102 Nº 50 - 69 Conjunto Ciien P.H. Local 3</t>
  </si>
  <si>
    <t>3143798985-3123567146</t>
  </si>
  <si>
    <t>coordinacion.calle100@vidamedicalips.com.co, calidad@vidamedicalips.com.co</t>
  </si>
  <si>
    <t>110014202701</t>
  </si>
  <si>
    <t>VIDERE S.A.S SIGLA VIDERE SAS</t>
  </si>
  <si>
    <t>NORMA CONSTANZA CARDENAS SANDOVAL</t>
  </si>
  <si>
    <t>CR 16 NO. 84 A - 09 CONSULTORIO 508</t>
  </si>
  <si>
    <t>3114989889</t>
  </si>
  <si>
    <t>videresas@gmail.com</t>
  </si>
  <si>
    <t>110013994601</t>
  </si>
  <si>
    <t>VIDSANCOL IPS</t>
  </si>
  <si>
    <t>BRAYAN DAVID FAJARDO GUIZA</t>
  </si>
  <si>
    <t>AV CR 19 95 55 OF 201</t>
  </si>
  <si>
    <t>3123771835</t>
  </si>
  <si>
    <t>vidsancol@soycontador.com</t>
  </si>
  <si>
    <t>110013806401</t>
  </si>
  <si>
    <t>VIP SALUD OCUPACIONAL SAS</t>
  </si>
  <si>
    <t>GINA ROCHA CHAWES</t>
  </si>
  <si>
    <t>CARRERA 28A #51-70 PISO 1</t>
  </si>
  <si>
    <t>9247086</t>
  </si>
  <si>
    <t>vipsaludocupacional@gmail.com</t>
  </si>
  <si>
    <t>110010952308</t>
  </si>
  <si>
    <t>VIRREY SOLIS I.P.S S.A SANTA LUCIA</t>
  </si>
  <si>
    <t>HENRY ALBERTO RIVEROS QUEVEDO</t>
  </si>
  <si>
    <t>AV CARACAS # 48 32 SUR</t>
  </si>
  <si>
    <t>4473535 EXT 278, 476, 248</t>
  </si>
  <si>
    <t>calidad@virreysolisips.com.co</t>
  </si>
  <si>
    <t>110010952310</t>
  </si>
  <si>
    <t>VIRREY SOLIS I.P.S S.A. AMERICAS</t>
  </si>
  <si>
    <t>AV LAS AMERICAS # 66 A 27 PISO 1 PISO 2 BLOQUE SUR</t>
  </si>
  <si>
    <t>110010952309</t>
  </si>
  <si>
    <t>VIRREY SOLIS I.P.S S.A. FONTIBON</t>
  </si>
  <si>
    <t>DG 16 N° 104-51 LOC 11</t>
  </si>
  <si>
    <t>110010952301</t>
  </si>
  <si>
    <t>VIRREY SOLIS I.P.S S.A. OLAYA</t>
  </si>
  <si>
    <t>CLL 27 SUR No 21 A 19</t>
  </si>
  <si>
    <t>4473535 EXT 278, 248, 246</t>
  </si>
  <si>
    <t>110010952315</t>
  </si>
  <si>
    <t>VIRREY SOLIS IPS S.A - CLINICA SUBA</t>
  </si>
  <si>
    <t>AC 145 # 95 B - 22</t>
  </si>
  <si>
    <t>110010952328</t>
  </si>
  <si>
    <t>VIRREY SOLIS IPS S.A CENTRO COMERCIAL NUESTRO BOGOTÁ</t>
  </si>
  <si>
    <t>Ak 86 No 55 A - 75 Lc 258 Cc Nuestro Bogota</t>
  </si>
  <si>
    <t>6014473535 EXT 278, 476, 248</t>
  </si>
  <si>
    <t>110010952313</t>
  </si>
  <si>
    <t>VIRREY SOLIS IPS S.A CHAPINERO</t>
  </si>
  <si>
    <t>AV CARACAS No 49 83</t>
  </si>
  <si>
    <t>110010952327</t>
  </si>
  <si>
    <t>VIRREY SOLIS IPS S.A GRAN PLAZA BOSA</t>
  </si>
  <si>
    <t>CL 65 SUR # 78 H 51 LC 210</t>
  </si>
  <si>
    <t>110010952322</t>
  </si>
  <si>
    <t>VIRREY SOLIS IPS S.A NORTHWEST</t>
  </si>
  <si>
    <t>AVENIDA CARRERA 45 N° 94- 23 PISOS DEL 3 AL 7</t>
  </si>
  <si>
    <t>110010952304</t>
  </si>
  <si>
    <t>VIRREY SOLIS IPS S.A- ENSUEÑO</t>
  </si>
  <si>
    <t>CL 59 SUR N° 51 - 21 LOCAL 244 Y 245</t>
  </si>
  <si>
    <t>110010952306</t>
  </si>
  <si>
    <t>VIRREY SOLIS IPS S.A-KENNEDY</t>
  </si>
  <si>
    <t>KR 78 F # 41 B 06 SUR</t>
  </si>
  <si>
    <t>110010952314</t>
  </si>
  <si>
    <t>VIRREY SOLIS IPS S.A. AUTOPISTA NORTE CALLE 162</t>
  </si>
  <si>
    <t>AK 45 (AUTOP NORTE) # 162 - 52</t>
  </si>
  <si>
    <t>110010952321</t>
  </si>
  <si>
    <t>VIRREY SOLIS IPS S.A. BOSA</t>
  </si>
  <si>
    <t>HENRY ALBERTO QUEVEDO</t>
  </si>
  <si>
    <t>AK 86 N° 43 - 04 SUR LC 35</t>
  </si>
  <si>
    <t>110010952326</t>
  </si>
  <si>
    <t>VIRREY SOLIS IPS SA COLINA CAMPESTRE</t>
  </si>
  <si>
    <t>CARRERA 59 # 152 - 25 LC 201</t>
  </si>
  <si>
    <t>110010952330</t>
  </si>
  <si>
    <t>VIRREY SOLIS IPS SA PASEO VILLA DEL RIO</t>
  </si>
  <si>
    <t>Henry Alberto Riveros Quevedo</t>
  </si>
  <si>
    <t>Carrera 63 N° 57 G 46 Sur Piso 3 LC 319-320</t>
  </si>
  <si>
    <t>110010952329</t>
  </si>
  <si>
    <t>VIRREY SOLIS IPS SA SÉPTIMA AVENIDA</t>
  </si>
  <si>
    <t>Cl 159 #7-74 Lc 3, 4 y 5</t>
  </si>
  <si>
    <t>110010952325</t>
  </si>
  <si>
    <t>VIRREY SOLIS IPS SA TOMA DE MUESTRAS L.C AMERICAS</t>
  </si>
  <si>
    <t>CARRERA 67 NO. 4 G 25</t>
  </si>
  <si>
    <t>110010952324</t>
  </si>
  <si>
    <t>VIRREY SOLIS IPS SA UMEQ CALLE 100</t>
  </si>
  <si>
    <t>CR 48 N° 98-81 PISO 3,4 Y 6</t>
  </si>
  <si>
    <t>1100109523</t>
  </si>
  <si>
    <t>VIRREY SOLIS IPS. S.A.</t>
  </si>
  <si>
    <t>SONIA ROCIO GROSSO PUENTES</t>
  </si>
  <si>
    <t>CRA 67 NO 4G 68</t>
  </si>
  <si>
    <t>4473535</t>
  </si>
  <si>
    <t>www.virreysolisips.com</t>
  </si>
  <si>
    <t>110010952312</t>
  </si>
  <si>
    <t>VIRREY SOLIS IPS. S.A. MINUTO</t>
  </si>
  <si>
    <t>CALLE 79 N ° 89 A 40 OF 301</t>
  </si>
  <si>
    <t>110010952317</t>
  </si>
  <si>
    <t>VIRREY SOLIS IPS.S.A. CALLE 98</t>
  </si>
  <si>
    <t>KR 49 No 98 A 28</t>
  </si>
  <si>
    <t>110010952318</t>
  </si>
  <si>
    <t>VIRREY SOLIS IPS.S.A. CASTELLANA</t>
  </si>
  <si>
    <t>AK 45 No. 93-69</t>
  </si>
  <si>
    <t>110014274501</t>
  </si>
  <si>
    <t>VISION DENTAL 3D SAS</t>
  </si>
  <si>
    <t>MIGUEL ANTONIO ALMENDRALES LLANES</t>
  </si>
  <si>
    <t>CARRERA 46 # 152 46 LOCAL 2-62</t>
  </si>
  <si>
    <t>3107269564</t>
  </si>
  <si>
    <t>GERENCIA@VISIONDENTAL3D.COM.CO</t>
  </si>
  <si>
    <t>110011964602</t>
  </si>
  <si>
    <t>VISION HOUSE</t>
  </si>
  <si>
    <t>CALLE 19 12 - 85 LOCAL 2</t>
  </si>
  <si>
    <t>megacentrodelavision@hotmail.com</t>
  </si>
  <si>
    <t>110012819201</t>
  </si>
  <si>
    <t>VISION MEDICA DE AMBULANCIAS SAS</t>
  </si>
  <si>
    <t>ROSA STELLA PAEZ VALBUENA</t>
  </si>
  <si>
    <t>CL 25 SUR # 69C 69 PISO 1- ENTRADA 1</t>
  </si>
  <si>
    <t>6013061090 3152235497</t>
  </si>
  <si>
    <t>visionmedicadeambulancias@gmail.com</t>
  </si>
  <si>
    <t>110013692201</t>
  </si>
  <si>
    <t>VISION TOTAL BOGOTA</t>
  </si>
  <si>
    <t>ANA PAOLA ZULETA OÑATE</t>
  </si>
  <si>
    <t>AK 70 108 93</t>
  </si>
  <si>
    <t>3102752089</t>
  </si>
  <si>
    <t>visiontotaleu@yahoo.es</t>
  </si>
  <si>
    <t>110013692202</t>
  </si>
  <si>
    <t>VISION TOTAL EL BUQUE</t>
  </si>
  <si>
    <t>JUAN SEBASTIAN MANCIPE MANCIPE</t>
  </si>
  <si>
    <t>CALLE 101 N° 17A - 59 PISO 1</t>
  </si>
  <si>
    <t>110013692203</t>
  </si>
  <si>
    <t>VISION TOTAL SERVICIOS ESPECIALIZADOS</t>
  </si>
  <si>
    <t>JUAN SEBASTIAN MANCIPE</t>
  </si>
  <si>
    <t>AK 19 NRO 100-28</t>
  </si>
  <si>
    <t>7894562</t>
  </si>
  <si>
    <t>110010748101</t>
  </si>
  <si>
    <t>VISIONIA BOSQUE</t>
  </si>
  <si>
    <t>ALFONSO MARIA UCROS</t>
  </si>
  <si>
    <t>CL 134 7 B 83 CS 307 AL 311, 313 AL 317 318 A 322</t>
  </si>
  <si>
    <t>5201001</t>
  </si>
  <si>
    <t>110010748105</t>
  </si>
  <si>
    <t>VISIONIA CALLE 97</t>
  </si>
  <si>
    <t>Alfonso Maria Ucros Cuellar</t>
  </si>
  <si>
    <t>CR 16 97 46 TO 2 P 6 ED TO 97</t>
  </si>
  <si>
    <t>5895424 EXT 5718260 - 3112348139</t>
  </si>
  <si>
    <t>110010748104</t>
  </si>
  <si>
    <t>VISIONIA LA CALLEJA</t>
  </si>
  <si>
    <t>CL 127 20-16 CS 504, 505, 506</t>
  </si>
  <si>
    <t>5895424 ext 5717918</t>
  </si>
  <si>
    <t>110010748102</t>
  </si>
  <si>
    <t>VISIONIA SALITRE</t>
  </si>
  <si>
    <t>CL 23 66 46 INT 4 CS 519, 603 AL 614, 617 Y 801</t>
  </si>
  <si>
    <t>5700811</t>
  </si>
  <si>
    <t>sfiguero@colsanitas.com</t>
  </si>
  <si>
    <t>110010748106</t>
  </si>
  <si>
    <t>VISIONIA TORRE KERALTY</t>
  </si>
  <si>
    <t>CL 125 No. 21 A - 60 P 1 Int 2</t>
  </si>
  <si>
    <t>6015895424</t>
  </si>
  <si>
    <t>110014024901</t>
  </si>
  <si>
    <t>VISIONTECH CLINIC</t>
  </si>
  <si>
    <t>LEIDY VIVIANA SEPULVEDA HIDALGO</t>
  </si>
  <si>
    <t>Calle 119 # 7 14 Consultorio 318</t>
  </si>
  <si>
    <t>300 5939286</t>
  </si>
  <si>
    <t>calidad@ageyecare.co</t>
  </si>
  <si>
    <t>110014024903</t>
  </si>
  <si>
    <t>VISIONTECH CLINIC - SANTA ANA 1</t>
  </si>
  <si>
    <t>JORGE AUGUSTO GOMEZ SILVA</t>
  </si>
  <si>
    <t>CALLE 119 # 7-14 CONSULTORIO 322</t>
  </si>
  <si>
    <t>3005939286</t>
  </si>
  <si>
    <t>110012509303</t>
  </si>
  <si>
    <t>VISIÓN COLOMBIA DIAGNÓSTICO</t>
  </si>
  <si>
    <t>CALLE 134 # 7-83 TORRE 1 PISO 6 CONSULTORIO 1</t>
  </si>
  <si>
    <t>3000930</t>
  </si>
  <si>
    <t>110012509305</t>
  </si>
  <si>
    <t>VISIÓN COLOMBIA TEUSAQUILLO</t>
  </si>
  <si>
    <t>Calle 36 # 16 - 57</t>
  </si>
  <si>
    <t>gerenciacomercial@visioncolombia.com</t>
  </si>
  <si>
    <t>110013851401</t>
  </si>
  <si>
    <t>VISUAL HOUSE ORTOPTICA</t>
  </si>
  <si>
    <t>Katherine Viviana Barrera Suárez</t>
  </si>
  <si>
    <t>Ak 20 78 30 Lc 61</t>
  </si>
  <si>
    <t>3124320602</t>
  </si>
  <si>
    <t>vhortoptica@gmail.com</t>
  </si>
  <si>
    <t>110013851402</t>
  </si>
  <si>
    <t>VISUAL HOUSE ORTOPTICA SUR</t>
  </si>
  <si>
    <t>Andrea Nicol Zea Vargas</t>
  </si>
  <si>
    <t>Ac 13 65 21 Lc 13 Y 14 B</t>
  </si>
  <si>
    <t>1100105200</t>
  </si>
  <si>
    <t>VISUAL POINT S.A.S</t>
  </si>
  <si>
    <t>BARBOSA RAMIREZ DAVID HERNANDO</t>
  </si>
  <si>
    <t>AV CRA 68 # 90 - 88 Lc 2-054 - Barrio:FLORESTA</t>
  </si>
  <si>
    <t>www.visualpoint.com</t>
  </si>
  <si>
    <t>110013667301</t>
  </si>
  <si>
    <t>VITA MEDICAL IPS SAS - VITAMED IPS SAS</t>
  </si>
  <si>
    <t>LOIDA AURORA MORALES POPAYAN</t>
  </si>
  <si>
    <t>CR 64 A # 4 G - 77 P 1</t>
  </si>
  <si>
    <t>3132092326 - 3216615293 - 3104160388</t>
  </si>
  <si>
    <t>vitamedips@gmail.com</t>
  </si>
  <si>
    <t>110014284701</t>
  </si>
  <si>
    <t>VITAL AGE S.A.S</t>
  </si>
  <si>
    <t>Claudia Cristina Novo Oliveira</t>
  </si>
  <si>
    <t>Diagonal 115 A 60 35</t>
  </si>
  <si>
    <t>110012989101</t>
  </si>
  <si>
    <t>VITAL DRA. ALIA SANTANA</t>
  </si>
  <si>
    <t>ALIA HELENA SANTANA BRAIDY</t>
  </si>
  <si>
    <t>AVENIDA CARRERA 15 # 93 60 LOCAL 1-14</t>
  </si>
  <si>
    <t>6169067</t>
  </si>
  <si>
    <t>aliahelena@hotmail.com</t>
  </si>
  <si>
    <t>110011537501</t>
  </si>
  <si>
    <t>VITAL LIFE SAS</t>
  </si>
  <si>
    <t>ALIX ROCIO RUIZ BELLO</t>
  </si>
  <si>
    <t>CALLE 102 A NO. 70G-19 y 70G-21</t>
  </si>
  <si>
    <t>2719676 - 7579602-7429502 -2269505 - 2269506</t>
  </si>
  <si>
    <t>alixrruiz-bello@hotmail.com</t>
  </si>
  <si>
    <t>110013212102</t>
  </si>
  <si>
    <t>VITAL VISION</t>
  </si>
  <si>
    <t>CALLE 42 C SUR N° 78 H - 02</t>
  </si>
  <si>
    <t>3016539802</t>
  </si>
  <si>
    <t>110010571102</t>
  </si>
  <si>
    <t>VITALEA 109</t>
  </si>
  <si>
    <t>CL 109 No. 15-91</t>
  </si>
  <si>
    <t>110010571125</t>
  </si>
  <si>
    <t>VITALEA 117</t>
  </si>
  <si>
    <t>Calle 117 # 6A - 60 Local 101 Edificio Flormorado Empresarial P.H.</t>
  </si>
  <si>
    <t>110010571119</t>
  </si>
  <si>
    <t>VITALEA 82</t>
  </si>
  <si>
    <t>ALICIA CUMANDA NARVAEZ CORDOVA</t>
  </si>
  <si>
    <t>KR 15 # 81 30 INT 2</t>
  </si>
  <si>
    <t>110010571121</t>
  </si>
  <si>
    <t>VITALEA 93</t>
  </si>
  <si>
    <t>Carrera 11# 93A-30 Local 101</t>
  </si>
  <si>
    <t>110010571129</t>
  </si>
  <si>
    <t>VITALEA CEDRITOS</t>
  </si>
  <si>
    <t>Avenida Carrera 19 139 35</t>
  </si>
  <si>
    <t>6017435519 - 3173836592</t>
  </si>
  <si>
    <t>110010571126</t>
  </si>
  <si>
    <t>VITALEA NIZA</t>
  </si>
  <si>
    <t>TRANSVERSAL 60 128 88</t>
  </si>
  <si>
    <t>110010571128</t>
  </si>
  <si>
    <t>VITALEA RESTREPO</t>
  </si>
  <si>
    <t>CARRERA 18 #18-60SUR</t>
  </si>
  <si>
    <t>6017435519</t>
  </si>
  <si>
    <t>110010571123</t>
  </si>
  <si>
    <t>VITALEA SALITRE</t>
  </si>
  <si>
    <t>AVENIDA CALLE 24 69B 53</t>
  </si>
  <si>
    <t>110012280701</t>
  </si>
  <si>
    <t>VITALEM IPS SAS</t>
  </si>
  <si>
    <t>NOLBIS YULEIDY BALAMBA CRUZ</t>
  </si>
  <si>
    <t>CRA 23 137 57</t>
  </si>
  <si>
    <t>8052448</t>
  </si>
  <si>
    <t>vitalemips@gmail.com</t>
  </si>
  <si>
    <t>110013856001</t>
  </si>
  <si>
    <t>VITALIP MEDICAL GROUP IPS SAS</t>
  </si>
  <si>
    <t>MARTHA CECILIA CARABALI GARZON</t>
  </si>
  <si>
    <t>CL 96 # 12 65 CS 610</t>
  </si>
  <si>
    <t>3118046000</t>
  </si>
  <si>
    <t>vitalipmedicalgroupipssas@gmail.com</t>
  </si>
  <si>
    <t>110013894501</t>
  </si>
  <si>
    <t>VITALITAT CLINIC S.A.S</t>
  </si>
  <si>
    <t>NATALIA ISABEL CARVAJAL AMAYA</t>
  </si>
  <si>
    <t>Avenida Calle 127 # 14 - 54 Oficina 302 E</t>
  </si>
  <si>
    <t>3222011277</t>
  </si>
  <si>
    <t>carvajalnati@gmail.com</t>
  </si>
  <si>
    <t>110013832901</t>
  </si>
  <si>
    <t>VITALIZARTE</t>
  </si>
  <si>
    <t>SANDRA MILENA HERNANDEZ MARTINEZ</t>
  </si>
  <si>
    <t>CALLE 140 #11-45 OF 516 EDIFICIO HHC</t>
  </si>
  <si>
    <t>3156702239</t>
  </si>
  <si>
    <t>vitalizarte@outlook.com</t>
  </si>
  <si>
    <t>110011908612</t>
  </si>
  <si>
    <t>VIVA 1 A IPS CALLE 118</t>
  </si>
  <si>
    <t>Javier Leonardo Delgadillo Acevedo</t>
  </si>
  <si>
    <t>CR 45 Nº 118 - 59 PISOS 1,2,3,4,5,6</t>
  </si>
  <si>
    <t>3166921163</t>
  </si>
  <si>
    <t>jbarrantes@viva1a.com.co</t>
  </si>
  <si>
    <t>110011908621</t>
  </si>
  <si>
    <t>VIVA 1 A IPS CHAPINERO</t>
  </si>
  <si>
    <t>CR 7 NO. 55 37</t>
  </si>
  <si>
    <t>110011908614</t>
  </si>
  <si>
    <t>VIVA 1 A IPS SANTA MARIA DEL LAGO</t>
  </si>
  <si>
    <t>Sandra Rozo Mateus</t>
  </si>
  <si>
    <t>Calle 73 A N° 76 - 06</t>
  </si>
  <si>
    <t>3152035783</t>
  </si>
  <si>
    <t>srozo@viva1a.com.co</t>
  </si>
  <si>
    <t>110011908622</t>
  </si>
  <si>
    <t>VIVA 1 A IPS VENECIA</t>
  </si>
  <si>
    <t>CL 44 BIS A SUR NO. 68 B 24</t>
  </si>
  <si>
    <t>110011908615</t>
  </si>
  <si>
    <t>VIVA 1A IPS ALQUERIA</t>
  </si>
  <si>
    <t>Avenida Carrera 68 N° 39 - 11 Sur</t>
  </si>
  <si>
    <t>3174410722</t>
  </si>
  <si>
    <t>110011908611</t>
  </si>
  <si>
    <t>VIVA 1A IPS AVENIDA EL DORADO</t>
  </si>
  <si>
    <t>AV Calle 26 No. 31 A - 35 PISOS 1,2,3,4,7</t>
  </si>
  <si>
    <t>3154449708</t>
  </si>
  <si>
    <t>jdelgadillo@viva1a.com.co</t>
  </si>
  <si>
    <t>110011908618</t>
  </si>
  <si>
    <t>VIVA 1A IPS BARRIOS UNIDOS</t>
  </si>
  <si>
    <t>Carrera 30 N° 63 F - 29</t>
  </si>
  <si>
    <t>3183364555</t>
  </si>
  <si>
    <t>110011908624</t>
  </si>
  <si>
    <t>VIVA 1A IPS CHAPINERO CALLE 52</t>
  </si>
  <si>
    <t>CR 14 NO. 52 31</t>
  </si>
  <si>
    <t>3186744085</t>
  </si>
  <si>
    <t>110011908623</t>
  </si>
  <si>
    <t>VIVA 1A IPS IBERIA</t>
  </si>
  <si>
    <t>CR 58 NO. 129 B 34</t>
  </si>
  <si>
    <t>110011908616</t>
  </si>
  <si>
    <t>VIVA 1A IPS KENNEDY</t>
  </si>
  <si>
    <t>Carrera 78 D N° 40 - 25 Sur</t>
  </si>
  <si>
    <t>3183532831</t>
  </si>
  <si>
    <t>110011908604</t>
  </si>
  <si>
    <t>VIVA 1A IPS LAS AMERICAS</t>
  </si>
  <si>
    <t>AVENIDA LAS AMERICAS No 61-43</t>
  </si>
  <si>
    <t>3175030766</t>
  </si>
  <si>
    <t>110011908606</t>
  </si>
  <si>
    <t>VIVA 1A IPS MARLY</t>
  </si>
  <si>
    <t>calle 49 N° 13 -61</t>
  </si>
  <si>
    <t>3155783006</t>
  </si>
  <si>
    <t>110011908626</t>
  </si>
  <si>
    <t>VIVA 1A IPS OLAYA AVENIDA CARACAS</t>
  </si>
  <si>
    <t>JEAN PIERRE BARRANTES MOGOLLON</t>
  </si>
  <si>
    <t>Cra 14 # 22 - 41 SUR</t>
  </si>
  <si>
    <t>110011908619</t>
  </si>
  <si>
    <t>VIVA 1A IPS PRIMAVERA</t>
  </si>
  <si>
    <t>CALLE 80 N° 89 A 40 P 3</t>
  </si>
  <si>
    <t>3183301769</t>
  </si>
  <si>
    <t>110011908625</t>
  </si>
  <si>
    <t>VIVA 1A IPS PUENTE ARANDA</t>
  </si>
  <si>
    <t>AK 50 15 15</t>
  </si>
  <si>
    <t>110011908617</t>
  </si>
  <si>
    <t>VIVA 1A IPS RESTREPO</t>
  </si>
  <si>
    <t>Cra 22 # 14-43 SUR</t>
  </si>
  <si>
    <t>3178940713</t>
  </si>
  <si>
    <t>110011908601</t>
  </si>
  <si>
    <t>VIVA 1A IPS SUBA</t>
  </si>
  <si>
    <t>CALLE 145 # 103B-69 PISO4</t>
  </si>
  <si>
    <t>3176194018</t>
  </si>
  <si>
    <t>110011908607</t>
  </si>
  <si>
    <t>VIVA 1A IPS TOBERIN</t>
  </si>
  <si>
    <t>AC 161 No.20-76</t>
  </si>
  <si>
    <t>3185481177</t>
  </si>
  <si>
    <t>110011908610</t>
  </si>
  <si>
    <t>VIVA 1A LABORATORIO</t>
  </si>
  <si>
    <t>SIMÓN DIAZ RENGIFO</t>
  </si>
  <si>
    <t>CRA 21 # 166 - 42</t>
  </si>
  <si>
    <t>3173005813</t>
  </si>
  <si>
    <t>sdiaz@viva1a.com.co</t>
  </si>
  <si>
    <t>110013883301</t>
  </si>
  <si>
    <t>VIVALITI COLOMBIA SAS</t>
  </si>
  <si>
    <t>FEDERICO ESCOBAR JARAMILLO</t>
  </si>
  <si>
    <t>Carrera 15 88 64 Oficina 718-5</t>
  </si>
  <si>
    <t>3133565545</t>
  </si>
  <si>
    <t>gerencia@vivalio.com.co</t>
  </si>
  <si>
    <t>110011643901</t>
  </si>
  <si>
    <t>VIVEMAX IPS</t>
  </si>
  <si>
    <t>1100105800</t>
  </si>
  <si>
    <t>VIVIR IPS SAS</t>
  </si>
  <si>
    <t>MORELO VERGEL ALVARO</t>
  </si>
  <si>
    <t>CARRERA 10 NUMERO 26-34 SUR</t>
  </si>
  <si>
    <t>3164920501</t>
  </si>
  <si>
    <t>calidadycontrol@vivirips.com</t>
  </si>
  <si>
    <t>110010580001</t>
  </si>
  <si>
    <t>VIVIR IPS SAS COUNTRY SUR</t>
  </si>
  <si>
    <t>MARIA CLEMENCIA GALVIS OCAMPO</t>
  </si>
  <si>
    <t>1100119137</t>
  </si>
  <si>
    <t>VOILA IPS SAS</t>
  </si>
  <si>
    <t>HUMBERTO DE JESUS GOMEZ ROMERO</t>
  </si>
  <si>
    <t>AV CARRERA 60 N 44 - B 38 PISO 1</t>
  </si>
  <si>
    <t>2213066</t>
  </si>
  <si>
    <t>coormedellin@voilaips.com</t>
  </si>
  <si>
    <t>110014115401</t>
  </si>
  <si>
    <t>VOLUT SAS</t>
  </si>
  <si>
    <t>GUSTAVO ADOLFO MORALES JIMENEZ</t>
  </si>
  <si>
    <t>AV CRA 7 No. 127 - 48 OFICINA 708</t>
  </si>
  <si>
    <t>3116382845</t>
  </si>
  <si>
    <t>tafymorales@yahoo.com</t>
  </si>
  <si>
    <t>110013492701</t>
  </si>
  <si>
    <t>Vamos Salud IPS SAS</t>
  </si>
  <si>
    <t>Erika Fernanda Mendez Chavez</t>
  </si>
  <si>
    <t>AK 80 No 55A SUR 20 LC 13,14,15</t>
  </si>
  <si>
    <t>5477650 - 3138015944</t>
  </si>
  <si>
    <t>vamos.saludips@gmail.com</t>
  </si>
  <si>
    <t>110012746601</t>
  </si>
  <si>
    <t>Vita</t>
  </si>
  <si>
    <t>Byron Cardozo Medina</t>
  </si>
  <si>
    <t>CL 134 Nº 7-83 CS 252 -254</t>
  </si>
  <si>
    <t>6263712</t>
  </si>
  <si>
    <t>vitafertilidad@gmail.com</t>
  </si>
  <si>
    <t>1100119086</t>
  </si>
  <si>
    <t>Viva 1A IPS SA</t>
  </si>
  <si>
    <t>CATERIN MUÑOZ DAZA</t>
  </si>
  <si>
    <t>CL 145 # 103B-69 PISO4</t>
  </si>
  <si>
    <t>6843508</t>
  </si>
  <si>
    <t>mgeorge@viva1a.com.co</t>
  </si>
  <si>
    <t>www.viva1a.com.co</t>
  </si>
  <si>
    <t>110013998401</t>
  </si>
  <si>
    <t>WEDENT</t>
  </si>
  <si>
    <t>VALERIA CASTRO JIMENEZ</t>
  </si>
  <si>
    <t>CR 13 #93-12 OF 201-202-203-204</t>
  </si>
  <si>
    <t>3157092498-3058899812</t>
  </si>
  <si>
    <t>calidad@wedent.co</t>
  </si>
  <si>
    <t>110013132806</t>
  </si>
  <si>
    <t>WELL:DONE</t>
  </si>
  <si>
    <t>FREDDY ANDRÉS BELTRÁN BLANCO</t>
  </si>
  <si>
    <t>Calle 126 # 7C-82</t>
  </si>
  <si>
    <t>110014112601</t>
  </si>
  <si>
    <t>WELLNESS HEALTH CUIDADO DE PIEL</t>
  </si>
  <si>
    <t>NIDIA JUDITH LEMUS MOLINA</t>
  </si>
  <si>
    <t>CR 13 A NO. 29 - 26 LC 127</t>
  </si>
  <si>
    <t>wellnesshealthips24@gmail.com</t>
  </si>
  <si>
    <t>110013701201</t>
  </si>
  <si>
    <t>WIZZ LIFE SAS</t>
  </si>
  <si>
    <t>AV CRA 15 88-64 OF 413</t>
  </si>
  <si>
    <t>2885320</t>
  </si>
  <si>
    <t>diego@wizz.life</t>
  </si>
  <si>
    <t>110014199801</t>
  </si>
  <si>
    <t>WORKERS MEDICINA LABORAL S.A.S.</t>
  </si>
  <si>
    <t>NATALIA RAMIREZ USME</t>
  </si>
  <si>
    <t>Calle 114 A 45 32 Consultorio 206</t>
  </si>
  <si>
    <t>3182358028</t>
  </si>
  <si>
    <t>direccion@workers-sst.com</t>
  </si>
  <si>
    <t>110012093701</t>
  </si>
  <si>
    <t>WORLD MEDICAL CENTER</t>
  </si>
  <si>
    <t>Oscar Eduardo Cordoba Arce</t>
  </si>
  <si>
    <t>CL 98 # 9A 46 PI 2 OF 201</t>
  </si>
  <si>
    <t>6369722</t>
  </si>
  <si>
    <t>orcamoni11@hotmail.com</t>
  </si>
  <si>
    <t>110012312702</t>
  </si>
  <si>
    <t>WOXEL</t>
  </si>
  <si>
    <t>ANIBAL GARCIA</t>
  </si>
  <si>
    <t>AK 19 # 95-20 OF 1007</t>
  </si>
  <si>
    <t>2872165 - 3013629516</t>
  </si>
  <si>
    <t>dcsandovale@gmail.com</t>
  </si>
  <si>
    <t>1100117760</t>
  </si>
  <si>
    <t>YEBER SAS</t>
  </si>
  <si>
    <t>www.clinicadentalsantabarbara.com</t>
  </si>
  <si>
    <t>110012881701</t>
  </si>
  <si>
    <t>ZADA SALUD OCUPACIONAL SAS</t>
  </si>
  <si>
    <t>SORAYA KATHERINE ZAPATA DAZA</t>
  </si>
  <si>
    <t>KR 64 # 97 63</t>
  </si>
  <si>
    <t>5729775 - 3203643035</t>
  </si>
  <si>
    <t>zadasaludocupacionalsas@gmail.com</t>
  </si>
  <si>
    <t>110014024902</t>
  </si>
  <si>
    <t>ZEISS VISION CENTER BY A.G EYE CARE PROFESSIONALS</t>
  </si>
  <si>
    <t>Cra 15 # 124 30 Local 1 -066 CONS 1</t>
  </si>
  <si>
    <t>3005939285</t>
  </si>
  <si>
    <t>110010345001</t>
  </si>
  <si>
    <t>ZEPHIA 1A</t>
  </si>
  <si>
    <t>ANDREA CAROLINA OROZCO CASTAÑO</t>
  </si>
  <si>
    <t>110011772906</t>
  </si>
  <si>
    <t>ZONAMEDICA AVENIDA 68</t>
  </si>
  <si>
    <t>Hernando Andres Medina Rodriguez</t>
  </si>
  <si>
    <t>Avenida Calle 17 65 B 90 Local 3</t>
  </si>
  <si>
    <t>3214256063</t>
  </si>
  <si>
    <t>habilitacion@zonamedicaips.com</t>
  </si>
  <si>
    <t>110011772904</t>
  </si>
  <si>
    <t>ZONAMEDICA CRC SAN RAFAEL</t>
  </si>
  <si>
    <t>HERNANDO ANDRES MEDINA RODRIGUEZ</t>
  </si>
  <si>
    <t>Avenida Calle 134 55 32 Local S1 - L1</t>
  </si>
  <si>
    <t>1100117729</t>
  </si>
  <si>
    <t>ZONAMEDICA MR SAS</t>
  </si>
  <si>
    <t>AK 28 n. 41-36 - Barrio:La Soledad</t>
  </si>
  <si>
    <t>7514626 - 3214256063</t>
  </si>
  <si>
    <t>zonamedica.ips@gmail.com</t>
  </si>
  <si>
    <t>110011772905</t>
  </si>
  <si>
    <t>ZONAMEDICA SEDE AMERICAS</t>
  </si>
  <si>
    <t>AC 9 # 62 84 LC L2-13 L2-14 L2-15</t>
  </si>
  <si>
    <t>110011772902</t>
  </si>
  <si>
    <t>ZONAMEDICA SEDE NORTE</t>
  </si>
  <si>
    <t>HERNANDO ANDRÉS MEDINA RODRIGUEZ</t>
  </si>
  <si>
    <t>Cra 45 No 105 - 21</t>
  </si>
  <si>
    <t>subgerencia@zonamedicaips.com</t>
  </si>
  <si>
    <t>110011772903</t>
  </si>
  <si>
    <t>ZONAMEDICA SEDE SOLEDAD</t>
  </si>
  <si>
    <t>AK 28 n. 41-36</t>
  </si>
  <si>
    <t>7514626 -3214256063</t>
  </si>
  <si>
    <t>110012247001</t>
  </si>
  <si>
    <t>aerosanidad sas</t>
  </si>
  <si>
    <t>Juan Carlos López Builes</t>
  </si>
  <si>
    <t>CR 28A #71-94 PISO 1</t>
  </si>
  <si>
    <t>3507256387</t>
  </si>
  <si>
    <t>gerencia@aerosanidadsas.com</t>
  </si>
  <si>
    <t>110013369901</t>
  </si>
  <si>
    <t>analisis y diagnostico en laboratorio sas</t>
  </si>
  <si>
    <t>manuela gomez ortega</t>
  </si>
  <si>
    <t>Avenida carrera 19 95 31 Oficina 902 - 903- 904 - 905</t>
  </si>
  <si>
    <t>3126594180</t>
  </si>
  <si>
    <t>contactenos@laboratorioadl.com</t>
  </si>
  <si>
    <t>110012455201</t>
  </si>
  <si>
    <t>centro de atencion pulmonar respiremos S.A.S /CAP respiremos S.A.S</t>
  </si>
  <si>
    <t>LILIANA MARIA CAMPOS SAAB</t>
  </si>
  <si>
    <t>Cra 15 N° 118 - 41 consltorio 511 Unidad Medica Guadalimar</t>
  </si>
  <si>
    <t>3107630637</t>
  </si>
  <si>
    <t>lilianamcampos70@yahoo.com</t>
  </si>
  <si>
    <t>110013909901</t>
  </si>
  <si>
    <t>clinica de especialistas en salud Mafra s.a.s</t>
  </si>
  <si>
    <t>DIANA CAROLINA BELTRAN TIBAMBRE</t>
  </si>
  <si>
    <t>calle 9 37-07 local 222 centro comercial PROVICENTRO</t>
  </si>
  <si>
    <t>6015727655</t>
  </si>
  <si>
    <t>CLINICASMAFRA@CLINICASMAFRA.COM</t>
  </si>
  <si>
    <t>110012238001</t>
  </si>
  <si>
    <t>clinica odontologica aydent s.a.s</t>
  </si>
  <si>
    <t>diana yelitza usme pardo</t>
  </si>
  <si>
    <t>carrera 90 N 69 a 27.</t>
  </si>
  <si>
    <t>4383039</t>
  </si>
  <si>
    <t>clinicaodontologicaaydent@hotmail.com</t>
  </si>
  <si>
    <t>110011823301</t>
  </si>
  <si>
    <t>clinica orthoespecialistas chico</t>
  </si>
  <si>
    <t>jorge hernan ramirez</t>
  </si>
  <si>
    <t>KR16 #96-64 CS 307</t>
  </si>
  <si>
    <t>57(1)6369521</t>
  </si>
  <si>
    <t>110010199002</t>
  </si>
  <si>
    <t>corporacion sindorme de down</t>
  </si>
  <si>
    <t>Luz Eugenia Garcia de Galindo</t>
  </si>
  <si>
    <t>carrera 57 c N 128-03</t>
  </si>
  <si>
    <t>6241873</t>
  </si>
  <si>
    <t>ingreso@corporacionsindromededown.org</t>
  </si>
  <si>
    <t>110011778601</t>
  </si>
  <si>
    <t>depile e</t>
  </si>
  <si>
    <t>cr 7 no 115-60 lc B106</t>
  </si>
  <si>
    <t>110013852601</t>
  </si>
  <si>
    <t>enfermeras un compromiso sas</t>
  </si>
  <si>
    <t>viviana paola clavijo salas</t>
  </si>
  <si>
    <t>carrera 19 84 41 of 401</t>
  </si>
  <si>
    <t>3017625242</t>
  </si>
  <si>
    <t>gerencia@enfermeras.co</t>
  </si>
  <si>
    <t>110010193501</t>
  </si>
  <si>
    <t>fundacion liga central contra la epilepsia</t>
  </si>
  <si>
    <t>JULIETA HERNANDEZ DE CASTAÑO</t>
  </si>
  <si>
    <t>Cl 35 Número 17-48 PISO 1</t>
  </si>
  <si>
    <t>110012167802</t>
  </si>
  <si>
    <t>fundacion para la atención integral de niños y niñas con habilidades y necesidades especiales.SURCOS</t>
  </si>
  <si>
    <t>Calle 62 # 45-35 piso 1</t>
  </si>
  <si>
    <t>3158004464</t>
  </si>
  <si>
    <t>110012167601</t>
  </si>
  <si>
    <t>hair doctors &amp; hair health S.A.S</t>
  </si>
  <si>
    <t>Sergio Gabriel Camacho Ospina</t>
  </si>
  <si>
    <t>calle 108 # 17 a 68</t>
  </si>
  <si>
    <t>4779152</t>
  </si>
  <si>
    <t>drcamacho@hairdoctors.com.co</t>
  </si>
  <si>
    <t>110012909001</t>
  </si>
  <si>
    <t>healthy skin SAS</t>
  </si>
  <si>
    <t>Jaime Sanhez Cortes</t>
  </si>
  <si>
    <t>transversl 83 bis # 72 35</t>
  </si>
  <si>
    <t>4365601-3134362185</t>
  </si>
  <si>
    <t>medicinahs@gmail.com</t>
  </si>
  <si>
    <t>1100118296</t>
  </si>
  <si>
    <t>instituto llorente medicina preventiva ltda</t>
  </si>
  <si>
    <t>JORGE ENRIQUE LLORENTE PEREZ</t>
  </si>
  <si>
    <t>Diagonal 54 # 16 A 10</t>
  </si>
  <si>
    <t>inst.llorente@gmail.com</t>
  </si>
  <si>
    <t>110013010901</t>
  </si>
  <si>
    <t>medicina, salud y seguridad en el trabajo de colombia sas - Medyscol</t>
  </si>
  <si>
    <t>ALVARO ZULUAGA RUSSY</t>
  </si>
  <si>
    <t>CALLE 168 NO. 20 - 59 LOCAL 1</t>
  </si>
  <si>
    <t>5253313 - 3006907070</t>
  </si>
  <si>
    <t>contactenos@medyscol.com</t>
  </si>
  <si>
    <t>110012587201</t>
  </si>
  <si>
    <t>odontologia estetica s &amp; a sas</t>
  </si>
  <si>
    <t>angela patricia aristizabal castellanos</t>
  </si>
  <si>
    <t>carrera 20 numero 53 -10 Local 201</t>
  </si>
  <si>
    <t>3115323265</t>
  </si>
  <si>
    <t>angelaaristizabal605@hotmail.com</t>
  </si>
  <si>
    <t>110012991201</t>
  </si>
  <si>
    <t>ortoclinical s.a.s</t>
  </si>
  <si>
    <t>fredy arles calderon rodriguez</t>
  </si>
  <si>
    <t>cra 19 d numero 64-09 sur piso 2</t>
  </si>
  <si>
    <t>110013829601</t>
  </si>
  <si>
    <t>servicios medicos prioritarios sas</t>
  </si>
  <si>
    <t>NOVOA VELASCO GIOVANNI</t>
  </si>
  <si>
    <t>cra 95 N 146a - 31</t>
  </si>
  <si>
    <t>3016572232</t>
  </si>
  <si>
    <t>info@serviciosmedicosprioritarios.com</t>
  </si>
  <si>
    <t>1100113132</t>
  </si>
  <si>
    <t>smile quality clinica odontologica especializada sas, sigla smile quality sas</t>
  </si>
  <si>
    <t>MARGARITA MARIA RAMIREZ GIRALDO</t>
  </si>
  <si>
    <t>CALLE 123 Nº 7A 17 oficina 201</t>
  </si>
  <si>
    <t>https://SMILEQUALITYSAS</t>
  </si>
  <si>
    <t>110012209101</t>
  </si>
  <si>
    <t>soluciones diagnosticas 3d</t>
  </si>
  <si>
    <t>calle 23 b n 68 c 40 local 4</t>
  </si>
  <si>
    <t>2951288</t>
  </si>
  <si>
    <t>1100117711</t>
  </si>
  <si>
    <t>unidad medica rafha sas</t>
  </si>
  <si>
    <t>JOSE URIEL NIÑO MENDIVELSO</t>
  </si>
  <si>
    <t>KR 110 # 70 A 46</t>
  </si>
  <si>
    <t>4345234-3124136902</t>
  </si>
  <si>
    <t>rafhamedica@hotmail.com</t>
  </si>
  <si>
    <t>110011507022</t>
  </si>
  <si>
    <t>ÓPTICA UNIVER ENSUEÑO</t>
  </si>
  <si>
    <t>Álvaro Francisco Ribero Cadena</t>
  </si>
  <si>
    <t>CL 59 SUR NO. 51 21 LC 250 CC GRAN PLAZA EL ENSUEÑO</t>
  </si>
  <si>
    <t>110012674016</t>
  </si>
  <si>
    <t>ÓPTICAS A&amp;A .</t>
  </si>
  <si>
    <t>LUZ ÁNGELA GÓMEZ ESCAMILLA</t>
  </si>
  <si>
    <t>CARRERA 14 # 75 - 18 SUR PISO 1</t>
  </si>
  <si>
    <t>7029830</t>
  </si>
  <si>
    <t>110011636930</t>
  </si>
  <si>
    <t>ÓPTICAS GMO COLOMBIA S.A.S.</t>
  </si>
  <si>
    <t>CL 185 N° 45 03 Lc N1 -188</t>
  </si>
  <si>
    <t>110010559725</t>
  </si>
  <si>
    <t>Óptica Cafam Floresta</t>
  </si>
  <si>
    <t>Av. Cra. 68 No. 90-88 Cafam Floresta Mundo Comercial Local 10-13</t>
  </si>
  <si>
    <t>110010559739</t>
  </si>
  <si>
    <t>Óptica Cafam Floresta 360</t>
  </si>
  <si>
    <t>Av. Carrera 68 No.90-88 Cafam Centro comercial local 1-034</t>
  </si>
  <si>
    <t>5550700 ext 12017 3902612 Opc 2</t>
  </si>
  <si>
    <t>110011636934</t>
  </si>
  <si>
    <t>Ópticas GMO Colombia S.A.S</t>
  </si>
  <si>
    <t>CL 19 A NO. 72 57 LC A - 166</t>
  </si>
  <si>
    <t>1100140001</t>
  </si>
  <si>
    <t>A&amp;E SALUD (ASESORIA Y ESTRATEGIA EN SALUD) S A S</t>
  </si>
  <si>
    <t>Calle 125 #21A-18 Piso 2 Oficina 205 Edificio Forma 97</t>
  </si>
  <si>
    <t>3104980495</t>
  </si>
  <si>
    <t>https://am1.myprofessionalmail.com/</t>
  </si>
  <si>
    <t>B · Con canal (sin gerente)</t>
  </si>
  <si>
    <t>1100141317</t>
  </si>
  <si>
    <t>AC INVERSA S.A.S</t>
  </si>
  <si>
    <t>AVENIDA CALLE 127 # 19 A 62 OFICINA 506</t>
  </si>
  <si>
    <t>1100126767</t>
  </si>
  <si>
    <t>ACOFOR LASER SAS</t>
  </si>
  <si>
    <t>6297355 - 6297352 - 6203603</t>
  </si>
  <si>
    <t>www.janethacosta.gov.co</t>
  </si>
  <si>
    <t>1100138219</t>
  </si>
  <si>
    <t>ACOUSTIC SYSTEM S.A.S</t>
  </si>
  <si>
    <t>CALLE 97 23-37 CONSULTORIO 520, 606, 607</t>
  </si>
  <si>
    <t>5316000</t>
  </si>
  <si>
    <t>https://www.acousticsystem.com</t>
  </si>
  <si>
    <t>1100142782</t>
  </si>
  <si>
    <t>ADRIANA MEDINA ODONTOLOGÍA S.A.S</t>
  </si>
  <si>
    <t>110010175101</t>
  </si>
  <si>
    <t>AF MEDICINA DEPORTIVA</t>
  </si>
  <si>
    <t>9320283/3112456011</t>
  </si>
  <si>
    <t>1100140249</t>
  </si>
  <si>
    <t>AG EYE CARE PROFESSIONALS SAS</t>
  </si>
  <si>
    <t>300-5939286</t>
  </si>
  <si>
    <t>https://www.zeissvisioncenter.com/es_co/unicentro-bogota.html</t>
  </si>
  <si>
    <t>1100138902</t>
  </si>
  <si>
    <t>AI-RAD S.A.S</t>
  </si>
  <si>
    <t>CARRERA 48 #165-46 To 1 Of 504</t>
  </si>
  <si>
    <t>https://Airad.com</t>
  </si>
  <si>
    <t>1100135619</t>
  </si>
  <si>
    <t>AIR LIQUIDE COLOMBIA SAS</t>
  </si>
  <si>
    <t>CR. 7 NO. 113 43 OF 902 TO SAMSUNG</t>
  </si>
  <si>
    <t>1100117922</t>
  </si>
  <si>
    <t>ALIANZA EXAMENES EMPRESARIALES OCUPACIONALES Y SERVICIOS MEDICOS LTDA</t>
  </si>
  <si>
    <t>3837677</t>
  </si>
  <si>
    <t>110011044701</t>
  </si>
  <si>
    <t>ALTA VISION</t>
  </si>
  <si>
    <t>Cr 16 A 80 - 06 Of 701</t>
  </si>
  <si>
    <t>6164585</t>
  </si>
  <si>
    <t>1100110447</t>
  </si>
  <si>
    <t>ALTA VISION SAS</t>
  </si>
  <si>
    <t>doviedo@altavision.com.co</t>
  </si>
  <si>
    <t>1100121994</t>
  </si>
  <si>
    <t>ALVARADO RODRIGUEZ ARENAS ORTODONCISTAS ASOCIADOS SAS</t>
  </si>
  <si>
    <t>KR. 53 No. 45A-06 SUR</t>
  </si>
  <si>
    <t>1100134118</t>
  </si>
  <si>
    <t>AMBUSALUD RCP SAS</t>
  </si>
  <si>
    <t>(+57) 3115708936 / (01) 704 5807</t>
  </si>
  <si>
    <t>1100137431</t>
  </si>
  <si>
    <t>AMBUSURE IPS S.A.S.</t>
  </si>
  <si>
    <t>1100106495</t>
  </si>
  <si>
    <t>ANALIZAR LABORATORIO CLINICO AUTOMATIZADO S.A.S.</t>
  </si>
  <si>
    <t>www.analizarlab.com</t>
  </si>
  <si>
    <t>1100141468</t>
  </si>
  <si>
    <t>ANDES LASER CENTER S.A.S</t>
  </si>
  <si>
    <t>https://www.facebook.com/andeslasercenter/</t>
  </si>
  <si>
    <t>1100122640</t>
  </si>
  <si>
    <t>ANGELA PATRICIA TORRES C SOLUCIONES EN ODONTOLOGIA S.A.S</t>
  </si>
  <si>
    <t>1100141959</t>
  </si>
  <si>
    <t>APOYO EN SALUD INTEGRAL S.A.S</t>
  </si>
  <si>
    <t>Calle 9 # 62 - 84 C.C. Outlet Factory Local L2-33A</t>
  </si>
  <si>
    <t>3207465823</t>
  </si>
  <si>
    <t>https://apoyoensaludintegral.com</t>
  </si>
  <si>
    <t>1100130739</t>
  </si>
  <si>
    <t>APREHSI GROUP S.A.S</t>
  </si>
  <si>
    <t>AV CLL 26 N 68C-61 OFICINA 801 - Barrio:FONTIBON</t>
  </si>
  <si>
    <t>3205725515 - 3148718726</t>
  </si>
  <si>
    <t>s.cera@aprehsigroup.com</t>
  </si>
  <si>
    <t>1100140482</t>
  </si>
  <si>
    <t>ARLETH BERNAL IPS SAS</t>
  </si>
  <si>
    <t>1100127099</t>
  </si>
  <si>
    <t>ART MEDICA S.A.S</t>
  </si>
  <si>
    <t>Línea de atencion Nacional 3009120074, WhatsApp 3245737308</t>
  </si>
  <si>
    <t>www.artmedica.com.co</t>
  </si>
  <si>
    <t>1100139547</t>
  </si>
  <si>
    <t>ASISTENCIA MEDICA DE BOGOTA IPS SAS -AMEB IPS</t>
  </si>
  <si>
    <t>https://https://</t>
  </si>
  <si>
    <t>1100116253</t>
  </si>
  <si>
    <t>ASMEDAN S.A.S ASOCIACION DE MEDICOS Y ANESTESIOLOGOS</t>
  </si>
  <si>
    <t>AV 1 MAYO # 34- 41 - Barrio:SAN JORGE</t>
  </si>
  <si>
    <t>calidad@grupoasmedan.com</t>
  </si>
  <si>
    <t>1100107905</t>
  </si>
  <si>
    <t>ASOCIACION ACCION SOCIAL EJERCITO</t>
  </si>
  <si>
    <t>MORCILLO DE ARDILA STELLA LICENIA</t>
  </si>
  <si>
    <t>CALLE 125 # 19 67</t>
  </si>
  <si>
    <t>6011786</t>
  </si>
  <si>
    <t>1100109616</t>
  </si>
  <si>
    <t>ASOCIACION CREEMOS EN TI</t>
  </si>
  <si>
    <t>VEJARANO VELANDIA MONICA PATRICIA</t>
  </si>
  <si>
    <t>CRA 8 # 15 49</t>
  </si>
  <si>
    <t>2574095</t>
  </si>
  <si>
    <t>1100107352</t>
  </si>
  <si>
    <t>ASOCIACION DE OBRAS SOCIALES SAN MARTIN DE PORRES</t>
  </si>
  <si>
    <t>DIAZ MARTINEZ JORGE ELIECER</t>
  </si>
  <si>
    <t>CALLE 40 A SUR # 3 C 35 ESTE</t>
  </si>
  <si>
    <t>2068042</t>
  </si>
  <si>
    <t>1100107019</t>
  </si>
  <si>
    <t>ASOCIACION MUTUAL SAN JORGE</t>
  </si>
  <si>
    <t>CANTOR BAUTISTA JOSE JOAQUIN</t>
  </si>
  <si>
    <t>CALLE 101 # 55 88</t>
  </si>
  <si>
    <t>2261256</t>
  </si>
  <si>
    <t>1100135718</t>
  </si>
  <si>
    <t>ASOCIADOS DENTALES SAS</t>
  </si>
  <si>
    <t>1100126221</t>
  </si>
  <si>
    <t>ASODER Consultores S.A.S</t>
  </si>
  <si>
    <t>www.asoderconsultoresas.com</t>
  </si>
  <si>
    <t>1100130696</t>
  </si>
  <si>
    <t>ATENCIÓN EN MEDICINA LABORAL SAS SIGLA- ATMELA</t>
  </si>
  <si>
    <t>1100121340</t>
  </si>
  <si>
    <t>AUDIFONOS ALCIRA RAMIREZ S A S</t>
  </si>
  <si>
    <t>CL 63 No. 11 - 45 OF. 209 y 213</t>
  </si>
  <si>
    <t>2550054 - 2550234</t>
  </si>
  <si>
    <t>www.audifonosalcira.com</t>
  </si>
  <si>
    <t>1100139384</t>
  </si>
  <si>
    <t>AUDIMEDIC CRC SAS</t>
  </si>
  <si>
    <t>TV 18 BIS NO. 14 A 21 SUR LC 1</t>
  </si>
  <si>
    <t>1100142105</t>
  </si>
  <si>
    <t>AURAL COLOMBIA SAS</t>
  </si>
  <si>
    <t>Cr 7 119 50 Lc 2</t>
  </si>
  <si>
    <t>https://auralcolombia.com</t>
  </si>
  <si>
    <t>1100122280</t>
  </si>
  <si>
    <t>Advance odontologia SAS</t>
  </si>
  <si>
    <t>www.vainplasticdentistry.com</t>
  </si>
  <si>
    <t>1100138316</t>
  </si>
  <si>
    <t>Alianza Codigo Rojo IPS SAS</t>
  </si>
  <si>
    <t>Carrera 18 # 56a- 46 SUR</t>
  </si>
  <si>
    <t>3105541353</t>
  </si>
  <si>
    <t>https://alianzacódigorojoipssas</t>
  </si>
  <si>
    <t>1100123846</t>
  </si>
  <si>
    <t>Avances Tecnológicos e Innovación para la Salud SAS con sigla AVAN SALUD</t>
  </si>
  <si>
    <t>Tv 71 Bis No. 5 C - 52 - Barrio:MARSELLA</t>
  </si>
  <si>
    <t>1100137502</t>
  </si>
  <si>
    <t>BARUCH CENTRO DE REHABILITACION PARA TRASTORNOS DE LA CONDUCTA Y EL NEURODESARROLLO SAS</t>
  </si>
  <si>
    <t>https://rehabilitacionbaruch.com/</t>
  </si>
  <si>
    <t>1100140421</t>
  </si>
  <si>
    <t>BEAUTYDENT . ODONTOLOGIA S.A.S SIGLA BEAUTYDENT . ODONTOLOGIA</t>
  </si>
  <si>
    <t>1100140966</t>
  </si>
  <si>
    <t>BELASER MEDICINA ESTETICA AVANZADA SAS</t>
  </si>
  <si>
    <t>3142901194</t>
  </si>
  <si>
    <t>https://belaser.com.co</t>
  </si>
  <si>
    <t>1100139516</t>
  </si>
  <si>
    <t>BELLEZA, SALUD Y TECNOLOGÍA SAS</t>
  </si>
  <si>
    <t>1100129057</t>
  </si>
  <si>
    <t>BERMEDIC LTDA</t>
  </si>
  <si>
    <t>3125860518</t>
  </si>
  <si>
    <t>1100140543</t>
  </si>
  <si>
    <t>BEST MEDICAL CARE LATAM IPS SAS-BMC LATAM</t>
  </si>
  <si>
    <t>1100121238</t>
  </si>
  <si>
    <t>BIENESTAR IPS S.A.S.</t>
  </si>
  <si>
    <t>https://bienestarips.com/</t>
  </si>
  <si>
    <t>1100121679</t>
  </si>
  <si>
    <t>BIODENT LA VICTORIA S.A.S.</t>
  </si>
  <si>
    <t>2075829, 3115021550</t>
  </si>
  <si>
    <t>1100123474</t>
  </si>
  <si>
    <t>BLUECARE SALUD SAS SIGLA BLUECARE</t>
  </si>
  <si>
    <t>Carrera 14 No 93b-15</t>
  </si>
  <si>
    <t>3208998158</t>
  </si>
  <si>
    <t>1100120342</t>
  </si>
  <si>
    <t>BOSTON MEDICAL CARE SAS IPS</t>
  </si>
  <si>
    <t>CL 127 No. 19 A - 28 CS 602 y 603</t>
  </si>
  <si>
    <t>3330333099 018000112433</t>
  </si>
  <si>
    <t>constanza.cabrera@convatec.com</t>
  </si>
  <si>
    <t>1100120501</t>
  </si>
  <si>
    <t>BOSTON MEDICAL GROUP DE COLOMBIA S.A.S.</t>
  </si>
  <si>
    <t>WWW.BOSTONMEDICAL.COM.CO</t>
  </si>
  <si>
    <t>1100131716</t>
  </si>
  <si>
    <t>CAPSALUD CAPACITACION Y PREVENCION EN SALUD SAS</t>
  </si>
  <si>
    <t>cra 78k #40-22 sur piso 1</t>
  </si>
  <si>
    <t>1100137751</t>
  </si>
  <si>
    <t>CAROLINA MARTINEZ SAS</t>
  </si>
  <si>
    <t>CL 83 16A 44 Cs 201, 202, 203, 207</t>
  </si>
  <si>
    <t>1100137932</t>
  </si>
  <si>
    <t>CARPE GROUP SALUD S.A.S.</t>
  </si>
  <si>
    <t>319 2407437</t>
  </si>
  <si>
    <t>https://www.carpegroup.co</t>
  </si>
  <si>
    <t>1100123368</t>
  </si>
  <si>
    <t>CATAÑO &amp; MARQUEZ SAS</t>
  </si>
  <si>
    <t>KR. 11 A N° 97 - 55</t>
  </si>
  <si>
    <t>3133142045 3205635512</t>
  </si>
  <si>
    <t>maria_del_1985@hotmail.com</t>
  </si>
  <si>
    <t>1100138532</t>
  </si>
  <si>
    <t>CELEBRITY MEDICAL CENTER S.A.S</t>
  </si>
  <si>
    <t>CR 10 N° 64 -21/27 LOCAL 3 Y 4</t>
  </si>
  <si>
    <t>celebritybeautycenter@gmail.com</t>
  </si>
  <si>
    <t>https://celbritymedicalcenter.com</t>
  </si>
  <si>
    <t>1100138022</t>
  </si>
  <si>
    <t>CENASIP S.A.S</t>
  </si>
  <si>
    <t>Avenida calle 68 No. 56 B-08</t>
  </si>
  <si>
    <t>1100130740</t>
  </si>
  <si>
    <t>CENRED COLOMBIA SAS</t>
  </si>
  <si>
    <t>carrera 49 93 40</t>
  </si>
  <si>
    <t>1100131871</t>
  </si>
  <si>
    <t>CENTRO CARDIOVASCULAR COLOMBIANO SAS - SIGLA CC CARDIOVASCULAR</t>
  </si>
  <si>
    <t>3002130706</t>
  </si>
  <si>
    <t>wamaya@cencardio.com</t>
  </si>
  <si>
    <t>www.cencardio.com</t>
  </si>
  <si>
    <t>1100133043</t>
  </si>
  <si>
    <t>CENTRO COLOMBIANO DE ENDOCRINOLOGIA Y FERTILIDAD SAS CORNEL SAS</t>
  </si>
  <si>
    <t>2593363 - 3208313504</t>
  </si>
  <si>
    <t>www.cornel.com.co</t>
  </si>
  <si>
    <t>1100114757</t>
  </si>
  <si>
    <t>CENTRO DE DESARROLLO INTEGRAL DE SALUD FAMILIAR JUAN PABLO II IPS SAS CON SIGLA CEDI SALUD FAMILIAR JUAN PABLO II IPS SAS</t>
  </si>
  <si>
    <t>CL 27 SUR # 18C- 02</t>
  </si>
  <si>
    <t>1100114074</t>
  </si>
  <si>
    <t>CENTRO DE ENFERMEDADES NEOPLASICAS S A S</t>
  </si>
  <si>
    <t>KR 22 #45 B -38 CS 101</t>
  </si>
  <si>
    <t>6183489/2960513</t>
  </si>
  <si>
    <t>centroenf.neoplasicas@hotmail.com</t>
  </si>
  <si>
    <t>1100142845</t>
  </si>
  <si>
    <t>CENTRO DE ESPECIALIDADES MEDICAS DE LAS AMERICAS CEMLA CORP IPS SAS</t>
  </si>
  <si>
    <t>https://dermainnova.com.co/</t>
  </si>
  <si>
    <t>1100124548</t>
  </si>
  <si>
    <t>CENTRO DE ESTIMULACION, REHABILITACION Y APRENDIZAJE SEMILLAS DE ESPERANZA S.A.S SIGLA: CERASES S.A.S</t>
  </si>
  <si>
    <t>110010302001</t>
  </si>
  <si>
    <t>CENTRO DE EVALUACION MEDICA PORVIDA LIMITADA</t>
  </si>
  <si>
    <t>asistenteadministrativa@porvida.com.co</t>
  </si>
  <si>
    <t>1100122921</t>
  </si>
  <si>
    <t>CENTRO DE NEUROPSICOLOGIA Y PSICOPEDAGOGIA APLICADA IPS LTDA CENPA IPS LTDA</t>
  </si>
  <si>
    <t>1100131460</t>
  </si>
  <si>
    <t>CENTRO DE RECONOCIMIENTO DE CONDUCTORES DE COLOMBIA 2 SAS - CRC DE COLOMBIA 2 SAS</t>
  </si>
  <si>
    <t>110011590401</t>
  </si>
  <si>
    <t>CENTRO DE SALUD CIRUGIA ESTETICA AMBULATORIA</t>
  </si>
  <si>
    <t>KR 48 # 122 - 28</t>
  </si>
  <si>
    <t>2138331</t>
  </si>
  <si>
    <t>naso_val@hotmail.com</t>
  </si>
  <si>
    <t>1100115904</t>
  </si>
  <si>
    <t>CENTRO DE SALUD CIRUGIA ESTETICA AMBULATORIA CLINICA DE CHARRY LTDA</t>
  </si>
  <si>
    <t>110010601601</t>
  </si>
  <si>
    <t>CENTRO DE TERAPIAS OCUFILEN</t>
  </si>
  <si>
    <t>1100121987</t>
  </si>
  <si>
    <t>CENTRO EXCELENCIA DE CUIDADOS EN SALUD ESENCIAL INSTITUCION PRESTADORA DE SERVICIOS DE SALUD S.A.S.</t>
  </si>
  <si>
    <t>3153515214 - 3213176723</t>
  </si>
  <si>
    <t>gerencia@esencial-ips.com</t>
  </si>
  <si>
    <t>1100141597</t>
  </si>
  <si>
    <t>CENTRO INTEGRAL DE CIRUGIA PLASTICA Y DERMATOPATOLOGIA IPS S.A.S - SIGLA CIRUPAT IPS S.A.S.</t>
  </si>
  <si>
    <t>https://md.juanrocha@gmail.com</t>
  </si>
  <si>
    <t>1100125339</t>
  </si>
  <si>
    <t>CENTRO INTEGRAL PARA MANEJO DEL DOLOR-CINDOLOR S.A.S</t>
  </si>
  <si>
    <t>CR 16A NO 82 46 CONSULTORIO 502/503</t>
  </si>
  <si>
    <t>2960540-6356634</t>
  </si>
  <si>
    <t>centrocindolor@gmail.com</t>
  </si>
  <si>
    <t>1100116366</t>
  </si>
  <si>
    <t>CENTRO INTEGRAL TERAPEUTICO DE MANO CITMA SAS</t>
  </si>
  <si>
    <t>KR 20 # 45 A 08 CS 202 - 203 - 204</t>
  </si>
  <si>
    <t>3400230</t>
  </si>
  <si>
    <t>monicayad@gmail.com</t>
  </si>
  <si>
    <t>1100121759</t>
  </si>
  <si>
    <t>CENTRO MEDICO ARIZALUD S A S</t>
  </si>
  <si>
    <t>TV 87C # 59 A 23 SUR LC 1</t>
  </si>
  <si>
    <t>9231505- CEL 3228493476</t>
  </si>
  <si>
    <t>1100139473</t>
  </si>
  <si>
    <t>CENTRO MEDICO DE ESPECIALISTAS EL NOGAL IPS SAS C.M.E.N IPS SAS</t>
  </si>
  <si>
    <t>CARERA 15 # 88 - 64 CONSULTORIO 224</t>
  </si>
  <si>
    <t>https://n/a</t>
  </si>
  <si>
    <t>110010307101</t>
  </si>
  <si>
    <t>CENTRO MEDICO DE ORIENTACION LA GLORIA S.A.S IPS</t>
  </si>
  <si>
    <t>1100129891</t>
  </si>
  <si>
    <t>CENTRO MEDICO VITAL DRA. ALIA SANTANA SAS</t>
  </si>
  <si>
    <t>AVENIDA CARRERA 15 93 60 LOCAL 1-14</t>
  </si>
  <si>
    <t>1100137632</t>
  </si>
  <si>
    <t>CENTRODONCIA S.A.S</t>
  </si>
  <si>
    <t>https://na</t>
  </si>
  <si>
    <t>1100136300</t>
  </si>
  <si>
    <t>CENTROS MEDICOS COLSANITAS S.A.S</t>
  </si>
  <si>
    <t>AC 100 # 11B 67</t>
  </si>
  <si>
    <t>1100143090</t>
  </si>
  <si>
    <t>CERTICONDUCIR IPS SAS</t>
  </si>
  <si>
    <t>1100138751</t>
  </si>
  <si>
    <t>CERTIFICACIONES Y EVALUACIONES EN SALUD SAS</t>
  </si>
  <si>
    <t>https://</t>
  </si>
  <si>
    <t>1100124907</t>
  </si>
  <si>
    <t>CERTIFICACIONES Y SALUD OCUPACIONAL S A S</t>
  </si>
  <si>
    <t>6017610013</t>
  </si>
  <si>
    <t>cersalocu@gmail.com</t>
  </si>
  <si>
    <t>1100128484</t>
  </si>
  <si>
    <t>CHRISTIAN SALAZAR ODONTOLOGIA DIGITAL SAS</t>
  </si>
  <si>
    <t>Carrera 13 No 94A - 26 Cons 601</t>
  </si>
  <si>
    <t>administracion2@christiansalazar.com</t>
  </si>
  <si>
    <t>www.christiansalazar.com</t>
  </si>
  <si>
    <t>1100124004</t>
  </si>
  <si>
    <t>CHRISTUS SINERGIA SERVICIOS AMBULATORIOS S.A.S.</t>
  </si>
  <si>
    <t>Cl 102 Nº 14 A - 70 Piso 1 - Mezanine - Piso 2 - Barrio:Los Molinos del Norte</t>
  </si>
  <si>
    <t>3904784 ext 14110</t>
  </si>
  <si>
    <t>ismael.ortega@christus.co prestadorescentrosmedicos@coomeva.com.co christushabilitacion@christus.co</t>
  </si>
  <si>
    <t>https://christussinergia.com/</t>
  </si>
  <si>
    <t>1100141281</t>
  </si>
  <si>
    <t>CIMEDICS GROUP IPS S.A.S</t>
  </si>
  <si>
    <t>CARRERA 23 N 124 - 87 EDIFICIO ZENTAI TO 1 CS 406</t>
  </si>
  <si>
    <t>1100139704</t>
  </si>
  <si>
    <t>CIRU SANTA ANA S.A.S</t>
  </si>
  <si>
    <t>CALLE 119 No. 7-14 CONSULTORIO 201 a 210</t>
  </si>
  <si>
    <t>https://galenia.co</t>
  </si>
  <si>
    <t>1100123815</t>
  </si>
  <si>
    <t>CIRUGIA GENERAL Y ESPECIALIZADA CIRUGESP SAS</t>
  </si>
  <si>
    <t>CALLE 23 Nº 66-46 INT 4 CS 910</t>
  </si>
  <si>
    <t>1100142221</t>
  </si>
  <si>
    <t>CLINICA ANANTHA IPS S.A.S SIGLA CLINICA ANANTHA IPS</t>
  </si>
  <si>
    <t>https://anantacolombia@hotmail.com</t>
  </si>
  <si>
    <t>1100123765</t>
  </si>
  <si>
    <t>CLINICA CEREN SAS SIGLA CEREN SAS</t>
  </si>
  <si>
    <t>3330334549 - 3177006944 - 3105615026</t>
  </si>
  <si>
    <t>gerencia@ceren.co caroguzmanps@gmail.com</t>
  </si>
  <si>
    <t>www.ceren.co</t>
  </si>
  <si>
    <t>1100134798</t>
  </si>
  <si>
    <t>CLINICA COLOMBIANA DE ESPECIALISTAS CLINICOL SAS</t>
  </si>
  <si>
    <t>AK 9 #127 B - 16 PISO 7</t>
  </si>
  <si>
    <t>1100121757</t>
  </si>
  <si>
    <t>CLINICA COLOMBIANA DE ORTODONCIA - YABA S.A.S</t>
  </si>
  <si>
    <t>Avenida. Carrera 45 No. 168-67</t>
  </si>
  <si>
    <t>6743737- 3124965493</t>
  </si>
  <si>
    <t>1100129163</t>
  </si>
  <si>
    <t>CLINICA DE MEDICINA Y CIRUGIA PLASTICA ESTETICA EMBELLECETE SAS</t>
  </si>
  <si>
    <t>AC 147 # 19 50 LC 6 Y 31</t>
  </si>
  <si>
    <t>oscarjsandoval@hotmail.com</t>
  </si>
  <si>
    <t>1100139552</t>
  </si>
  <si>
    <t>CLINICA DE ORTOPEDIA FUNCIÓN Y EDUCACIÓN SAS ORTOFED SAS</t>
  </si>
  <si>
    <t>https://no se tiene</t>
  </si>
  <si>
    <t>1100122818</t>
  </si>
  <si>
    <t>CLINICA DE REHABILITACION INTEGRAL HÖWARD GÄRDNER S.A.S</t>
  </si>
  <si>
    <t>AK 18 C # 22 - 17 SUR - Barrio:OLAYA HERRERA</t>
  </si>
  <si>
    <t>1100128551</t>
  </si>
  <si>
    <t>CLINICA DEL COLON SAS</t>
  </si>
  <si>
    <t>www.clinicadelcolon.com</t>
  </si>
  <si>
    <t>1100131632</t>
  </si>
  <si>
    <t>CLINICA DEL SISTEMA NERVIOSO S.A.S</t>
  </si>
  <si>
    <t>www.clinicarenovar.com</t>
  </si>
  <si>
    <t>1100134091</t>
  </si>
  <si>
    <t>CLINICA DEL TRABAJADOR SAS</t>
  </si>
  <si>
    <t>3105576226</t>
  </si>
  <si>
    <t>1100137497</t>
  </si>
  <si>
    <t>CLINICA DENTAL KERALTY SAS</t>
  </si>
  <si>
    <t>Cl 100 No. 11 B 67</t>
  </si>
  <si>
    <t>https://clinicacolsanitas.com</t>
  </si>
  <si>
    <t>1100143202</t>
  </si>
  <si>
    <t>CLINICA DERMATOLOGICA KERALTY S.A.S</t>
  </si>
  <si>
    <t>AC 100 #11B-67</t>
  </si>
  <si>
    <t>https://www.keralty.com</t>
  </si>
  <si>
    <t>1100135113</t>
  </si>
  <si>
    <t>CLINICA ESPECIALISTA DE COLOMBIA EN CORAZON S.A.S.</t>
  </si>
  <si>
    <t>AK 19 No.102-53 OF 201</t>
  </si>
  <si>
    <t>1100121968</t>
  </si>
  <si>
    <t>CLINICA ESTETICA DENTAL 24 HORAS SAS</t>
  </si>
  <si>
    <t>CALLE 93 19B-66 CS 203</t>
  </si>
  <si>
    <t>WWW.CED24HORAS.COM</t>
  </si>
  <si>
    <t>1100143410</t>
  </si>
  <si>
    <t>CLINICA INTEGRAL DE SALUD S.A.S</t>
  </si>
  <si>
    <t>110011038001</t>
  </si>
  <si>
    <t>CLINICA LASER DE PIEL S A S</t>
  </si>
  <si>
    <t>KR 13A # 98-16</t>
  </si>
  <si>
    <t>1100117766</t>
  </si>
  <si>
    <t>CLINICA MARCO MARTINEZ EU SIGLA CLINICA SAN MIGUEL</t>
  </si>
  <si>
    <t>1100122150</t>
  </si>
  <si>
    <t>CLINICA MEDICAL SAS</t>
  </si>
  <si>
    <t>coor.calidad@clinicamedical.com.co; juridica.medical@gmail.com</t>
  </si>
  <si>
    <t>1100121109</t>
  </si>
  <si>
    <t>CLINICA MICHEL BELTRAN LTDA.</t>
  </si>
  <si>
    <t>1100135025</t>
  </si>
  <si>
    <t>CLINICA NUEVA EL LAGO S.A.S.</t>
  </si>
  <si>
    <t>Calle 76 No. 13-46</t>
  </si>
  <si>
    <t>3078061- 3123459128</t>
  </si>
  <si>
    <t>1100122788</t>
  </si>
  <si>
    <t>CLINICA ODONTO LIFE SAS</t>
  </si>
  <si>
    <t>Cra 77 A N° 64 G- 04 piso 2</t>
  </si>
  <si>
    <t>1100108620</t>
  </si>
  <si>
    <t>CLINICA ODONTOLOGICA DEL OCCIDENTE I P S SAS</t>
  </si>
  <si>
    <t>2446115</t>
  </si>
  <si>
    <t>1100125093</t>
  </si>
  <si>
    <t>CLINICA OFTALMÓLOGICA VISIÓN COLOMBIA SAS Y/O UNIDAD DE DIAGNOSTICO MEDICO UNIDIME SAS</t>
  </si>
  <si>
    <t>CALLE 134 NO. 7 83 TORRE 1 CONSULTORIO 1 PISO 1</t>
  </si>
  <si>
    <t>601-7455472-3212454161-3125309392</t>
  </si>
  <si>
    <t>1100138556</t>
  </si>
  <si>
    <t>CLINICA PARAMO SAS Sigla: CLINICA PARAMO</t>
  </si>
  <si>
    <t>http://clinicaparamo.com/</t>
  </si>
  <si>
    <t>1100143339</t>
  </si>
  <si>
    <t>CLINICA PREVENTIVA DE MEDELLIN S.A.S</t>
  </si>
  <si>
    <t>1100125441</t>
  </si>
  <si>
    <t>CLINICA SAN FRANCISCO DE ASIS SAS</t>
  </si>
  <si>
    <t>5190707 ext 109-114-101 - 3174003658</t>
  </si>
  <si>
    <t>www.clinicasfa.com</t>
  </si>
  <si>
    <t>1100138997</t>
  </si>
  <si>
    <t>CLINICA SILUET LASER S.A.S</t>
  </si>
  <si>
    <t>1100122556</t>
  </si>
  <si>
    <t>CLINICAS MEDICAS Y ODONTOLOGICAS MAGUER SAS</t>
  </si>
  <si>
    <t>CL 57 B No. 70 74 Sur</t>
  </si>
  <si>
    <t>110010777301</t>
  </si>
  <si>
    <t>CLINICAS ODONTOLOGICAS INTEGRADAS DE BOGOTÁ C O I B</t>
  </si>
  <si>
    <t>1100133884</t>
  </si>
  <si>
    <t>CLINICAS WHITE SAS</t>
  </si>
  <si>
    <t>CALLE 99 #14-76 LOCAL 106 S 1</t>
  </si>
  <si>
    <t>6017942323</t>
  </si>
  <si>
    <t>https://www.clinicaswhite.com/</t>
  </si>
  <si>
    <t>1100139742</t>
  </si>
  <si>
    <t>CLUB SER IPS SAS</t>
  </si>
  <si>
    <t>https://clubser.com</t>
  </si>
  <si>
    <t>1100143520</t>
  </si>
  <si>
    <t>CLÍNICA BELLATRIZ SAS</t>
  </si>
  <si>
    <t>https://www.bellatriz.com/</t>
  </si>
  <si>
    <t>1100132417</t>
  </si>
  <si>
    <t>CLÍNICA CUABAL SAS</t>
  </si>
  <si>
    <t>www.clinicacuabal.com</t>
  </si>
  <si>
    <t>1100137371</t>
  </si>
  <si>
    <t>CLÍNICA ODONTOLÓGICA GUERRERO ALVAREZ 24 HORAS S.A.S SIGLA COGA 24 HORAS S.A.S</t>
  </si>
  <si>
    <t>TV 73A 82D 31 PISO 1 - Barrio:MINUTO DE DIOS</t>
  </si>
  <si>
    <t>https://www.odontologiacoga.com</t>
  </si>
  <si>
    <t>1100140090</t>
  </si>
  <si>
    <t>CLÍNICAS BOTOSPA S.A.S</t>
  </si>
  <si>
    <t>https://www.botoshop.com</t>
  </si>
  <si>
    <t>1100123471</t>
  </si>
  <si>
    <t>CLÍNICOS PROGRAMAS DE ATENCIÓN INTEGRAL S.A.S. IPS SIGLA CLÍNICOS PROGRAMAS S.A.S IPS</t>
  </si>
  <si>
    <t>AV. AMÉRICAS 65-09 - Barrio:LA PRADERA</t>
  </si>
  <si>
    <t>1100128342</t>
  </si>
  <si>
    <t>CMG CIRUGIA GASTRO S A S</t>
  </si>
  <si>
    <t>KR 18 84 11 CONS 605-1</t>
  </si>
  <si>
    <t>1100108293</t>
  </si>
  <si>
    <t>COLEGIO MAYOR DE NUESTRA SEÑORA DEL ROSARIO</t>
  </si>
  <si>
    <t>KNUDSEN QUEVEDO HANS PETER</t>
  </si>
  <si>
    <t>CALLE 14 # 6 25</t>
  </si>
  <si>
    <t>2970200</t>
  </si>
  <si>
    <t>110011104501</t>
  </si>
  <si>
    <t>COLEGIO NUESTRA SEÑORA DE NAZARETH COMUNIDAD DOMINICAS HIJAS</t>
  </si>
  <si>
    <t>1100130346</t>
  </si>
  <si>
    <t>COMERCIALIZADORA DE SERVICIOS BASICOS SAS COMERBAS SAS</t>
  </si>
  <si>
    <t>AV CARRERA 30 NO. 67 - 59 PISO 1, 2 Y3</t>
  </si>
  <si>
    <t>4002595</t>
  </si>
  <si>
    <t>gerencia@comerbas.com</t>
  </si>
  <si>
    <t>www.comerbas.com</t>
  </si>
  <si>
    <t>1100128840</t>
  </si>
  <si>
    <t>COMPAÑIA CALIDAD Y CUIDADO EN SALUD S.A.S. SIGLA COMPCASA SAS</t>
  </si>
  <si>
    <t>AV CL 6 # 78 - 11 - Barrio:MANDALAY</t>
  </si>
  <si>
    <t>WWW.COMPCASALUD.COM</t>
  </si>
  <si>
    <t>1100104372</t>
  </si>
  <si>
    <t>COMUNIDAD HIJAS DE LA CARIDAD DE SAN VICENTE DE PAUL</t>
  </si>
  <si>
    <t>APONTE SOLER HILDA PAULINA</t>
  </si>
  <si>
    <t>CL 22 C # 26 75</t>
  </si>
  <si>
    <t>2686808</t>
  </si>
  <si>
    <t>1100109283</t>
  </si>
  <si>
    <t>COMUNIDAD RELIGIOSA DE PROTECCIÓN DEL ANCIANO INDIGENTE HERMANITAS DE LOS POBRES DE SAN PEDRO CLAVER</t>
  </si>
  <si>
    <t>PAREJA GOMEZ CARMEN EMILIA</t>
  </si>
  <si>
    <t>AV CARACAS # 1 16 SUR</t>
  </si>
  <si>
    <t>2462045</t>
  </si>
  <si>
    <t>1100110665</t>
  </si>
  <si>
    <t>CONGREGACION DE RELIGIOSOS TERCIARIOS CAPUCHINOS DE NUESTRA SEÑORA DE LOS DOLORES</t>
  </si>
  <si>
    <t>MORALES GIRALDO JOSE SALVADOR</t>
  </si>
  <si>
    <t>CRA 30 # 11 85</t>
  </si>
  <si>
    <t>3603331</t>
  </si>
  <si>
    <t>1100128828</t>
  </si>
  <si>
    <t>CONSORCIO EMPRESARIAL DE PROFESIONALES SAS - CONSEMPRO SAS</t>
  </si>
  <si>
    <t>TV 35 N° 37 83 SUR</t>
  </si>
  <si>
    <t>3165390107</t>
  </si>
  <si>
    <t>1100124732</t>
  </si>
  <si>
    <t>CONSULTORIO BIOLOGICO MANDALAY SAS</t>
  </si>
  <si>
    <t>1100142723</t>
  </si>
  <si>
    <t>CONSULTORIO MÉDICO Y ODONTOLÓGICO CODENTMED SAS - CODENTMED SAS</t>
  </si>
  <si>
    <t>1100109113</t>
  </si>
  <si>
    <t>CONSULTORIO RADIOLOGICO ORAL CEDRITOS SOCIEDAD POR ACCIONES SIMPLIFICADA SIGLA RADIOLOGICO ORAL CEDRITOS S A S</t>
  </si>
  <si>
    <t>KR 18 # 140 12 CS 202</t>
  </si>
  <si>
    <t>6012749706</t>
  </si>
  <si>
    <t>ventasradiologico@gmail.com</t>
  </si>
  <si>
    <t>1100137217</t>
  </si>
  <si>
    <t>CONTROL MEDICAL GROUP SAS</t>
  </si>
  <si>
    <t>3195218592</t>
  </si>
  <si>
    <t>www.examinarte.com</t>
  </si>
  <si>
    <t>1100127605</t>
  </si>
  <si>
    <t>CORPORACIÓN SALUD UN</t>
  </si>
  <si>
    <t>Calle 44 No. 59-75</t>
  </si>
  <si>
    <t>Fijo 3904888</t>
  </si>
  <si>
    <t>1100137492</t>
  </si>
  <si>
    <t>COSMOS SUPPORT SAS</t>
  </si>
  <si>
    <t>AC 57 18 21 PS 1</t>
  </si>
  <si>
    <t>GERENCIA@COSMOSSUPPORT.COM.CO</t>
  </si>
  <si>
    <t>https://www.cosmosspport.com.co</t>
  </si>
  <si>
    <t>1100128225</t>
  </si>
  <si>
    <t>CRC FUTURO S.A.S sigla crc FUTURO</t>
  </si>
  <si>
    <t>1100127364</t>
  </si>
  <si>
    <t>CRC PROFESIONALES DE LA SALUD VILLA MAYOR S.A.S</t>
  </si>
  <si>
    <t>TRANSVERSAL 35 #32 B - 36 SUR</t>
  </si>
  <si>
    <t>www.crcocupacional.com</t>
  </si>
  <si>
    <t>1100141469</t>
  </si>
  <si>
    <t>CROWNLIFE SAS</t>
  </si>
  <si>
    <t>1100133348</t>
  </si>
  <si>
    <t>CUMBRE SALUD OCUPACIONAL SAS</t>
  </si>
  <si>
    <t>Calle 71 21 44 piso 1</t>
  </si>
  <si>
    <t>https://cumbrecolombia.com</t>
  </si>
  <si>
    <t>1100141152</t>
  </si>
  <si>
    <t>CURE LATAM SAS</t>
  </si>
  <si>
    <t>CRA 13 NO. 93 - 85 CONSULTORIO 401</t>
  </si>
  <si>
    <t>https://www.curelatam.com/</t>
  </si>
  <si>
    <t>1100127523</t>
  </si>
  <si>
    <t>Centro Colombiano de Diagnostico de Melanoma y Lesiones Pigmentadas SAS / sigla: CCDIMEL SAS</t>
  </si>
  <si>
    <t>K. 16 No. 82-29 consultorio 402</t>
  </si>
  <si>
    <t>6913344 -3503359254</t>
  </si>
  <si>
    <t>merlanocesar@me.com</t>
  </si>
  <si>
    <t>www.lesionespigmentadas.com</t>
  </si>
  <si>
    <t>1100132253</t>
  </si>
  <si>
    <t>Centro Infantil para el Neurodesarrollo en Familia SAS - CINEFA</t>
  </si>
  <si>
    <t>Calle 134 #7B-83, Consultorio 305</t>
  </si>
  <si>
    <t>https://www.neurofamilia.com</t>
  </si>
  <si>
    <t>1100128678</t>
  </si>
  <si>
    <t>Centro Odontologico Oral Expert SAS</t>
  </si>
  <si>
    <t>CALLE 120 A # 7-36 OF 903 - 904 - Barrio:USAQUEN</t>
  </si>
  <si>
    <t>1100133721</t>
  </si>
  <si>
    <t>Centro de Fertilidad Repronat SAS</t>
  </si>
  <si>
    <t>repronat.colombia@gmail.com, calidad@celagem.com</t>
  </si>
  <si>
    <t>https://celagem.com/</t>
  </si>
  <si>
    <t>1100139099</t>
  </si>
  <si>
    <t>Clinica de especialistas en salud Mafra s.a.s</t>
  </si>
  <si>
    <t>Calle 9 37-07 local 222 centro comercial PROVICENTRO</t>
  </si>
  <si>
    <t>clinicasmafra@clinicasmafra.com</t>
  </si>
  <si>
    <t>https://www.clinicamafra.com</t>
  </si>
  <si>
    <t>1100136278</t>
  </si>
  <si>
    <t>Clínica Santa Mónica de Bogotá SAS</t>
  </si>
  <si>
    <t>Carrera 49 d 91-33 , piso 1,3,4,5,6,7 y 2 Ala Norte</t>
  </si>
  <si>
    <t>1100137926</t>
  </si>
  <si>
    <t>Clínica Universidad de La Sabana</t>
  </si>
  <si>
    <t>https://www.clinicaunisabana.edu.co/nuestra-clinica/</t>
  </si>
  <si>
    <t>1100136597</t>
  </si>
  <si>
    <t>Cochlear Colombia SAS</t>
  </si>
  <si>
    <t>AK 9 115 06</t>
  </si>
  <si>
    <t>3156916508</t>
  </si>
  <si>
    <t>1100126917</t>
  </si>
  <si>
    <t>Colcuidar Sociedad por acciones simplificada es decir COLCUIDAR SAS</t>
  </si>
  <si>
    <t>calle 22 B # 66-46 consultorio 1202</t>
  </si>
  <si>
    <t>www.colcuidar.com</t>
  </si>
  <si>
    <t>1100114291</t>
  </si>
  <si>
    <t>Colombiana de Trasplantes SAS</t>
  </si>
  <si>
    <t>presidencia@colombianadetrasplantes.com</t>
  </si>
  <si>
    <t>www.colombianadetrasplantes.com</t>
  </si>
  <si>
    <t>1100122065</t>
  </si>
  <si>
    <t>Complejo Internacional de Cirugia Plastica S.A.</t>
  </si>
  <si>
    <t>1100129085</t>
  </si>
  <si>
    <t>Conequipos Medica SAS</t>
  </si>
  <si>
    <t>www.clinicaproyectarte.com</t>
  </si>
  <si>
    <t>1100122091</t>
  </si>
  <si>
    <t>Cp Inversiones y Consultorias Sas</t>
  </si>
  <si>
    <t>calle 23 b No 68 c 40 local 4</t>
  </si>
  <si>
    <t>www.solucionesdiagnosticas3d</t>
  </si>
  <si>
    <t>1100123127</t>
  </si>
  <si>
    <t>D &amp; A DENT SAS</t>
  </si>
  <si>
    <t>1100140987</t>
  </si>
  <si>
    <t>D&amp;D PSICOLOGIA Y BIENESTAR SAS</t>
  </si>
  <si>
    <t>1100124369</t>
  </si>
  <si>
    <t>DAVITA S.A.S.</t>
  </si>
  <si>
    <t>Carrera 13 No 56-23 - Barrio:CHAPINERO CENTRAL</t>
  </si>
  <si>
    <t>3187156522</t>
  </si>
  <si>
    <t>https://international.davita.com/co/</t>
  </si>
  <si>
    <t>1100127580</t>
  </si>
  <si>
    <t>DDC IPS S.A.S</t>
  </si>
  <si>
    <t>1100138737</t>
  </si>
  <si>
    <t>DEM LASER SAS SIGLA DEM LASER</t>
  </si>
  <si>
    <t>administrador@demlaser.com.co</t>
  </si>
  <si>
    <t>https://www.demlaser.com/</t>
  </si>
  <si>
    <t>1100140297</t>
  </si>
  <si>
    <t>DENTAL EXPERIENCE SAS</t>
  </si>
  <si>
    <t>Cr 23 # 124-87 Torre 2 Consultorio 302</t>
  </si>
  <si>
    <t>https://www.dentalexperience.com.co/</t>
  </si>
  <si>
    <t>1100135755</t>
  </si>
  <si>
    <t>DENTAL FANTASY S.A.S</t>
  </si>
  <si>
    <t>3194026774</t>
  </si>
  <si>
    <t>dentalfantasy@hotmail.com</t>
  </si>
  <si>
    <t>1100136189</t>
  </si>
  <si>
    <t>DENTAL SER S.A.S</t>
  </si>
  <si>
    <t>110010213001</t>
  </si>
  <si>
    <t>DENTIFACIL</t>
  </si>
  <si>
    <t>1100122627</t>
  </si>
  <si>
    <t>DENTIST FOR KIDS S.A.S</t>
  </si>
  <si>
    <t>CALLE 74#15-26 CONSULTORIO 201</t>
  </si>
  <si>
    <t>www.dentistforkids.com.co</t>
  </si>
  <si>
    <t>1100127905</t>
  </si>
  <si>
    <t>DENTIX COLOMBIA SAS</t>
  </si>
  <si>
    <t>Carrera 71 D N 6 - 94 Sur Local 1902 C Centro Comercial Plaza De Las Américas Ph - Barrio:PLAZA DE LAS AMERICAS</t>
  </si>
  <si>
    <t>www.dentix.co</t>
  </si>
  <si>
    <t>1100125177</t>
  </si>
  <si>
    <t>DENTY EXPRESS CLINICAS ODONTOLOGICAS SAS</t>
  </si>
  <si>
    <t>7552828 - 3132277840</t>
  </si>
  <si>
    <t>1100142030</t>
  </si>
  <si>
    <t>DENTYART S.A.S sigla DENTYART SAS</t>
  </si>
  <si>
    <t>Calle 140 11 45 OFICINA 1003-1</t>
  </si>
  <si>
    <t>1100137658</t>
  </si>
  <si>
    <t>DERMA EXPRESS SAS</t>
  </si>
  <si>
    <t>Ac 26 #68 C-61 Of 805 Edificio Torre Central - Barrio:Ciudad Salitre</t>
  </si>
  <si>
    <t>1100139699</t>
  </si>
  <si>
    <t>DERMATOLOGICA S.A</t>
  </si>
  <si>
    <t>CARRERA 5 # 71- 45 LOCAL 201-205-206</t>
  </si>
  <si>
    <t>1100142270</t>
  </si>
  <si>
    <t>DEULAT S.A.S</t>
  </si>
  <si>
    <t>Calle 127 20 16 Oficina 303</t>
  </si>
  <si>
    <t>1100135958</t>
  </si>
  <si>
    <t>DIANA DUSSAN CLINICA AVANZADA SAS</t>
  </si>
  <si>
    <t>6789657 - 3213234399</t>
  </si>
  <si>
    <t>1100142539</t>
  </si>
  <si>
    <t>DIANA PULGARIN IPS SAS</t>
  </si>
  <si>
    <t>https://dradianapulgarin.com/</t>
  </si>
  <si>
    <t>1100142618</t>
  </si>
  <si>
    <t>DIONE SKIN CLINIC SAS</t>
  </si>
  <si>
    <t>https://https</t>
  </si>
  <si>
    <t>1100141120</t>
  </si>
  <si>
    <t>DMHV SAS SIGLA DMHV SAS</t>
  </si>
  <si>
    <t>CR 28 BIS 52 19 P1 CS 103 SALA PROCEDIMIENTOS 1 - SALA PROCEDIMIENTOS 2</t>
  </si>
  <si>
    <t>https://www.instagram.com/dramilenherrera/reels/</t>
  </si>
  <si>
    <t>1100128154</t>
  </si>
  <si>
    <t>DOC EN CASA ATENCIÓN INTEGRAL DOMICILIARIA SAS SIGLA DOC EN CASA</t>
  </si>
  <si>
    <t>www.docencasa.com</t>
  </si>
  <si>
    <t>1100138139</t>
  </si>
  <si>
    <t>DOMSALUD DEL META S.A.S SIGLA: DOMSALUD S.A.S</t>
  </si>
  <si>
    <t>3228820697</t>
  </si>
  <si>
    <t>coordinacioncalidad@domsalud.com</t>
  </si>
  <si>
    <t>https://www.domsalud.com/</t>
  </si>
  <si>
    <t>1100128757</t>
  </si>
  <si>
    <t>DR. HELP SALUD INTEGRAL A SU HOGAR S.A.S SIGLA DR.HELP SALUDINTEGRAL S.A.S</t>
  </si>
  <si>
    <t>3102208220 - 6495747 3112638261</t>
  </si>
  <si>
    <t>www.drhelpsas.com</t>
  </si>
  <si>
    <t>1100139509</t>
  </si>
  <si>
    <t>DUAL ÓPTICA Y AUDIOLOGÍA SAS</t>
  </si>
  <si>
    <t>https://dualsense.com.co</t>
  </si>
  <si>
    <t>1100139615</t>
  </si>
  <si>
    <t>ELITE IMÁGENES DIAGNÓSTICAS SAS</t>
  </si>
  <si>
    <t>AK 9 # 127B-16 LOCAL 3</t>
  </si>
  <si>
    <t>https://RADIOLOGIA</t>
  </si>
  <si>
    <t>1100121728</t>
  </si>
  <si>
    <t>ENDOGER S.A.S</t>
  </si>
  <si>
    <t>AC 127 14 54 Of 414B 415A 415B 416 417</t>
  </si>
  <si>
    <t>7561601</t>
  </si>
  <si>
    <t>endoger@yahoo.com</t>
  </si>
  <si>
    <t>www.endoger.com</t>
  </si>
  <si>
    <t>110010621302</t>
  </si>
  <si>
    <t>ENFASO PROCEDIMIENTOS PLUSS 127</t>
  </si>
  <si>
    <t>6232105-3134714621</t>
  </si>
  <si>
    <t>1100135928</t>
  </si>
  <si>
    <t>ENFERCARE SAS</t>
  </si>
  <si>
    <t>3176353366-3502268262</t>
  </si>
  <si>
    <t>WWW.ENFERCARE.COM.CO</t>
  </si>
  <si>
    <t>1100113406</t>
  </si>
  <si>
    <t>ENLACE LAB S.A.S</t>
  </si>
  <si>
    <t>Cl 120A 7 48</t>
  </si>
  <si>
    <t>1100111022</t>
  </si>
  <si>
    <t>ESCUELA COLOMBIANA DE INGENIERIA JULIO GARAVITO</t>
  </si>
  <si>
    <t>SANTOS GRANADOS GERMAN RICARDO</t>
  </si>
  <si>
    <t>AV 13 # 205 39 AUTOP NORTE KM 13</t>
  </si>
  <si>
    <t>6760077</t>
  </si>
  <si>
    <t>1100142759</t>
  </si>
  <si>
    <t>ESCULTORES DE SONRISAS IPS SAS</t>
  </si>
  <si>
    <t>CALLE 127 A N° 7 - 19 CONSULTORIO 407</t>
  </si>
  <si>
    <t>3213724172</t>
  </si>
  <si>
    <t>1100137606</t>
  </si>
  <si>
    <t>ESMEDICA CIRUPLASTICA COLOMBIA SAS</t>
  </si>
  <si>
    <t>https://ciruplastica.com.co</t>
  </si>
  <si>
    <t>1100125312</t>
  </si>
  <si>
    <t>ESPECIALIDADES ODONTOLOGICAS MAXPLUSS SAS</t>
  </si>
  <si>
    <t>CL 40 SUR #78A-43 PISO 1 - Barrio:KENNEDY</t>
  </si>
  <si>
    <t>1100125928</t>
  </si>
  <si>
    <t>ESPECIALISTAS CIRUJANOS PLÁSTICOS S.A.S . SIGLA: ECIPLAST S.A.S</t>
  </si>
  <si>
    <t>calle 120 A N° 7-05 PISO M</t>
  </si>
  <si>
    <t>1100143514</t>
  </si>
  <si>
    <t>ETERNA MEDICAL CLINIC S.A.S</t>
  </si>
  <si>
    <t>CLL 117 #6 A-60 Oficina 307</t>
  </si>
  <si>
    <t>https://eternamedicalcllinic.com</t>
  </si>
  <si>
    <t>1100121745</t>
  </si>
  <si>
    <t>EVALUA SALUD IPS SAS</t>
  </si>
  <si>
    <t>CRA 45 A No. 93-56</t>
  </si>
  <si>
    <t>8012047</t>
  </si>
  <si>
    <t>1100122160</t>
  </si>
  <si>
    <t>EVALUACION MEDICA PARA CONDUCTORES IPS SAS EMC IPS SAS</t>
  </si>
  <si>
    <t>CR 13 A 28 38 LOCALES 152-153-154-156-157</t>
  </si>
  <si>
    <t>1100133573</t>
  </si>
  <si>
    <t>EVOLUCIA SAS sigla EVOLUCIA</t>
  </si>
  <si>
    <t>CARRERA 23 NUMERO 45C 31 PISO 1 LOCAL 4</t>
  </si>
  <si>
    <t>gerencia@evolucia.com.co</t>
  </si>
  <si>
    <t>evolucia.com.co</t>
  </si>
  <si>
    <t>110011656901</t>
  </si>
  <si>
    <t>EXPOMONTURAS</t>
  </si>
  <si>
    <t>CALLE 19 NO 13-49</t>
  </si>
  <si>
    <t>2836728</t>
  </si>
  <si>
    <t>1100116569</t>
  </si>
  <si>
    <t>EXPOMONTURAS E.U.</t>
  </si>
  <si>
    <t>CALLE 19 NO. 13-49</t>
  </si>
  <si>
    <t>1100139296</t>
  </si>
  <si>
    <t>EXPRES SALUD SAS</t>
  </si>
  <si>
    <t>1100136367</t>
  </si>
  <si>
    <t>Edgar Gerardo Herrera Heredia SAS</t>
  </si>
  <si>
    <t>CALLE 127 No. 19 A 62 Cs 213</t>
  </si>
  <si>
    <t>https://gerardoherrera.com</t>
  </si>
  <si>
    <t>1100114721</t>
  </si>
  <si>
    <t>Emergencias Medicas 911 Ltda.</t>
  </si>
  <si>
    <t>805 11 09 - 321 4023823</t>
  </si>
  <si>
    <t>emergencias911@gmail.com</t>
  </si>
  <si>
    <t>1100125275</t>
  </si>
  <si>
    <t>Emmanuel Instituto de Rehabilitacion y Habilitacion Infantil s.as</t>
  </si>
  <si>
    <t>Calle 78 # 12A- 30 - Barrio:Chapinero</t>
  </si>
  <si>
    <t>www.emanuelips.com/</t>
  </si>
  <si>
    <t>1100120937</t>
  </si>
  <si>
    <t>Esthetics and Bussines Holding International SAS</t>
  </si>
  <si>
    <t>CL 98 # 9 A 46 PI 2 OF 201</t>
  </si>
  <si>
    <t>1100140106</t>
  </si>
  <si>
    <t>FABI TOP SERVICES SAS</t>
  </si>
  <si>
    <t>1100132923</t>
  </si>
  <si>
    <t>FABLE UN MUNDO HECHO COLOR IPS SAS</t>
  </si>
  <si>
    <t>TRANSVERSAL 54 # 103 B 03</t>
  </si>
  <si>
    <t>1100138672</t>
  </si>
  <si>
    <t>FBC NEUROLOGIA S.A.S SIGLA FBC NEUROLOGIA S.A.S</t>
  </si>
  <si>
    <t>Avenida Calle 127 # 20-78 Local 1 - 203 Edificio Horizonte</t>
  </si>
  <si>
    <t>https://braincognitiva.com/</t>
  </si>
  <si>
    <t>1100136774</t>
  </si>
  <si>
    <t>FEREST SALUD IPS SAS</t>
  </si>
  <si>
    <t>CALLE 63 SUR # 72 - 08 - Barrio:ISMAEL PERDOMO</t>
  </si>
  <si>
    <t>1100122235</t>
  </si>
  <si>
    <t>FIESTA STEREO SAS</t>
  </si>
  <si>
    <t>Cra 15 No. 134 - 21</t>
  </si>
  <si>
    <t>1100138408</t>
  </si>
  <si>
    <t>FISIO CENTER SAS</t>
  </si>
  <si>
    <t>1100129911</t>
  </si>
  <si>
    <t>FISIOGESTION S.A.S</t>
  </si>
  <si>
    <t>1100127344</t>
  </si>
  <si>
    <t>FISIORAD S.A.S</t>
  </si>
  <si>
    <t>Carrera 21 87 85 - Barrio:Polo</t>
  </si>
  <si>
    <t>3175635696-3002433- 6952932- 3196470624</t>
  </si>
  <si>
    <t>direcciondecallidad@fisiorad.com.co</t>
  </si>
  <si>
    <t>FISIORAD.COM.CO</t>
  </si>
  <si>
    <t>1100124093</t>
  </si>
  <si>
    <t>FISIOS CENTRO DE TERAPIA SAS</t>
  </si>
  <si>
    <t>3046037530</t>
  </si>
  <si>
    <t>calidad@fisios.com.co</t>
  </si>
  <si>
    <t>www.fisios.com.co</t>
  </si>
  <si>
    <t>1100119374</t>
  </si>
  <si>
    <t>FORJA EMPRESAS SAS</t>
  </si>
  <si>
    <t>Calle 99 No. 49-38 Oficina 501</t>
  </si>
  <si>
    <t>www.forjaempresas.com</t>
  </si>
  <si>
    <t>110010354301</t>
  </si>
  <si>
    <t>FOTOTERAPIA BOJANINI Y LOPEZ S.A.S</t>
  </si>
  <si>
    <t>Calle 127 bis # 19-25 con 302</t>
  </si>
  <si>
    <t>1100130303</t>
  </si>
  <si>
    <t>FRANJA PUBLICACIONES S.A.S</t>
  </si>
  <si>
    <t>CARRERA 63 No. 98-55</t>
  </si>
  <si>
    <t>2532222</t>
  </si>
  <si>
    <t>www.ciudadoptica.net</t>
  </si>
  <si>
    <t>1100105022</t>
  </si>
  <si>
    <t>FUNDACION INSTITUTO TECNOLÒGICO DEL SUR</t>
  </si>
  <si>
    <t>BORJORN SALES SEBASTIAN</t>
  </si>
  <si>
    <t>DIAG 50 A SUR # 26 80</t>
  </si>
  <si>
    <t>2301052</t>
  </si>
  <si>
    <t>1100124610</t>
  </si>
  <si>
    <t>FUNDACION IPS DE REHABILITACION EN SALUD MENTAL CONDUCTAL Y EMOCIONAL PARA NIÑOS, NIÑAS Y ADOLESCENTES "PSICOREHABILITAR IPS"</t>
  </si>
  <si>
    <t>AC 6 70B-71 - Barrio:MARSELLA</t>
  </si>
  <si>
    <t>2579259-3934167</t>
  </si>
  <si>
    <t>1100119254</t>
  </si>
  <si>
    <t>FUNDACION NEIJING BOGOTA PARA LA INVESTIGACION Y DESARROLLO DE LAS TRADICIONES ORIENTALES</t>
  </si>
  <si>
    <t>KR 16 # 33 20</t>
  </si>
  <si>
    <t>2326496</t>
  </si>
  <si>
    <t>fundacionneijingbogota@gmail.com</t>
  </si>
  <si>
    <t>1100121347</t>
  </si>
  <si>
    <t>FUNDACION PARA LA INVESTIGACION CLINICA Y MOLECULAR APLICADA DEL CANCER FICMAC</t>
  </si>
  <si>
    <t>1100109652</t>
  </si>
  <si>
    <t>FUNDACION PARA LA SALUD LA BIOETICA Y EL MEDIO AMBIENTE - FUNSABIAM</t>
  </si>
  <si>
    <t>3737121- 3508131374</t>
  </si>
  <si>
    <t>1100123946</t>
  </si>
  <si>
    <t>FUNDACIÓN PARA LA INVESTIGACIÓN EN DERMATOLOGÍA - FUNINDERMA"</t>
  </si>
  <si>
    <t>carrera 15 No 95-35 Oficina 205</t>
  </si>
  <si>
    <t>5335438</t>
  </si>
  <si>
    <t>1100125317</t>
  </si>
  <si>
    <t>FUNDACIÓN SERVICIOS Y ASESORIAS PROFESIONALES EN SALUD-SAP</t>
  </si>
  <si>
    <t>1100131902</t>
  </si>
  <si>
    <t>Fast Doctor SAS</t>
  </si>
  <si>
    <t>1100139969</t>
  </si>
  <si>
    <t>Fono Care &amp; Rehab Sas</t>
  </si>
  <si>
    <t>AVENIDA CALLE 134 -7B - 83 COS 217</t>
  </si>
  <si>
    <t>https://fono-care.com</t>
  </si>
  <si>
    <t>1100124820</t>
  </si>
  <si>
    <t>Fundacion Mujer y Familia</t>
  </si>
  <si>
    <t>Carrera 9 No. 23-49 Local 601 Centro Comercial Intercentro</t>
  </si>
  <si>
    <t>1100106801</t>
  </si>
  <si>
    <t>Fundación Clínica de Maternidad David Restrepo</t>
  </si>
  <si>
    <t>CRA 13 42 36 OFC 602</t>
  </si>
  <si>
    <t>https://fundaciondavidrestrepo.com.co</t>
  </si>
  <si>
    <t>1100130920</t>
  </si>
  <si>
    <t>GAES COLOMBIA SAS</t>
  </si>
  <si>
    <t>Carrera 14a 127-15 local 1</t>
  </si>
  <si>
    <t>www.gaes.co</t>
  </si>
  <si>
    <t>1100126656</t>
  </si>
  <si>
    <t>GAP BELLEZA INTEGRAL S.A.S.</t>
  </si>
  <si>
    <t>CLL 114 6A-92 OF. D 507 CENTRO COMERCIAL HACIENDA SANTA BARBARA</t>
  </si>
  <si>
    <t>1100129297</t>
  </si>
  <si>
    <t>GASTROADVANCED SAS</t>
  </si>
  <si>
    <t>CARRERA 23 # 45C-31 LOCAL # 1 Y 5 - Barrio:PALERMO</t>
  </si>
  <si>
    <t>3188010138 - 3184490289</t>
  </si>
  <si>
    <t>cristianfflorez@hotmail.com</t>
  </si>
  <si>
    <t>www.gastroadvanced.com</t>
  </si>
  <si>
    <t>1100135154</t>
  </si>
  <si>
    <t>GASTROENTEROLOGIA DIAGNOSTICO Y TRATAMIENTO IPS SAS</t>
  </si>
  <si>
    <t>1100124526</t>
  </si>
  <si>
    <t>GENCELL PHARMA S.A.S</t>
  </si>
  <si>
    <t>carrera 18 # 82-15</t>
  </si>
  <si>
    <t>smmatorel@labgencell.com info@labgencell.com</t>
  </si>
  <si>
    <t>1100140072</t>
  </si>
  <si>
    <t>GENMEDIS SAS</t>
  </si>
  <si>
    <t>https://genmedis.com/</t>
  </si>
  <si>
    <t>1100122274</t>
  </si>
  <si>
    <t>GERIZIM SALUD SAS SIGLA GERIZIM SST</t>
  </si>
  <si>
    <t>Calle 98 21 36 Oficina 401 - Edificio Centro 98 Bogota D.C.</t>
  </si>
  <si>
    <t>1100138406</t>
  </si>
  <si>
    <t>GESTION INTEGRAL EN SALUD,SEGURIDAD Y AMBIENTE S.A.S GEMSSA S.A.S</t>
  </si>
  <si>
    <t>Calle 23 F #75-21 Piso 1 Barrio Modelia</t>
  </si>
  <si>
    <t>https://www.gemssa.co</t>
  </si>
  <si>
    <t>1100138286</t>
  </si>
  <si>
    <t>GESTORES INTEGRALES DE LO TERAPEUTICO Y LA SALUD S.A.S. GITESA S.A.S</t>
  </si>
  <si>
    <t>CALLE 99 #49 -78 OF 304</t>
  </si>
  <si>
    <t>https://orientarkids.com</t>
  </si>
  <si>
    <t>1100122816</t>
  </si>
  <si>
    <t>GIGAPALMAR SOCIEDAD POR ACCIONES SIMPLIFICADA SIGLA GIGAPALMAR</t>
  </si>
  <si>
    <t>CL 121 No. 7 A 07</t>
  </si>
  <si>
    <t>1100138391</t>
  </si>
  <si>
    <t>GIR BRO SAS</t>
  </si>
  <si>
    <t>CALLE 11# 8-80 P 3 OFC 301</t>
  </si>
  <si>
    <t>https://girbro.co/</t>
  </si>
  <si>
    <t>1100140107</t>
  </si>
  <si>
    <t>GLOBAL CARE NEURODIAGNOSTIC SAS</t>
  </si>
  <si>
    <t>AVENIDA CALLE 127 # 20 - 78 CONSULTORIO 609</t>
  </si>
  <si>
    <t>https://globalneuro.care</t>
  </si>
  <si>
    <t>1100142470</t>
  </si>
  <si>
    <t>GLOBAL OBESITY INVESTMENTS SAS</t>
  </si>
  <si>
    <t>https://gerencia1.gog@gmail.com</t>
  </si>
  <si>
    <t>1100141896</t>
  </si>
  <si>
    <t>GLOW DERMATOLOGY S.A.S</t>
  </si>
  <si>
    <t>Carrera 71 D 6 94 Sur Local 3513 CC Plaza De Las Americas - Barrio:Kennedy</t>
  </si>
  <si>
    <t>https://.</t>
  </si>
  <si>
    <t>1100126740</t>
  </si>
  <si>
    <t>GRUPO 20 20 SAS CUYA SIGLA ES GRUPO 20 20</t>
  </si>
  <si>
    <t>CL 59 C SUR No. 89 A 40 - Barrio:BOSA RECREO</t>
  </si>
  <si>
    <t>7044655</t>
  </si>
  <si>
    <t>1100141379</t>
  </si>
  <si>
    <t>GRUPO DE ORTOPEDIA INFANTIL - GOI SAS</t>
  </si>
  <si>
    <t>CARRERA 18 N 80 - 42/52 CONS. 205 CENTRO MEDICO ALENTA</t>
  </si>
  <si>
    <t>https://grupoortopediagoi@yahoo.com</t>
  </si>
  <si>
    <t>1100130345</t>
  </si>
  <si>
    <t>GRUPO EMPRESARIAL SALUD IPS SAS</t>
  </si>
  <si>
    <t>AVENIDA CALLE 53 # 73 - 15 OFICINA 101 - BARRIO NORMANDIA</t>
  </si>
  <si>
    <t>1100122080</t>
  </si>
  <si>
    <t>GRUPO EMPRESARIAL SALUD POSITIVA S.A.S.</t>
  </si>
  <si>
    <t>1100123901</t>
  </si>
  <si>
    <t>GRUPO EMPRESARIAL SEVILLA SAS</t>
  </si>
  <si>
    <t>CLL 17 SUR NO 16-69</t>
  </si>
  <si>
    <t>www.dentisalud.com.co</t>
  </si>
  <si>
    <t>1100120846</t>
  </si>
  <si>
    <t>GRUPO FILODERM SAS</t>
  </si>
  <si>
    <t>Cll 8 B No 78-22</t>
  </si>
  <si>
    <t>2711414 - 3102157304</t>
  </si>
  <si>
    <t>1100125654</t>
  </si>
  <si>
    <t>GRUPO HOJA MEDICA S.A.S</t>
  </si>
  <si>
    <t>KR 15 # 83 - 33 PISO 1, PISO 3 CONSULTORIO 303, PISO 4, PISO 5, PISO 6</t>
  </si>
  <si>
    <t>7456568 EXT 5001 Y 5002</t>
  </si>
  <si>
    <t>administracion@clinicadhara.com</t>
  </si>
  <si>
    <t>1100142493</t>
  </si>
  <si>
    <t>GRUPO INTEGRAL DE SALUD S.A.S</t>
  </si>
  <si>
    <t>https://uniendoscopia@gmail.com</t>
  </si>
  <si>
    <t>1100128321</t>
  </si>
  <si>
    <t>GRUPO OPTILINE SAS</t>
  </si>
  <si>
    <t>CALLE 19 9 01 OFICINA 805</t>
  </si>
  <si>
    <t>1100128862</t>
  </si>
  <si>
    <t>GRUPO ORAL HOME S.A.</t>
  </si>
  <si>
    <t>4117621 - 3154678427</t>
  </si>
  <si>
    <t>www.oralhome.com.co</t>
  </si>
  <si>
    <t>1100122665</t>
  </si>
  <si>
    <t>GRUPO PLUSS SAS</t>
  </si>
  <si>
    <t>2825621-2815175</t>
  </si>
  <si>
    <t>1100139169</t>
  </si>
  <si>
    <t>GRUPO RECONOCER IPS SAS</t>
  </si>
  <si>
    <t>1100134397</t>
  </si>
  <si>
    <t>GUADALUPE MEDICAL CENTER MP CALLEJA SAS</t>
  </si>
  <si>
    <t>CALLE 127 BIS N° 19-25 OFICINA 202 A-203-208 EDIFICIO IMAGEN</t>
  </si>
  <si>
    <t>3174323587 -3164537618</t>
  </si>
  <si>
    <t>Gerenciaguadalupe127@gmail.com -miriamp2803@gmail.com</t>
  </si>
  <si>
    <t>1100142290</t>
  </si>
  <si>
    <t>GUERRERO &amp; DELGADO AESTHETIC SOLUTIONS SAS</t>
  </si>
  <si>
    <t>AVENIDA CARRERA 19 108 45 OFICINA 201-A</t>
  </si>
  <si>
    <t>1100136427</t>
  </si>
  <si>
    <t>Grupo AValer. S.A.S</t>
  </si>
  <si>
    <t>Calle 102 N. 70-41 Bodega Piso 1</t>
  </si>
  <si>
    <t>gerencia.avaler@gmail.com</t>
  </si>
  <si>
    <t>www.grupoavaler.com</t>
  </si>
  <si>
    <t>1100126213</t>
  </si>
  <si>
    <t>Guiar Salud IPS Y HSEQS EN CS</t>
  </si>
  <si>
    <t>KR 27 # 13 39</t>
  </si>
  <si>
    <t>3227398177</t>
  </si>
  <si>
    <t>1100121010</t>
  </si>
  <si>
    <t>H &amp; H LAB LABORATORIO DE REFERENCIA EN HEMOSTASIA Y HEMATOLOGIA SAS</t>
  </si>
  <si>
    <t>CRA 16 # 80-77 CONSULTORIO 208-209</t>
  </si>
  <si>
    <t>2960563-64</t>
  </si>
  <si>
    <t>1100133476</t>
  </si>
  <si>
    <t>H&amp;R AMBULANCIAS IPS SAS H&amp;R AMBULANCIAS</t>
  </si>
  <si>
    <t>CALLE 5 78 B - 60</t>
  </si>
  <si>
    <t>1100120753</t>
  </si>
  <si>
    <t>HACES INVERSIONES Y SERVICIOS SAS</t>
  </si>
  <si>
    <t>Calle 100 #19 A - 30 Oficina 801</t>
  </si>
  <si>
    <t>1100121676</t>
  </si>
  <si>
    <t>HAIR DOCTORS AND HAIR HEALTH S.A.S</t>
  </si>
  <si>
    <t>www.hairdoctors.com.co</t>
  </si>
  <si>
    <t>1100128942</t>
  </si>
  <si>
    <t>HEALTH &amp; LIFE IPS SAS SIGLA H&amp;L UCC SAS</t>
  </si>
  <si>
    <t>Av Carrera 68 # 13 - 73 - Barrio:GRANJAS DE TECHO</t>
  </si>
  <si>
    <t>https://heli.com.co/</t>
  </si>
  <si>
    <t>1100135189</t>
  </si>
  <si>
    <t>HEALTH GROUP SAS</t>
  </si>
  <si>
    <t>3124560928 - 3125732665</t>
  </si>
  <si>
    <t>www.healthgroup.com.co</t>
  </si>
  <si>
    <t>1100133185</t>
  </si>
  <si>
    <t>HEALTH PLUS IPS SAS</t>
  </si>
  <si>
    <t>Calle 120 45A-20</t>
  </si>
  <si>
    <t>1100107491</t>
  </si>
  <si>
    <t>HOGAR SANTA TERESA JORNET DE LA CONGREGACION DE LAS HERMANITAS DE LOS ANCIANOS DESEMPARADOS</t>
  </si>
  <si>
    <t>SUBEIRO SUAREZ BERNARDINA</t>
  </si>
  <si>
    <t>KR 97 # 22 G 64</t>
  </si>
  <si>
    <t>2673148</t>
  </si>
  <si>
    <t>1100138162</t>
  </si>
  <si>
    <t>HOSPICLAB SAS</t>
  </si>
  <si>
    <t>1100128228</t>
  </si>
  <si>
    <t>Health Suppliers SAS</t>
  </si>
  <si>
    <t>7433754</t>
  </si>
  <si>
    <t>agrimaldi@clinicamentco.com</t>
  </si>
  <si>
    <t>www.clinicametco.com</t>
  </si>
  <si>
    <t>1100128291</t>
  </si>
  <si>
    <t>Healthy Clinicas de Adelgazamiento SAS</t>
  </si>
  <si>
    <t>Tr 60 # 120-27 P 1 LC 2 - Barrio:Niza Antigua</t>
  </si>
  <si>
    <t>1100135237</t>
  </si>
  <si>
    <t>Helistar SAS</t>
  </si>
  <si>
    <t>AER EL DORADO EN 1 IN 8</t>
  </si>
  <si>
    <t>6017424958 ext 109 -113 3143574028</t>
  </si>
  <si>
    <t>1100121361</t>
  </si>
  <si>
    <t>Helpharma SAS</t>
  </si>
  <si>
    <t>Calle 31 No. 13 A 51 OF 318</t>
  </si>
  <si>
    <t>www.helpharma.com.co</t>
  </si>
  <si>
    <t>1100135029</t>
  </si>
  <si>
    <t>Hero institute bogota s.a.s</t>
  </si>
  <si>
    <t>1100138968</t>
  </si>
  <si>
    <t>IMEDHEALTH S.A.S. IPS SIGLA IMEDH S.A.S.</t>
  </si>
  <si>
    <t>3017593941</t>
  </si>
  <si>
    <t>https://www.imedh.com.co</t>
  </si>
  <si>
    <t>1100130514</t>
  </si>
  <si>
    <t>IMPROVE QUALITY REDUCE COST SAVE LIFES AUDITORES SAS (QCL AUDITORES SAS)</t>
  </si>
  <si>
    <t>CALLE 63 A No. 35 -39 - Barrio:EL ROSARIO</t>
  </si>
  <si>
    <t>7462367</t>
  </si>
  <si>
    <t>110010447101</t>
  </si>
  <si>
    <t>INDESAN S.A SONRIA -NORMANDIA</t>
  </si>
  <si>
    <t>AV BOYACA No. 51-96</t>
  </si>
  <si>
    <t>d.vega@indesan.net</t>
  </si>
  <si>
    <t>1100139793</t>
  </si>
  <si>
    <t>INNER BEAUTY SAS</t>
  </si>
  <si>
    <t>KR 11 # 84-09 LOCAL 22</t>
  </si>
  <si>
    <t>https://innerbeauty@drlauracala.com</t>
  </si>
  <si>
    <t>1100132651</t>
  </si>
  <si>
    <t>INNOVA RETAIL S.A.S.</t>
  </si>
  <si>
    <t>http://cyglocolombia.com</t>
  </si>
  <si>
    <t>1100142770</t>
  </si>
  <si>
    <t>INPROSALUD PLUS S.A.S</t>
  </si>
  <si>
    <t>DIAGONAL 57 C SUR 62 60 LOCAL 303 - Barrio: PASEO DEL RIO</t>
  </si>
  <si>
    <t>3142192664</t>
  </si>
  <si>
    <t>calidad@inprosaludplus.com.co</t>
  </si>
  <si>
    <t>https://inprosalud.com.co</t>
  </si>
  <si>
    <t>1100138475</t>
  </si>
  <si>
    <t>INSTITUCION PRESTADORA DE SALUD - IPS CITYMEDICAL S.A.S Sigla: CITYMEDICAL</t>
  </si>
  <si>
    <t>https://citimedicalips</t>
  </si>
  <si>
    <t>110010184701</t>
  </si>
  <si>
    <t>INSTITUTO AMERICANO DE OFTALMOLOGIA</t>
  </si>
  <si>
    <t>110010752401</t>
  </si>
  <si>
    <t>INSTITUTO COLOMBIANO DE ENFERMEDADES VASCULARES ICEV LTDA.</t>
  </si>
  <si>
    <t>secgerencia@cardiovascularnavarra.org</t>
  </si>
  <si>
    <t>110010756401</t>
  </si>
  <si>
    <t>INSTITUTO DE CIRUGIA OCULAR PALERMO</t>
  </si>
  <si>
    <t>2456623-2455428</t>
  </si>
  <si>
    <t>1100136571</t>
  </si>
  <si>
    <t>INSTITUTO DE CIRUGIA PLASTICA FACIAL, CORPORAL Y OTORRINOLARINGOLOGIA IPS SAS SIGLA ICONO IPS SAS</t>
  </si>
  <si>
    <t>1100121399</t>
  </si>
  <si>
    <t>INSTITUTO DE CIRUGÍA PLÁSTICA, RECONSTRUCTIVA Y SALUD ESTETICA VITALUM I.P.S. S.A.S.</t>
  </si>
  <si>
    <t>Carrera 7 BIS No. 124 - 26 Oficina 701-702</t>
  </si>
  <si>
    <t>dfinanciera@alangonzalez.com</t>
  </si>
  <si>
    <t>www.alangonzalez.com</t>
  </si>
  <si>
    <t>1100126891</t>
  </si>
  <si>
    <t>INSTITUTO DE OSTEOPOROSIS S.A.S</t>
  </si>
  <si>
    <t>AV. BOYACA No. 54 A - 15</t>
  </si>
  <si>
    <t>1100128173</t>
  </si>
  <si>
    <t>INSTITUTO NACIONAL DE INVESTIGACION Y MEDICINA ESPECIALIZADA SAS (INVAMES SAS)</t>
  </si>
  <si>
    <t>CARRERA 14 No.98-95 CONSUL 306</t>
  </si>
  <si>
    <t>contabilidadinvames@gmail.com</t>
  </si>
  <si>
    <t>1100124352</t>
  </si>
  <si>
    <t>INSTITUTO NACIONAL DE OFTALMOLOGIA SA / INO OPHTHALMIC AND PLASTIC SURGERY Sigla INO COLOMBIA SA</t>
  </si>
  <si>
    <t>www.inocolombia.com</t>
  </si>
  <si>
    <t>1100113483</t>
  </si>
  <si>
    <t>INTEGRAL SALUD LTDA</t>
  </si>
  <si>
    <t>CL 109 # 17 A 35 CS 401</t>
  </si>
  <si>
    <t>1100138492</t>
  </si>
  <si>
    <t>INTERCARDIO S.A.S</t>
  </si>
  <si>
    <t>1100142964</t>
  </si>
  <si>
    <t>INTERCIRUGIAS BOGOTA IPS SAS</t>
  </si>
  <si>
    <t>1100122917</t>
  </si>
  <si>
    <t>INVERSIONES ALEXANDER LLANOS SAS</t>
  </si>
  <si>
    <t>Cra. 13 No. 119-54</t>
  </si>
  <si>
    <t>www.alexllanos.com</t>
  </si>
  <si>
    <t>1100124967</t>
  </si>
  <si>
    <t>INVERSIONES CLABE ORAL SAS</t>
  </si>
  <si>
    <t>AK 58 128B 29 PISO 1</t>
  </si>
  <si>
    <t>www.solucionesdiagnosticas3d.com</t>
  </si>
  <si>
    <t>1100110677</t>
  </si>
  <si>
    <t>INVERSIONES CREAR RAMA SAS</t>
  </si>
  <si>
    <t>CRA 7 # 17 - 75 LOCAL 13 - Barrio:CENTRO</t>
  </si>
  <si>
    <t>601 7459010 ext 1119-1101-1103</t>
  </si>
  <si>
    <t>1100124918</t>
  </si>
  <si>
    <t>INVERSIONES CROMAX3D SAS</t>
  </si>
  <si>
    <t>1100139765</t>
  </si>
  <si>
    <t>INVERSIONES EN SALUD Y TECNOLOGIA S.A.S</t>
  </si>
  <si>
    <t>CALLE 95 # 11A -27 PISO 1 , 3 Y 4</t>
  </si>
  <si>
    <t>https://gerencia@bodyinstitute.co</t>
  </si>
  <si>
    <t>1100123379</t>
  </si>
  <si>
    <t>INVERSIONES NASHAO S A S</t>
  </si>
  <si>
    <t>3222367982</t>
  </si>
  <si>
    <t>1100123163</t>
  </si>
  <si>
    <t>INVERSIONES OKEL SAS</t>
  </si>
  <si>
    <t>CLL 36 SUR 78A 10</t>
  </si>
  <si>
    <t>4484047</t>
  </si>
  <si>
    <t>myriamfelisagomez@gmail.com</t>
  </si>
  <si>
    <t>1100130008</t>
  </si>
  <si>
    <t>INVERSIONES VASQUEZ MUÑOZ SAS SIGLA INVERSIONES V&amp;M</t>
  </si>
  <si>
    <t>Diagonal 21 A No. 19-52 Sur</t>
  </si>
  <si>
    <t>7522037- celular 3212427461</t>
  </si>
  <si>
    <t>orthoevolution@gmail.com</t>
  </si>
  <si>
    <t>110011764901</t>
  </si>
  <si>
    <t>INVERSIONES Y REPRESENTACIONES ALFA YA ALFA</t>
  </si>
  <si>
    <t>AV. 19 # 12-45</t>
  </si>
  <si>
    <t>2815535</t>
  </si>
  <si>
    <t>1100117649</t>
  </si>
  <si>
    <t>INVERSIONES Y REPRESENTACIONES ALFA YA LTDA</t>
  </si>
  <si>
    <t>AV. 19 #12-45</t>
  </si>
  <si>
    <t>1100127466</t>
  </si>
  <si>
    <t>INVIGEN SAS</t>
  </si>
  <si>
    <t>1100135161</t>
  </si>
  <si>
    <t>IPS ALPHA MEDI SAS</t>
  </si>
  <si>
    <t>3202032821</t>
  </si>
  <si>
    <t>IPSALPHAMEDI@GMAIL.COM</t>
  </si>
  <si>
    <t>1100137780</t>
  </si>
  <si>
    <t>IPS APRUEBA CALI S.A.S.</t>
  </si>
  <si>
    <t>https://www.a-prueba.com</t>
  </si>
  <si>
    <t>1100125016</t>
  </si>
  <si>
    <t>IPS Anmediprev LTDA</t>
  </si>
  <si>
    <t>ipsanmediprev@gmail.com</t>
  </si>
  <si>
    <t>1100135902</t>
  </si>
  <si>
    <t>IPS CMT Soluciones Medicas SAS</t>
  </si>
  <si>
    <t>gerencia@cmtespecialistas.com</t>
  </si>
  <si>
    <t>1100135019</t>
  </si>
  <si>
    <t>IPS Cuidar HQS S.A.S</t>
  </si>
  <si>
    <t>www.cuidarhqs.com.co</t>
  </si>
  <si>
    <t>1100120231</t>
  </si>
  <si>
    <t>IPS ESPECIALIZADA S.A.</t>
  </si>
  <si>
    <t>CR 68 A # 24B 10 CC Plaza Claro TO 3 P 6 OF 4 - Barrio:</t>
  </si>
  <si>
    <t>1100140468</t>
  </si>
  <si>
    <t>IPS FAMIVIVIR S.A.S</t>
  </si>
  <si>
    <t>1100141204</t>
  </si>
  <si>
    <t>IPS HORIZONTE SOCIAL LA ESPERANZA SOCIEDAD POR ACCIONES SIMPLIFICADA (IPS HORISOES SAS)</t>
  </si>
  <si>
    <t>Carrera 7 Bis#124-56/64 edificio Vitale Consultorio 401</t>
  </si>
  <si>
    <t>https://www.saludhorisoes.com/</t>
  </si>
  <si>
    <t>1100133638</t>
  </si>
  <si>
    <t>IPS KAMAL CLINICA DE MEDICINA ESTETICA Y SPA SAS</t>
  </si>
  <si>
    <t>1100138541</t>
  </si>
  <si>
    <t>IPS LIFE-PRO S.A.S SIGLA LIFE - PRO</t>
  </si>
  <si>
    <t>Ac 116 # 9 72 Cs 301 Ed Global Medical Center</t>
  </si>
  <si>
    <t>1100143577</t>
  </si>
  <si>
    <t>IPS ODONTOLOGICA LUZ HELENA ESQUIVEL HINCAPIE SAS Sigla LUCESQUIVEL S.A.S</t>
  </si>
  <si>
    <t>1100138539</t>
  </si>
  <si>
    <t>IPS ODONTOLÓGICA DRA PATRICIA CAICEDO SAS</t>
  </si>
  <si>
    <t>https:// www.drapatriciacaicedo.com</t>
  </si>
  <si>
    <t>1100119023</t>
  </si>
  <si>
    <t>IPS RADIOLOGIA ESPECIALIZADA S.A.S</t>
  </si>
  <si>
    <t>1100139071</t>
  </si>
  <si>
    <t>IPS SAN MARTIN BOGOTA SAS</t>
  </si>
  <si>
    <t>Cr 54 No. 3 28 CONS 201,203,204,301,302,401,402,403,404,501</t>
  </si>
  <si>
    <t>1100133824</t>
  </si>
  <si>
    <t>IPS TERAPÉUTICA INTEGRAL S.A.S</t>
  </si>
  <si>
    <t>KR 71 b # 55 59</t>
  </si>
  <si>
    <t>1100137835</t>
  </si>
  <si>
    <t>IPS WELLNESS HEALTH SAS</t>
  </si>
  <si>
    <t>https://www.ipswellnesshealth.com</t>
  </si>
  <si>
    <t>1100141165</t>
  </si>
  <si>
    <t>ISALO SAS</t>
  </si>
  <si>
    <t>1100139389</t>
  </si>
  <si>
    <t>ISAMA SOCIEDAD POR ACCIONES SIMPLIFICADA SIGLA ISAMA SAS</t>
  </si>
  <si>
    <t>CALLE 127D 45-60 1 PISO</t>
  </si>
  <si>
    <t>https://isama.com.co</t>
  </si>
  <si>
    <t>1100122698</t>
  </si>
  <si>
    <t>ITAL LENT SAS</t>
  </si>
  <si>
    <t>c-leal@ital-lent.com</t>
  </si>
  <si>
    <t>www.ital-lent.com</t>
  </si>
  <si>
    <t>1100140028</t>
  </si>
  <si>
    <t>IVEST MEDICAL CENTER SAS</t>
  </si>
  <si>
    <t>CL 114 # 6A-92 LC D222</t>
  </si>
  <si>
    <t>1100122733</t>
  </si>
  <si>
    <t>Iconmédica SAS</t>
  </si>
  <si>
    <t>Calle 97 # 23 - 37 Cons 615</t>
  </si>
  <si>
    <t>320 20 77 257 311 2765448</t>
  </si>
  <si>
    <t>1100124256</t>
  </si>
  <si>
    <t>Instituto De Estetica Medica De Colombia LTDA</t>
  </si>
  <si>
    <t>6190865 - 6566460 - 6124457</t>
  </si>
  <si>
    <t>info@draluzmarinadiaz.com</t>
  </si>
  <si>
    <t>www.draluzmarinadiaz.com</t>
  </si>
  <si>
    <t>1100120697</t>
  </si>
  <si>
    <t>Instituto piel Renaissence SAS</t>
  </si>
  <si>
    <t>3378912 - 3133499734 - 3108562016</t>
  </si>
  <si>
    <t>claudiacp16@hotmail.com</t>
  </si>
  <si>
    <t>www.institutopiel.com</t>
  </si>
  <si>
    <t>1100129987</t>
  </si>
  <si>
    <t>J&amp;E QUALITY HEALTH SYSTEMS SAS</t>
  </si>
  <si>
    <t>CALLE 63 77C-28</t>
  </si>
  <si>
    <t>3102414265 - 3229494354</t>
  </si>
  <si>
    <t>1100138593</t>
  </si>
  <si>
    <t>JAASIEL ATENCIÓN INTEGRAL IPS SAS</t>
  </si>
  <si>
    <t>https://jaasiel.com.co/</t>
  </si>
  <si>
    <t>1100126920</t>
  </si>
  <si>
    <t>JAVIER MARQUEZ FABRICA DE SONRISAS SAS</t>
  </si>
  <si>
    <t>AV CALLE 26 No. 68 C-61 LOCAL 1-15 EDIF TORRE CENTRAL</t>
  </si>
  <si>
    <t>www.fabricadesonrisas.net</t>
  </si>
  <si>
    <t>1100138580</t>
  </si>
  <si>
    <t>JR DIAGNOSTIC SAS</t>
  </si>
  <si>
    <t>https://www.jrdiagnostic.com</t>
  </si>
  <si>
    <t>1100131144</t>
  </si>
  <si>
    <t>JUAN BETANCUR-SERVICIOS DE SALUD,MEDICOS DEPORTIVOS Y DE RECREACION S.A.S SIGLA: BLACKFITNESS - CENTRO MEDICO DEPORTIVO Y ACONDICIONAMIENTO FISICO</t>
  </si>
  <si>
    <t>CALLE 119 Nº 12 - 55 PISO 3 CS 1</t>
  </si>
  <si>
    <t>3105869372/7127228</t>
  </si>
  <si>
    <t>1100114619</t>
  </si>
  <si>
    <t>JUAN CARLOS ARBELAEZ ECHEVERRY SAS</t>
  </si>
  <si>
    <t>KR 16 A # 82 46 CS 505</t>
  </si>
  <si>
    <t>2960533</t>
  </si>
  <si>
    <t>arbelaezmarino@hotmail.com</t>
  </si>
  <si>
    <t>1100137079</t>
  </si>
  <si>
    <t>KEEP MOVING SAS</t>
  </si>
  <si>
    <t>CL 119 # 7 - 14 CS 716</t>
  </si>
  <si>
    <t>natisguti@hotmail.com</t>
  </si>
  <si>
    <t>1100123293</t>
  </si>
  <si>
    <t>LABORATORIO CLINICO COLMEDICOS IPS S.A.S - COLMEDICOS S.A.S</t>
  </si>
  <si>
    <t>CARRERA 19 A 76-34</t>
  </si>
  <si>
    <t>www.colmedicos.com</t>
  </si>
  <si>
    <t>1100129999</t>
  </si>
  <si>
    <t>LABORATORIO CLINICO PROTEGER IPS PROFESIONALES EN SALUD OCUPACIONAL Y CALIDAD S.A.S.</t>
  </si>
  <si>
    <t>CL 93 # 57 - 25 PISO 1 - Barrio:</t>
  </si>
  <si>
    <t>www.protegerips.com</t>
  </si>
  <si>
    <t>1100127346</t>
  </si>
  <si>
    <t>LABORATORIO LORENA VEJARANO SAS</t>
  </si>
  <si>
    <t>Calle 25G Nº85B-89</t>
  </si>
  <si>
    <t>www.lorenavejarano.com</t>
  </si>
  <si>
    <t>1100123845</t>
  </si>
  <si>
    <t>LAFAM SAS</t>
  </si>
  <si>
    <t>Av Cra 19 No 164-64</t>
  </si>
  <si>
    <t>www.lafamvisioncenter.com.co</t>
  </si>
  <si>
    <t>1100143197</t>
  </si>
  <si>
    <t>LASER COUNTRY DERMATOLOGIA SAS</t>
  </si>
  <si>
    <t>1100121539</t>
  </si>
  <si>
    <t>LASER SURGICAL CLINIC SAS</t>
  </si>
  <si>
    <t>3103235214-3102167641 -3173787944 - 3005286050-3237961466</t>
  </si>
  <si>
    <t>aestheticlinical@hotmail.com</t>
  </si>
  <si>
    <t>www.aesthetic.com</t>
  </si>
  <si>
    <t>1100140075</t>
  </si>
  <si>
    <t>LGO ODONTOLOGOS SAS SIGLA LGO</t>
  </si>
  <si>
    <t>AK 15 88 64 Oficina 414 - 415</t>
  </si>
  <si>
    <t>1100121070</t>
  </si>
  <si>
    <t>LIGA COLOMBIANA CONTRA EL CÁNCER</t>
  </si>
  <si>
    <t>Carrera 12 A Nº 77- 34</t>
  </si>
  <si>
    <t>7441780 - 3133954584</t>
  </si>
  <si>
    <t>www.ligacancercolombia.org</t>
  </si>
  <si>
    <t>1100128345</t>
  </si>
  <si>
    <t>La dentisteria Clinica de Especialistas S.A.S</t>
  </si>
  <si>
    <t>Cra 80C#24C-19 Lc 1</t>
  </si>
  <si>
    <t>www.ladentisteria.com.co</t>
  </si>
  <si>
    <t>1100126716</t>
  </si>
  <si>
    <t>Laboral Health SAS</t>
  </si>
  <si>
    <t>CL 118 # 19 - 09 Cs 201</t>
  </si>
  <si>
    <t>www.laboralhealth.com</t>
  </si>
  <si>
    <t>1100130028</t>
  </si>
  <si>
    <t>Logic Medical Service Assist SAS</t>
  </si>
  <si>
    <t>Cll 42 Bis A Sur # 74 - 35 1 PISO</t>
  </si>
  <si>
    <t>1100142930</t>
  </si>
  <si>
    <t>MANOS MAESTRAS S.A.S CIRUGÍA ESTÉTICA INTEGRAL</t>
  </si>
  <si>
    <t>Avenida Carrera 19 # 95 31 Oficina 205</t>
  </si>
  <si>
    <t>https://https://www.emis.com/php/company-profile/CO/Manos_Maestras_SAS_Cirugia_Estetica_Integral_es_3559790.html</t>
  </si>
  <si>
    <t>1100117858</t>
  </si>
  <si>
    <t>MANTILLA SILVA S.A.S.</t>
  </si>
  <si>
    <t>1100125771</t>
  </si>
  <si>
    <t>MAPLE RESPIRATORY IPS SAS</t>
  </si>
  <si>
    <t>CRA 46#95-35</t>
  </si>
  <si>
    <t>www.maplerespiratory.co</t>
  </si>
  <si>
    <t>1100122580</t>
  </si>
  <si>
    <t>MARLON BECERRA SAS</t>
  </si>
  <si>
    <t>gerencia@ombchapinero.com</t>
  </si>
  <si>
    <t>www.marlonbecerrasas.com</t>
  </si>
  <si>
    <t>1100117930</t>
  </si>
  <si>
    <t>MARTHA TORRES DE RESTREPO IPS E.U</t>
  </si>
  <si>
    <t>CARRERA 16 No. 84 A 09 CONSULTORIOS 621 Y 622 CENTRO MEDICO ALMIRANTE COLON - Barrio:ANTIGUO COUNTRY</t>
  </si>
  <si>
    <t>7291825-6313247-3102951904</t>
  </si>
  <si>
    <t>1100140463</t>
  </si>
  <si>
    <t>MAS - SALUD MENTAL INTEGRAL SAS</t>
  </si>
  <si>
    <t>1100142091</t>
  </si>
  <si>
    <t>MASTERS OF SENCIA S.A.S</t>
  </si>
  <si>
    <t>3173003821</t>
  </si>
  <si>
    <t>https://NA</t>
  </si>
  <si>
    <t>1100140197</t>
  </si>
  <si>
    <t>MD SERVICIOS DENTALES Y MEDICOS SAS SIGLA: MD</t>
  </si>
  <si>
    <t>1100132056</t>
  </si>
  <si>
    <t>MEDIARTE MEDICAL CENTER SAS SIGLA MEDIARTE MEDICAL CENTER SAS</t>
  </si>
  <si>
    <t>Avenida Carrera 15 No 88 64 Local 102 - Barrio:VIRREY</t>
  </si>
  <si>
    <t>https://www.mediarte.com</t>
  </si>
  <si>
    <t>1100130110</t>
  </si>
  <si>
    <t>MEDICAL LEGAL CONSULTING LTDA Sigla: MEDICAL L. LTDA.</t>
  </si>
  <si>
    <t>Cll 72 # 9 55 Piso 5 Oficina 503</t>
  </si>
  <si>
    <t>https://medicalltda.com.co</t>
  </si>
  <si>
    <t>1100121323</t>
  </si>
  <si>
    <t>MEDICARTE S.A.S</t>
  </si>
  <si>
    <t>notificaciones@medicarte.com.co</t>
  </si>
  <si>
    <t>www.medicarte.net</t>
  </si>
  <si>
    <t>1100129797</t>
  </si>
  <si>
    <t>MEDICAS #1 IPS S.A.S.</t>
  </si>
  <si>
    <t>AV. CIUDAD DE CALI CR. 86 No.37 - 08 SUR</t>
  </si>
  <si>
    <t>4509527 - 4510248</t>
  </si>
  <si>
    <t>1100138392</t>
  </si>
  <si>
    <t>MEDICINA CONTROLES Y DIAGNOSTICOS EN SALUD OCUPACIONAL IPS S.A.S - MEDICID IPS S.A.S.</t>
  </si>
  <si>
    <t>Cra 49 # 94 - 96</t>
  </si>
  <si>
    <t>3176595588</t>
  </si>
  <si>
    <t>http://www.medicidsas.com/new/</t>
  </si>
  <si>
    <t>1100128773</t>
  </si>
  <si>
    <t>MEDICINA NUCLEAR DE BOGOTA S.A.S</t>
  </si>
  <si>
    <t>1100115547</t>
  </si>
  <si>
    <t>MEDICINA NUCLEAR PALERMO ORGANIZACION SANITAS INTERNACIONAL SAS</t>
  </si>
  <si>
    <t>1100136744</t>
  </si>
  <si>
    <t>MEDICINA Y TERAPIAS DOMICILIARIAS S.A.S. SIGLA M.T.D S.A.S</t>
  </si>
  <si>
    <t>3336025696</t>
  </si>
  <si>
    <t>https://mtdom.com/</t>
  </si>
  <si>
    <t>110010861302</t>
  </si>
  <si>
    <t>MEDIEXPRESS SEDE 2</t>
  </si>
  <si>
    <t>CALLE 45 A No. 9-31 PRIMER PISO SERVICIO MEDICO CS 1 Y 2</t>
  </si>
  <si>
    <t>3322900</t>
  </si>
  <si>
    <t>ruamon@hotmail.com</t>
  </si>
  <si>
    <t>110010861303</t>
  </si>
  <si>
    <t>MEDIEXPRESS SEDE 3</t>
  </si>
  <si>
    <t>CALLE 12 # 1 17 ESTE TORRE A SOTANO SERVICIO MEDICO</t>
  </si>
  <si>
    <t>110010861304</t>
  </si>
  <si>
    <t>MEDIEXPRESS SEDE 4</t>
  </si>
  <si>
    <t>AV CIRCUNVALAR # 20 53 SERVICIO MEDICO</t>
  </si>
  <si>
    <t>2182530</t>
  </si>
  <si>
    <t>1100123566</t>
  </si>
  <si>
    <t>MEDIFERTIL SAS</t>
  </si>
  <si>
    <t>CL 119 # 7-14 CS 901,902,903,904,905,921A,921B,922,923,924,925</t>
  </si>
  <si>
    <t>601 4841690 - 3155180955</t>
  </si>
  <si>
    <t>www.eugin.com.co</t>
  </si>
  <si>
    <t>1100123579</t>
  </si>
  <si>
    <t>MEDIGLOBAL IPS SAS</t>
  </si>
  <si>
    <t>9157097 - 3163042587</t>
  </si>
  <si>
    <t>www.mediglobal.co</t>
  </si>
  <si>
    <t>1100134294</t>
  </si>
  <si>
    <t>MEDIK PLUS IPS SAS</t>
  </si>
  <si>
    <t>Avenida carrera 45 108 45 torre 3 oficina 1301</t>
  </si>
  <si>
    <t>3108678626</t>
  </si>
  <si>
    <t>calidad@medikplus.com.co</t>
  </si>
  <si>
    <t>https://medikplus.com.co/</t>
  </si>
  <si>
    <t>1100133417</t>
  </si>
  <si>
    <t>MEDIKA IPS SOCIEDAD POR ACCIONES SIMPLIFICADA SIGLA MEDIKA IPS SAS</t>
  </si>
  <si>
    <t>3153082249-7462300</t>
  </si>
  <si>
    <t>1100143208</t>
  </si>
  <si>
    <t>MEDISAN CALI S.A.S</t>
  </si>
  <si>
    <t>1100138018</t>
  </si>
  <si>
    <t>MEDITET MEDICINA ANTIENVEJECIMIENTO SAS Sigla: MEDITET SAS</t>
  </si>
  <si>
    <t>https://meditet.com</t>
  </si>
  <si>
    <t>1100115099</t>
  </si>
  <si>
    <t>MESSER COLOMBIA S.A.</t>
  </si>
  <si>
    <t>AK 14 No. 40A-04</t>
  </si>
  <si>
    <t>4254550- 3123511070- 3142314793</t>
  </si>
  <si>
    <t>ximena.pinzon@messer-co.com;bertha.gomez@messer-co.com</t>
  </si>
  <si>
    <t>1100136961</t>
  </si>
  <si>
    <t>METSLIM CLINIC SAS</t>
  </si>
  <si>
    <t>110011760603</t>
  </si>
  <si>
    <t>MILAN CENTRO VISUAL</t>
  </si>
  <si>
    <t>CRA 15 # 51 - 85</t>
  </si>
  <si>
    <t>2555296</t>
  </si>
  <si>
    <t>1100135907</t>
  </si>
  <si>
    <t>MOVILMEDICA ATENCIÓN INTEGRAL DOMICILIARIA SAS</t>
  </si>
  <si>
    <t>3204783935</t>
  </si>
  <si>
    <t>https://www.movilmedica.com</t>
  </si>
  <si>
    <t>1100121400</t>
  </si>
  <si>
    <t>MULTIHEALTH SAS MULTISONRISAS SAS</t>
  </si>
  <si>
    <t>CRA 9 # 127C-60 CONSULTORIO 506A</t>
  </si>
  <si>
    <t>https://multihealthsas.com</t>
  </si>
  <si>
    <t>1100142736</t>
  </si>
  <si>
    <t>Marixa Guerrero Liñeiro S.A.S</t>
  </si>
  <si>
    <t>https://www.algesia.co/index.html</t>
  </si>
  <si>
    <t>1100136704</t>
  </si>
  <si>
    <t>MÉDICOS Y TRANSPORTE DE COLOMBIA SAS - MEDITRANSCOL SAS</t>
  </si>
  <si>
    <t>3248914922</t>
  </si>
  <si>
    <t>1100121114</t>
  </si>
  <si>
    <t>NACANISAJE SAS</t>
  </si>
  <si>
    <t>CALLE 141C N 103 F 83 - Barrio:SUBA</t>
  </si>
  <si>
    <t>1100137801</t>
  </si>
  <si>
    <t>NEUROCOM GROUP SAS SIGLA NEUROCOM SAS</t>
  </si>
  <si>
    <t>Carrera 19 97 31 Oficina 701 Oficina 704 Consultorios 1 y 2 , Oficina 602 Consultorio 1</t>
  </si>
  <si>
    <t>1100136939</t>
  </si>
  <si>
    <t>NEUROMEDICA SAS</t>
  </si>
  <si>
    <t>3175021023</t>
  </si>
  <si>
    <t>www.neuromedica.com.co</t>
  </si>
  <si>
    <t>1100141123</t>
  </si>
  <si>
    <t>NEW CONSULTING GROUP SAS</t>
  </si>
  <si>
    <t>Av Cll 80 # 71 19 Entrada 1 Pisos 1,2,3 Y 4</t>
  </si>
  <si>
    <t>https://n.a</t>
  </si>
  <si>
    <t>1100141149</t>
  </si>
  <si>
    <t>NEXDENT IPS S.A.S</t>
  </si>
  <si>
    <t>CL 120 A 7 36 OF 1103</t>
  </si>
  <si>
    <t>1100121264</t>
  </si>
  <si>
    <t>NOVAFEM SAS</t>
  </si>
  <si>
    <t>Carrera 15 88-64 Torre Zimma oficina 517</t>
  </si>
  <si>
    <t>2884024 - 3212296710</t>
  </si>
  <si>
    <t>shernandez@novafem.com.co</t>
  </si>
  <si>
    <t>1100134575</t>
  </si>
  <si>
    <t>NOVASMILE DELIVERY DENTIST S.A.S</t>
  </si>
  <si>
    <t>www.novasmile.com</t>
  </si>
  <si>
    <t>1100143115</t>
  </si>
  <si>
    <t>NOVASTETICA BELLEZA &amp; BIENESTAR INTEGRAL SAS</t>
  </si>
  <si>
    <t>1100122082</t>
  </si>
  <si>
    <t>NP MEDICAL IPS SAS</t>
  </si>
  <si>
    <t>CL 24 17 35 - Barrio:SANTA FE</t>
  </si>
  <si>
    <t>33303304026</t>
  </si>
  <si>
    <t>calidadnp@grupomacromedips.com.co</t>
  </si>
  <si>
    <t>https://www.npmedicalips.com</t>
  </si>
  <si>
    <t>1100135653</t>
  </si>
  <si>
    <t>NUARA, ESENCIA DE LA BELLEZA DR MINYOR AVELLANEDA SAS. SIGLA: NUARA SAS</t>
  </si>
  <si>
    <t>https://nuarabelleza.com/</t>
  </si>
  <si>
    <t>1100138528</t>
  </si>
  <si>
    <t>NURSE LILI SAS</t>
  </si>
  <si>
    <t>Carrera 45A # 95 - 37 Oficina 301</t>
  </si>
  <si>
    <t>1100127957</t>
  </si>
  <si>
    <t>OAK BUSINESS SAS</t>
  </si>
  <si>
    <t>DG 71B 98 04 P1 Y MEZANINE</t>
  </si>
  <si>
    <t>https://draiggond@hotmail.com</t>
  </si>
  <si>
    <t>1100103209</t>
  </si>
  <si>
    <t>OBGYN S.A.S</t>
  </si>
  <si>
    <t>1100135162</t>
  </si>
  <si>
    <t>ODONTO EXPRESS ODONTOLOGÍA ESPECIALIZADA SAS</t>
  </si>
  <si>
    <t>TRANSVERSAL 21 A SUR # 21 18</t>
  </si>
  <si>
    <t>calidad@odontoexpress.co</t>
  </si>
  <si>
    <t>1100115235</t>
  </si>
  <si>
    <t>ODONTOLOGIA ESPECIALIZADA COLOMBIANA CLINICAS DENTALES S.A.</t>
  </si>
  <si>
    <t>AC 127 # 20 78 CS 326</t>
  </si>
  <si>
    <t>601 2154848</t>
  </si>
  <si>
    <t>marcelacubillosr@yahoo.es</t>
  </si>
  <si>
    <t>1100142955</t>
  </si>
  <si>
    <t>ODONTOLOGÍA CON SENTIDO IPS SAS</t>
  </si>
  <si>
    <t>3104527180-3203066177</t>
  </si>
  <si>
    <t>1100122286</t>
  </si>
  <si>
    <t>ODONTOPLUS SANTA LUCIA LTDA</t>
  </si>
  <si>
    <t>CLL 44 SUR Nª21-32</t>
  </si>
  <si>
    <t>1100141288</t>
  </si>
  <si>
    <t>OMNIMEDICAL CENTER S.A.S</t>
  </si>
  <si>
    <t>1100121526</t>
  </si>
  <si>
    <t>OPHTHALMOS COLOMBIA LTDA</t>
  </si>
  <si>
    <t>CL 71 C # 30 53</t>
  </si>
  <si>
    <t>6606942</t>
  </si>
  <si>
    <t>diego.cortes@ophthalmos-ltda.com</t>
  </si>
  <si>
    <t>www.ophthalmos-ltda.com</t>
  </si>
  <si>
    <t>1100117384</t>
  </si>
  <si>
    <t>OPTICA CALDERON VARGAS LTDA</t>
  </si>
  <si>
    <t>CL 19 # 13 A 35 - Barrio:CENTRO</t>
  </si>
  <si>
    <t>1100116237</t>
  </si>
  <si>
    <t>OPTICA COLSANITAS SAS</t>
  </si>
  <si>
    <t>110011773101</t>
  </si>
  <si>
    <t>OPTICA MARCON"Z</t>
  </si>
  <si>
    <t>RAFAEL EDUARDO ZULUAGA MOGOLLON</t>
  </si>
  <si>
    <t>CALLE 19 No 8-67</t>
  </si>
  <si>
    <t>3344928</t>
  </si>
  <si>
    <t>110011760601</t>
  </si>
  <si>
    <t>OPTICA MEDELLIN</t>
  </si>
  <si>
    <t>CL 19 # 13 A 25</t>
  </si>
  <si>
    <t>110011760602</t>
  </si>
  <si>
    <t>OPTICA MEDELLIN II</t>
  </si>
  <si>
    <t>CRA 15 # 51 - 83</t>
  </si>
  <si>
    <t>110011773102</t>
  </si>
  <si>
    <t>OPTIPLUS</t>
  </si>
  <si>
    <t>CALLE 19 No 8-59</t>
  </si>
  <si>
    <t>3410009</t>
  </si>
  <si>
    <t>110011773103</t>
  </si>
  <si>
    <t>OPTIPUNTO 19</t>
  </si>
  <si>
    <t>CALLE 19 No 8-61</t>
  </si>
  <si>
    <t>2095440</t>
  </si>
  <si>
    <t>1100141543</t>
  </si>
  <si>
    <t>ORAL MEDIC SERVICIOS S.A.S.</t>
  </si>
  <si>
    <t>https://apalacio@oralmedicips.com</t>
  </si>
  <si>
    <t>1100136693</t>
  </si>
  <si>
    <t>ORAL YA CLINICAS DENTALES SAS</t>
  </si>
  <si>
    <t>2981299 - 3186731731</t>
  </si>
  <si>
    <t>1100133909</t>
  </si>
  <si>
    <t>ORGANIZACION CLINICA LA TOSCANA S.A.S.</t>
  </si>
  <si>
    <t>Calle 84 -19A -25 Antiguo Country Primer Piso</t>
  </si>
  <si>
    <t>www.clinicalatoscana.com.co</t>
  </si>
  <si>
    <t>1100137047</t>
  </si>
  <si>
    <t>ORGANIZACION EMPRESARIAL DENTAL PLANET SAS</t>
  </si>
  <si>
    <t>AK 70 # 72A - 42 PISO 1-2-3-4A - Barrio:LAS FERIAS</t>
  </si>
  <si>
    <t>https://www.clinicasodontofamily.com</t>
  </si>
  <si>
    <t>1100129855</t>
  </si>
  <si>
    <t>ORGANIZACION MEDICO ODONTOLOGICA NACIONAL INTEGRADA S.A/SIGLA: OMNISALUD S.A</t>
  </si>
  <si>
    <t>www.omnisalud.co</t>
  </si>
  <si>
    <t>1100111145</t>
  </si>
  <si>
    <t>ORGANIZACION SANTA LUCIA S.A.</t>
  </si>
  <si>
    <t>AC 26 # 62 - 47 LC 2-31 - Barrio:CIUDAD SALITRE</t>
  </si>
  <si>
    <t>opticasantalucia@osl.com.co</t>
  </si>
  <si>
    <t>www.osl.com.co</t>
  </si>
  <si>
    <t>1100110863</t>
  </si>
  <si>
    <t>ORGANIZACIÓN INGENIERÍA CIVIL Y ELECTRÓNICA LIMITADA O.I.C.E SIGLA O.I.C.E</t>
  </si>
  <si>
    <t>1100140610</t>
  </si>
  <si>
    <t>ORIGEN NATURAL. IPS SAS</t>
  </si>
  <si>
    <t>1100129912</t>
  </si>
  <si>
    <t>ORTOCLINICAL SAS</t>
  </si>
  <si>
    <t>cra 19d numero 64-09 sur piso 2</t>
  </si>
  <si>
    <t>110010730804</t>
  </si>
  <si>
    <t>ORTODONCISTAS ASOCIADOS SAS</t>
  </si>
  <si>
    <t>AV 15 # 124 29 OF 501</t>
  </si>
  <si>
    <t>2141716</t>
  </si>
  <si>
    <t>1100136958</t>
  </si>
  <si>
    <t>ORTOFAM S.A.S.</t>
  </si>
  <si>
    <t>310 2233305</t>
  </si>
  <si>
    <t>110010677601</t>
  </si>
  <si>
    <t>OTOFON S.A.S</t>
  </si>
  <si>
    <t>1100133717</t>
  </si>
  <si>
    <t>OTTO BOCK HEALTHCARE ANDINA S.A.S.</t>
  </si>
  <si>
    <t>Carrera 22 # 164-34</t>
  </si>
  <si>
    <t>informacion@ottobock.com.co</t>
  </si>
  <si>
    <t>https://www.ottobock.com</t>
  </si>
  <si>
    <t>1100136229</t>
  </si>
  <si>
    <t>OXIPRO S A S</t>
  </si>
  <si>
    <t>Carrera 22 No 168-40</t>
  </si>
  <si>
    <t>4672264-4672265</t>
  </si>
  <si>
    <t>1100120426</t>
  </si>
  <si>
    <t>PASSUS IPS TALLER PSICOMOTRIZ S.A.S.</t>
  </si>
  <si>
    <t>6013161699</t>
  </si>
  <si>
    <t>1100132203</t>
  </si>
  <si>
    <t>PATRICIA E. ALVAREZ IPS LCM SAS</t>
  </si>
  <si>
    <t>KR 14 #127-11 CS 406- 502-503-509-603</t>
  </si>
  <si>
    <t>3123917392-3907147</t>
  </si>
  <si>
    <t>1100126361</t>
  </si>
  <si>
    <t>PHENIX SALUD OCUPACIONAL SAS</t>
  </si>
  <si>
    <t>1100127480</t>
  </si>
  <si>
    <t>PLATINUM HEALTH GROUP IPS S.A.S</t>
  </si>
  <si>
    <t>7500174 - 3004678583</t>
  </si>
  <si>
    <t>1100142277</t>
  </si>
  <si>
    <t>PREVENLAB SAS</t>
  </si>
  <si>
    <t>1100129069</t>
  </si>
  <si>
    <t>PROBOCARTE DENTAL GROUP SAS</t>
  </si>
  <si>
    <t>CL 65 S No. 78 H 51 LC 2 30 - Barrio:BOSA CENTRO</t>
  </si>
  <si>
    <t>3106984514 - 6017437624</t>
  </si>
  <si>
    <t>1100123781</t>
  </si>
  <si>
    <t>PROYECTAR SALUD S.A.S</t>
  </si>
  <si>
    <t>7563301-3503189977-3102668710</t>
  </si>
  <si>
    <t>www.proyectarsalud.com</t>
  </si>
  <si>
    <t>1100140964</t>
  </si>
  <si>
    <t>PRÓXIMAB S.A.S</t>
  </si>
  <si>
    <t>Avenida Carrera 15 83 33 CONSULTORIO 203</t>
  </si>
  <si>
    <t>https://gerencia@alfredohoyos.com</t>
  </si>
  <si>
    <t>1100124279</t>
  </si>
  <si>
    <t>PSQ SAS</t>
  </si>
  <si>
    <t>CARRERA 28 No 63 SUR 20 - Barrio:CANDELARIA LA NUEVA</t>
  </si>
  <si>
    <t>www.psq.com</t>
  </si>
  <si>
    <t>1100141289</t>
  </si>
  <si>
    <t>Plaris SAS</t>
  </si>
  <si>
    <t>1100140101</t>
  </si>
  <si>
    <t>QuironPrevencion Colombia S.A.S</t>
  </si>
  <si>
    <t>calle 99 #13 a - 30 piso 10</t>
  </si>
  <si>
    <t>3785995</t>
  </si>
  <si>
    <t>https://www.quironprevencion.com</t>
  </si>
  <si>
    <t>1100133145</t>
  </si>
  <si>
    <t>RADIANTE: CENTRO INTEGRAL DE DERMATOLOGÍA Y ESTÉTICA S.A.S. SIGLA: SOY RADIANTE</t>
  </si>
  <si>
    <t>Carrera 21 53 75 Consultorio 202 205 207</t>
  </si>
  <si>
    <t>1100138471</t>
  </si>
  <si>
    <t>RADIOLOGIA DIGITAL MAXILOFACIAL CRX SAS Sigla: CRX RESTREPO</t>
  </si>
  <si>
    <t>110010233401</t>
  </si>
  <si>
    <t>RADIOLOGIA Y MEDICINA NUCLEAR DE LA SABANA</t>
  </si>
  <si>
    <t>1100117731</t>
  </si>
  <si>
    <t>RAFAEL EDUARDO ZULUAGA MOGOLLON E.U.</t>
  </si>
  <si>
    <t>1100138550</t>
  </si>
  <si>
    <t>RAGR SAS</t>
  </si>
  <si>
    <t>Av Cr 9 103 A 36 Of 603</t>
  </si>
  <si>
    <t>gerencia@ricardogonzalez.com.co</t>
  </si>
  <si>
    <t>1100136436</t>
  </si>
  <si>
    <t>RED HUMANA S.A.S.</t>
  </si>
  <si>
    <t>KR 45A # 94 71</t>
  </si>
  <si>
    <t>www.redhumana.co</t>
  </si>
  <si>
    <t>1100137626</t>
  </si>
  <si>
    <t>REDES MEDICAS SAS IPS</t>
  </si>
  <si>
    <t>AK 15 N° 112 09 - Barrio:Santa Paula</t>
  </si>
  <si>
    <t>3245180661</t>
  </si>
  <si>
    <t>1100142015</t>
  </si>
  <si>
    <t>REDSPIRE SAS</t>
  </si>
  <si>
    <t>carrera 69 98 A 11 OFICINA 203 CENTRO COMERCIAL FLORESTA OUTLET</t>
  </si>
  <si>
    <t>https://www.redspire.co</t>
  </si>
  <si>
    <t>1100138852</t>
  </si>
  <si>
    <t>REESAG S.A.S.</t>
  </si>
  <si>
    <t>Carrera 18 80 52 OFICINA 310</t>
  </si>
  <si>
    <t>https://www.symmetry.com</t>
  </si>
  <si>
    <t>1100134134</t>
  </si>
  <si>
    <t>REHABILITACIÓN NEUROLOGICA INFANTIL AVANZADA S.A.S SIGLA: NEUROAVANZAR SAS</t>
  </si>
  <si>
    <t>CARRERA 67 # 167 - 61 OFICINA 318, 611, 612, 613, 614 Barrio la Colina OFFICE PARK</t>
  </si>
  <si>
    <t>www.neuroavanzar.com</t>
  </si>
  <si>
    <t>1100136093</t>
  </si>
  <si>
    <t>REHABSALUD SAS</t>
  </si>
  <si>
    <t>calle 106 # 23-61 consultorio 206</t>
  </si>
  <si>
    <t>1100130475</t>
  </si>
  <si>
    <t>REN CONSULTORES SAS</t>
  </si>
  <si>
    <t>Carrera 9 A # 99 - 02 Oficina 705</t>
  </si>
  <si>
    <t>9157700</t>
  </si>
  <si>
    <t>www.renconsultores.com.co</t>
  </si>
  <si>
    <t>1100139869</t>
  </si>
  <si>
    <t>RENAL RESCUE S.A.S</t>
  </si>
  <si>
    <t>1100139202</t>
  </si>
  <si>
    <t>RESET Y BIENESTAR SAS.</t>
  </si>
  <si>
    <t>3104377394</t>
  </si>
  <si>
    <t>https://www.hanniamurra.co</t>
  </si>
  <si>
    <t>1100132841</t>
  </si>
  <si>
    <t>RESONANCIA MAGNETICA Y TAC DE LA SABANA LTDA</t>
  </si>
  <si>
    <t>CR 16 A No. 82 - 37 P2</t>
  </si>
  <si>
    <t>resonancialasabanaltda@imagenesdiagnosticasdelcountry.com</t>
  </si>
  <si>
    <t>WWW.RMCS.COM.CO</t>
  </si>
  <si>
    <t>1100117952</t>
  </si>
  <si>
    <t>RIE ODONTOLOGIA INTEGRAL SAS</t>
  </si>
  <si>
    <t>1100137341</t>
  </si>
  <si>
    <t>RIMAB SAS</t>
  </si>
  <si>
    <t>Cl 185 45 03 Lc N1 01 - Barrio:Mirandela</t>
  </si>
  <si>
    <t>1100123370</t>
  </si>
  <si>
    <t>ROBOTICA DENTAL CELY SAS</t>
  </si>
  <si>
    <t>1100135908</t>
  </si>
  <si>
    <t>ROHI IPS SAS.</t>
  </si>
  <si>
    <t>calle18 NO 77-67 OFICINA 505 Y 506 CENTRO COMERCIAL MERIDIANO ORIENTAL</t>
  </si>
  <si>
    <t>gerencia@rohiips.com</t>
  </si>
  <si>
    <t>1100121827</t>
  </si>
  <si>
    <t>RehaSer S.A.S</t>
  </si>
  <si>
    <t>Carrera 20# 125 - 38 CONSULTORIOS 105 Y 106</t>
  </si>
  <si>
    <t>1100142750</t>
  </si>
  <si>
    <t>SABANA MEDICAL CARE SAS - SIGLA: SABANA MEDICAL CARE SAS</t>
  </si>
  <si>
    <t>CRA 13 N° 48- 26 OF 401</t>
  </si>
  <si>
    <t>1100119532</t>
  </si>
  <si>
    <t>SALUD &amp; ACOMPAÑAMIENTO INTEGRAL AMBULATORIO Y DOMICILIARIO SAS. SIGLA SAIAD SAS</t>
  </si>
  <si>
    <t>CALLE 119A No 70-15</t>
  </si>
  <si>
    <t>henry.alarcon@saiadltda.com/esperanza.silva@saiadltda.com</t>
  </si>
  <si>
    <t>www.saiadltda.com</t>
  </si>
  <si>
    <t>1100141539</t>
  </si>
  <si>
    <t>SALUD &amp; LÁSER S.A.S</t>
  </si>
  <si>
    <t>https://saludylaser.co/</t>
  </si>
  <si>
    <t>1100136515</t>
  </si>
  <si>
    <t>SALUD A SU SERVICIO S.A.S</t>
  </si>
  <si>
    <t>AVENIDA CARRERA 70 49 55 - Barrio:NORMANDIA</t>
  </si>
  <si>
    <t>1100121746</t>
  </si>
  <si>
    <t>SALUD ACTIVA MEDICINA BIOLOGICA Y FUNCIONAL SAS</t>
  </si>
  <si>
    <t>AC 127 # 19 A 62 OF 507</t>
  </si>
  <si>
    <t>3115000026</t>
  </si>
  <si>
    <t>1100121100</t>
  </si>
  <si>
    <t>SALUD AUDITORIAS Y CONSULTORIAS LTDA SIGLA SAC SALUD LTDA</t>
  </si>
  <si>
    <t>3134188274/2440572</t>
  </si>
  <si>
    <t>1100139201</t>
  </si>
  <si>
    <t>SALUD INMEDIATA I.P.S. S.A.S. SIGLA SALINM I.P.S</t>
  </si>
  <si>
    <t>Carrera 18 # 79- 46 Cs 502</t>
  </si>
  <si>
    <t>https://www.salinmips.com</t>
  </si>
  <si>
    <t>1100124608</t>
  </si>
  <si>
    <t>SALUD MATERNO FETAL S.A.S.</t>
  </si>
  <si>
    <t>Calle 50 No 8- 24 consultorios 308-705</t>
  </si>
  <si>
    <t>1100124513</t>
  </si>
  <si>
    <t>SALUD OCUPACIONAL INTERNACIONAL S.A.S.</t>
  </si>
  <si>
    <t>3153772767 - 7020635 - 2565853</t>
  </si>
  <si>
    <t>calidad@ipssoi.com</t>
  </si>
  <si>
    <t>1100142173</t>
  </si>
  <si>
    <t>SALUD VITAL COMPANY IPS SAS</t>
  </si>
  <si>
    <t>(608) 8633888</t>
  </si>
  <si>
    <t>https://saludvitalips.com.co</t>
  </si>
  <si>
    <t>1100126585</t>
  </si>
  <si>
    <t>SALUD Y BIENESTAR G &amp; S SAS</t>
  </si>
  <si>
    <t>1100139810</t>
  </si>
  <si>
    <t>SALUD Y BIENESTAR INTEGRAL IPS SAS SIGLA SANTEVIT IPS SAS</t>
  </si>
  <si>
    <t>https://www.santevitips.com.co/</t>
  </si>
  <si>
    <t>1100142538</t>
  </si>
  <si>
    <t>SALUDPEDIA 24/7 SAS</t>
  </si>
  <si>
    <t>1100142870</t>
  </si>
  <si>
    <t>SAMESU IPS MEDICINA LABORAL S.A.S</t>
  </si>
  <si>
    <t>318 9615826</t>
  </si>
  <si>
    <t>medicinalaboral@samesu.com.co</t>
  </si>
  <si>
    <t>https://www.com</t>
  </si>
  <si>
    <t>1100128144</t>
  </si>
  <si>
    <t>SAN ROQUE IPS SAS</t>
  </si>
  <si>
    <t>CALLE 72 # 22- 42 OF 304</t>
  </si>
  <si>
    <t>2174239 Ext. 133 - 3173644873</t>
  </si>
  <si>
    <t>administracion@sanroqueips.com</t>
  </si>
  <si>
    <t>1100129567</t>
  </si>
  <si>
    <t>SANANDO SAS</t>
  </si>
  <si>
    <t>CARRERA 18 # 136A - 26</t>
  </si>
  <si>
    <t>3229452419</t>
  </si>
  <si>
    <t>opticlinicas.com.co</t>
  </si>
  <si>
    <t>1100138789</t>
  </si>
  <si>
    <t>SANDRA POVEDA S.A.S IPS SANDRA POVEDA O SANDRA POVEDA CLINICA ODONTOLOGICA</t>
  </si>
  <si>
    <t>https://sandrapoveda.com</t>
  </si>
  <si>
    <t>1100129924</t>
  </si>
  <si>
    <t>SANTIAGO DE COMPOSTELA IPS SAS</t>
  </si>
  <si>
    <t>KR 65a No.97 A 94</t>
  </si>
  <si>
    <t>1100140703</t>
  </si>
  <si>
    <t>SARSALUD COLOMBIA IPS SAS - SARSALUD COL</t>
  </si>
  <si>
    <t>https://carlosagt02@gmail.com</t>
  </si>
  <si>
    <t>1100133457</t>
  </si>
  <si>
    <t>SDO SALUD SOLUCIONES DIAGNOSTICAS SAS</t>
  </si>
  <si>
    <t>Carrera 23 N° 45 C 31 CONSULTORIO 216</t>
  </si>
  <si>
    <t>1100140373</t>
  </si>
  <si>
    <t>SEGURIDAD Y SALUD OCUPACIONAL CONSULTORIA, SOCIEDAD POR ACCIONES SIMPLIFICADA IPS - SIGLA: SYSO CONSULTORIA S.A.S IPS</t>
  </si>
  <si>
    <t>Calle 78 # 10 -38 casa 11</t>
  </si>
  <si>
    <t>https:// NA</t>
  </si>
  <si>
    <t>1100139060</t>
  </si>
  <si>
    <t>SEMPER LASER CENTERS S.A.S</t>
  </si>
  <si>
    <t>CL 19 A 72 57 LC B 134</t>
  </si>
  <si>
    <t>3106022731</t>
  </si>
  <si>
    <t>calidad@sknconcept.com</t>
  </si>
  <si>
    <t>https://www.semperlaser.com/es/depilacion-laser</t>
  </si>
  <si>
    <t>1100141864</t>
  </si>
  <si>
    <t>SENYIX IPS S.A.S SIGLA SENYIX</t>
  </si>
  <si>
    <t>https://senyix</t>
  </si>
  <si>
    <t>1100141042</t>
  </si>
  <si>
    <t>SERGIO Y ALEXANDRA RADA SAS</t>
  </si>
  <si>
    <t>CALLE 109A # 17-23</t>
  </si>
  <si>
    <t>3102279796</t>
  </si>
  <si>
    <t>https://sergioyalexandrarada.com/</t>
  </si>
  <si>
    <t>1100137122</t>
  </si>
  <si>
    <t>SERVICIOS DE GESTION INTEGRADA S.A.S. - SERGEINT SAS</t>
  </si>
  <si>
    <t>CARRERA 47 No. 93 - 14</t>
  </si>
  <si>
    <t>www.ipscdo.com.co</t>
  </si>
  <si>
    <t>1100135883</t>
  </si>
  <si>
    <t>SERVICIOS MEDICOS INTEGRALES MEDICOL SAS</t>
  </si>
  <si>
    <t>CRA 16A 80 63 OF 302</t>
  </si>
  <si>
    <t>https://www.aequi.com.co</t>
  </si>
  <si>
    <t>1100137871</t>
  </si>
  <si>
    <t>SERVICIOS MEDICOS OXI50 IPS S.A.S - OXI 50 IPS S.A.S</t>
  </si>
  <si>
    <t>Calle 99 #49-38 consultorio 1408 -1409</t>
  </si>
  <si>
    <t>direccion.administrativa@oxi50.com.co</t>
  </si>
  <si>
    <t>https://nueva.oxi50.com.co</t>
  </si>
  <si>
    <t>1100136447</t>
  </si>
  <si>
    <t>SERVICIOS MÉDICOS ESPECIALIZADOS A R S A S SIGLA SME A R S A S</t>
  </si>
  <si>
    <t>CL 12B # 8A 03 OF 305</t>
  </si>
  <si>
    <t>3003205213 2860725</t>
  </si>
  <si>
    <t>arsas.juridico@gmail.com</t>
  </si>
  <si>
    <t>1100137904</t>
  </si>
  <si>
    <t>SERVICIOS MÉDICOS ESPECIALIZADOS NEUROSALUD SAS NEUROSALUD I.S.P. S.A.S</t>
  </si>
  <si>
    <t>AK 45 N° 100-48 Local 3</t>
  </si>
  <si>
    <t>1100129579</t>
  </si>
  <si>
    <t>SERVITRAUMAX SAS</t>
  </si>
  <si>
    <t>1100122146</t>
  </si>
  <si>
    <t>SH&amp;S Dental S.A.S</t>
  </si>
  <si>
    <t>3023663584 -3168770341</t>
  </si>
  <si>
    <t>www.bocanova.com.co</t>
  </si>
  <si>
    <t>1100121915</t>
  </si>
  <si>
    <t>SIMETRIC S.A.</t>
  </si>
  <si>
    <t>Cra 7 No 77-07 of 402</t>
  </si>
  <si>
    <t>1100137690</t>
  </si>
  <si>
    <t>SISTEMA INTEGRAL EN SALUD OCUPACIONAL IPS S.A.S, SISO IPS</t>
  </si>
  <si>
    <t>https://www.sisoips.com</t>
  </si>
  <si>
    <t>1100141653</t>
  </si>
  <si>
    <t>SKIN &amp; BEAUTY DRA JULUET CACERES S.A.S SIGLA: SKIN $ BEAUTY</t>
  </si>
  <si>
    <t>CARRERA 23 124 87 CONSULTORIO 706 TORRE 1 EDIFICIO ZENTAI</t>
  </si>
  <si>
    <t>https://www.skinandbeauty.com.co/</t>
  </si>
  <si>
    <t>1100142471</t>
  </si>
  <si>
    <t>SKIN MASTER'S ACADEMY BY CLAUDIA ARENAS S.A.S.</t>
  </si>
  <si>
    <t>1100125794</t>
  </si>
  <si>
    <t>SKIN TEAM S.A.S</t>
  </si>
  <si>
    <t>AC134 7B 83 OF 122 CS 5</t>
  </si>
  <si>
    <t>Skinteam2014@gmail.com</t>
  </si>
  <si>
    <t>1100142979</t>
  </si>
  <si>
    <t>SKINPOWER SAS</t>
  </si>
  <si>
    <t>1100140931</t>
  </si>
  <si>
    <t>SKINSENCE INSTITUTE S.A.S -Skinsence</t>
  </si>
  <si>
    <t>https://gerencia.skinka@gmail.com</t>
  </si>
  <si>
    <t>1100105480</t>
  </si>
  <si>
    <t>SO SERVICIOS MEDICOS Y OFTALMOLOGICOS S.A.S</t>
  </si>
  <si>
    <t>Cr 20 # 83-58 P 1-2-3-4-5-6-9 - Barrio:ANTIGUO COUNTRY</t>
  </si>
  <si>
    <t>www.sosaludvisual.com</t>
  </si>
  <si>
    <t>1100126377</t>
  </si>
  <si>
    <t>SO-SIMETRIC S.A.S</t>
  </si>
  <si>
    <t>1100139556</t>
  </si>
  <si>
    <t>SOCIEDAD CLÍNICA EMCOSALUD S.A. SIGLA CLINICA EMCOSALUD S.A.</t>
  </si>
  <si>
    <t>AV CL 26 # 32 A 33 LC 101-102 Mirador de Takay - Barrio:TEUSAQUILLO</t>
  </si>
  <si>
    <t>1100129495</t>
  </si>
  <si>
    <t>SOCIEDAD DE SERVICIOS INTEGRALES EN SALUD SAS.- SIGLA: SERVINSALUD IPS</t>
  </si>
  <si>
    <t>AC 26 85 D 55 LC LE27 AEROCENTRO COMERCIAL EL DORADO - BARRIO SANTA CECILIA</t>
  </si>
  <si>
    <t>SERVINSALUDIPS@HOTMAIL.COM, asesoriacalidad@servinsaludips.com.co</t>
  </si>
  <si>
    <t>1100129087</t>
  </si>
  <si>
    <t>SOCIEDAD ESTETIC DENT SAS</t>
  </si>
  <si>
    <t>CR 27 No 4A-13/15</t>
  </si>
  <si>
    <t>www.clinicasbuitrago.com</t>
  </si>
  <si>
    <t>1100121832</t>
  </si>
  <si>
    <t>SOCIEDAD INTEGRAL DE ESPECIALISTAS EN SALUD S.A.S Sigla SIES SALUD S.A.S</t>
  </si>
  <si>
    <t>Ac 26 N° 85 D-55 Lc A149 - Barrio:Modelia</t>
  </si>
  <si>
    <t>www.sies.com.co</t>
  </si>
  <si>
    <t>1100132018</t>
  </si>
  <si>
    <t>SOCIEDAD ODONTOLOGICA ESPECIALIZADAS SAS</t>
  </si>
  <si>
    <t>CALLE 19 No. 2A - 10 LOCAL 112</t>
  </si>
  <si>
    <t>1100142167</t>
  </si>
  <si>
    <t>SOCJ IPS SAS SIGLA SOCJ IPS</t>
  </si>
  <si>
    <t>https://socjips.com.co</t>
  </si>
  <si>
    <t>1100123033</t>
  </si>
  <si>
    <t>SOLUCION ORAL S.A.S.</t>
  </si>
  <si>
    <t>TR 35 # 38 B - 13 SUR PISO 1</t>
  </si>
  <si>
    <t>1100142107</t>
  </si>
  <si>
    <t>SOMOS PRIMERO IPS S.A.S</t>
  </si>
  <si>
    <t>Cl 127 A No. 53 A 45 TORRE 2 OFICINA 303</t>
  </si>
  <si>
    <t>6017482822</t>
  </si>
  <si>
    <t>notificacionesjudiciales@gruporecordar.com.co</t>
  </si>
  <si>
    <t>https://primeroips.com.co</t>
  </si>
  <si>
    <t>1100134265</t>
  </si>
  <si>
    <t>SONOAUDIO SAS</t>
  </si>
  <si>
    <t>Carrera 15 No 124 - 29 oficina 703</t>
  </si>
  <si>
    <t>3011685190 - 3158317576</t>
  </si>
  <si>
    <t>arley.millan@sonoaudio.co</t>
  </si>
  <si>
    <t>1100131328</t>
  </si>
  <si>
    <t>STARK GYM SAS</t>
  </si>
  <si>
    <t>Calle 127 A No 7-12 Piso 3</t>
  </si>
  <si>
    <t>www.starksmartgym.com.co</t>
  </si>
  <si>
    <t>1100138604</t>
  </si>
  <si>
    <t>STARKEY HEARING TECHNOLOGIES COLOMBIA S.A.S</t>
  </si>
  <si>
    <t>CRA 10 #97A-13 TORRE B OF 602</t>
  </si>
  <si>
    <t>catalina_parra@starkey.com</t>
  </si>
  <si>
    <t>http://www.starkey.com.co</t>
  </si>
  <si>
    <t>1100120484</t>
  </si>
  <si>
    <t>SUPLIMED HOSPITALARIO S.A.S Sigla SUPLIMED S.A.S.</t>
  </si>
  <si>
    <t>7027235</t>
  </si>
  <si>
    <t>1100106954</t>
  </si>
  <si>
    <t>SVIK S.A</t>
  </si>
  <si>
    <t>VARGAS ARANZALES OLGA</t>
  </si>
  <si>
    <t>CALLE 57 # 14 A 14</t>
  </si>
  <si>
    <t>5474900</t>
  </si>
  <si>
    <t>1100135632</t>
  </si>
  <si>
    <t>SYNLAB COLOMBIA S.A.S.</t>
  </si>
  <si>
    <t>CARRERA 14A N° 101-73 - Barrio:RINCON DEL CHICO</t>
  </si>
  <si>
    <t>www.synlab.co</t>
  </si>
  <si>
    <t>1100142103</t>
  </si>
  <si>
    <t>SYO SALUD IPS SAS</t>
  </si>
  <si>
    <t>CALLE 79 No 89 A 40 LOCAL 2-41</t>
  </si>
  <si>
    <t>https://drayadiragrimaldos.com/</t>
  </si>
  <si>
    <t>1100137657</t>
  </si>
  <si>
    <t>Salud Llanos IPS LTDA.</t>
  </si>
  <si>
    <t>calidad@saludllanosips.com</t>
  </si>
  <si>
    <t>https://saludllanosips.com</t>
  </si>
  <si>
    <t>1100124571</t>
  </si>
  <si>
    <t>San@ Centros de Terapia S.A.S</t>
  </si>
  <si>
    <t>3906389 -3134648721</t>
  </si>
  <si>
    <t>administracion@sana-terapia.com</t>
  </si>
  <si>
    <t>1100129178</t>
  </si>
  <si>
    <t>Servicios Aeromedicos Integrales SAMI SAS</t>
  </si>
  <si>
    <t>calle 83 19 36</t>
  </si>
  <si>
    <t>1100123206</t>
  </si>
  <si>
    <t>Servicios de Patologia Oscar Messa Botero sas</t>
  </si>
  <si>
    <t>1100139553</t>
  </si>
  <si>
    <t>Soluciones Medicas y Fisiopelvicas SAS</t>
  </si>
  <si>
    <t>Avenida calle 26 # 68C-61 consultorio 230</t>
  </si>
  <si>
    <t>https://https:</t>
  </si>
  <si>
    <t>1100122162</t>
  </si>
  <si>
    <t>Somnomédica Clínica Especializada en Medicina del Sueño SAS</t>
  </si>
  <si>
    <t>Cr 49 A No 93 71</t>
  </si>
  <si>
    <t>2570017-2578094</t>
  </si>
  <si>
    <t>www.somnomedica.co</t>
  </si>
  <si>
    <t>1100132059</t>
  </si>
  <si>
    <t>TADASHI S.A.S-CENTROS DE IMAGENES ESPECIALIZADAS (CIE)</t>
  </si>
  <si>
    <t>Cr 47 # 94 - 06 P3 - P5</t>
  </si>
  <si>
    <t>https://www.tadashiamericas.com/</t>
  </si>
  <si>
    <t>1100132526</t>
  </si>
  <si>
    <t>TARJETA DE TODOS SUBA SAS</t>
  </si>
  <si>
    <t>CARRERA 78 K SUR 35 - 39 - Barrio:CIUDAD KENNEDY NORTE</t>
  </si>
  <si>
    <t>habilitacion.colombia@ipsdetodos.com</t>
  </si>
  <si>
    <t>https://ipsdetodos.com/</t>
  </si>
  <si>
    <t>1100140073</t>
  </si>
  <si>
    <t>TOP DENTIST S.A.S</t>
  </si>
  <si>
    <t>1100116450</t>
  </si>
  <si>
    <t>TPF CIRUJANOS Y CIA LTDA- NUEVA CLINICA LOS CEDROS</t>
  </si>
  <si>
    <t>CL 137 # 19 42 PISO 1</t>
  </si>
  <si>
    <t>7433956</t>
  </si>
  <si>
    <t>gerencia@clinicaloscedros.com</t>
  </si>
  <si>
    <t>1100141219</t>
  </si>
  <si>
    <t>TRINITY LIFE SAS</t>
  </si>
  <si>
    <t>1100140852</t>
  </si>
  <si>
    <t>TU OIDO S.A.S</t>
  </si>
  <si>
    <t>CARRERA 16 # 84 A-09 Consultorios 312 y 315-3 Almirante Colon</t>
  </si>
  <si>
    <t>https://tuoido.com/</t>
  </si>
  <si>
    <t>1100123408</t>
  </si>
  <si>
    <t>Titanium Health Group SAS</t>
  </si>
  <si>
    <t>www.odontoamiga.com</t>
  </si>
  <si>
    <t>1100127639</t>
  </si>
  <si>
    <t>Tu IPS S.A.S</t>
  </si>
  <si>
    <t>Avenida de las Américas 63 - 48 Local 238 - 239</t>
  </si>
  <si>
    <t>3003334 - 3118126730 - 3175763797</t>
  </si>
  <si>
    <t>www.tuips.com.co</t>
  </si>
  <si>
    <t>1100133267</t>
  </si>
  <si>
    <t>U-FIT SAS</t>
  </si>
  <si>
    <t>CALLE 129 # 51 -38</t>
  </si>
  <si>
    <t>7560107</t>
  </si>
  <si>
    <t>www.u-fit.com.co</t>
  </si>
  <si>
    <t>1100121418</t>
  </si>
  <si>
    <t>U.E.DENT S.A.S.</t>
  </si>
  <si>
    <t>marlonbecerraniza@gmail.com</t>
  </si>
  <si>
    <t>1100131631</t>
  </si>
  <si>
    <t>UNIDAD DE ATENCION CLINICA INTEGRAL SAS UNITOX IPS</t>
  </si>
  <si>
    <t>www.unitox.com</t>
  </si>
  <si>
    <t>110010546401</t>
  </si>
  <si>
    <t>UNIDAD DE ATENCION PRIMARIA DARSALUD</t>
  </si>
  <si>
    <t>2654118</t>
  </si>
  <si>
    <t>darsalud@hotmail.com</t>
  </si>
  <si>
    <t>1100141802</t>
  </si>
  <si>
    <t>UNIDAD DE INMUNOLOGIA Y ALERGIA DEL MEDITERRANEO SAS SIGLA UDIAM</t>
  </si>
  <si>
    <t>CARRERA 22A 85A 41</t>
  </si>
  <si>
    <t>3168782175</t>
  </si>
  <si>
    <t>https://udiamips.com</t>
  </si>
  <si>
    <t>1100125754</t>
  </si>
  <si>
    <t>UNIDAD DE SALUD OCUPACIONAL S.A.S</t>
  </si>
  <si>
    <t>Cra 45A # 101 - 34</t>
  </si>
  <si>
    <t>www.unidadso.com.co</t>
  </si>
  <si>
    <t>1100105868</t>
  </si>
  <si>
    <t>UNIDAD MEDICA SANTAFE SAS</t>
  </si>
  <si>
    <t>AV CALLE 127 # 15 A - 55</t>
  </si>
  <si>
    <t>7429579 - 3173834659 - 3163195807 - 3163345158</t>
  </si>
  <si>
    <t>subdireccionadm@ums.com.co calidad@ums.com.co recursoshumanos@ums.com.co alcadai1@hotmail.com</t>
  </si>
  <si>
    <t>https://ums.com.co/</t>
  </si>
  <si>
    <t>110010059201</t>
  </si>
  <si>
    <t>UNIDAD RADIOLOGICA DENTO CRANEO MAXILO FACIAL</t>
  </si>
  <si>
    <t>6016291124 - 3226313167</t>
  </si>
  <si>
    <t>1100128337</t>
  </si>
  <si>
    <t>UROCLINIC SAS</t>
  </si>
  <si>
    <t>7626114 - 3203402624</t>
  </si>
  <si>
    <t>www.uroclinic.co</t>
  </si>
  <si>
    <t>1100125003</t>
  </si>
  <si>
    <t>Unidad de Cuidados Paliativos Presentes S.A.S</t>
  </si>
  <si>
    <t>6015895432 Ext 5717825 -3102172577</t>
  </si>
  <si>
    <t>1100141448</t>
  </si>
  <si>
    <t>VALENTE MEDICA S.A.S SIGLA : VALENTE MEDICA</t>
  </si>
  <si>
    <t>https://matiorivera@hotmail.com</t>
  </si>
  <si>
    <t>1100140538</t>
  </si>
  <si>
    <t>VALESSIO SALUD MASCULINA SAS</t>
  </si>
  <si>
    <t>https://valessio.co</t>
  </si>
  <si>
    <t>1100143172</t>
  </si>
  <si>
    <t>VERSANIA PRIMERA INFANCIA SAS</t>
  </si>
  <si>
    <t>CALLE 100 # 11 B 67</t>
  </si>
  <si>
    <t>https://www.versania.com</t>
  </si>
  <si>
    <t>1100138776</t>
  </si>
  <si>
    <t>VERSANIA PSICOSOCIAL ITA SAS</t>
  </si>
  <si>
    <t>CL 100 11B-67</t>
  </si>
  <si>
    <t>601 5804344 Ext 5717839 - 601 6466060 Ext. 5717830</t>
  </si>
  <si>
    <t>dicastellanos@versania.com</t>
  </si>
  <si>
    <t>https://versania.com</t>
  </si>
  <si>
    <t>1100134462</t>
  </si>
  <si>
    <t>VIDA SEGURIDAD Y SALUD EN EL TRABAJO SAS</t>
  </si>
  <si>
    <t>AK 45 #109-06</t>
  </si>
  <si>
    <t>1100122857</t>
  </si>
  <si>
    <t>VIDAMEDICAL BOGOTA IPS SAS</t>
  </si>
  <si>
    <t>Calle 102 Nº 50 - 69 Conjunto Ciien P.H. Local 3 - Barrio:Pasadena</t>
  </si>
  <si>
    <t>3182852467-3123567146-3208336719</t>
  </si>
  <si>
    <t>directoradministrativoyfinanciero@vidamedicalips.com.co, calidad@vidamedicalips.com.co</t>
  </si>
  <si>
    <t>vidamedicalips.com</t>
  </si>
  <si>
    <t>1100139946</t>
  </si>
  <si>
    <t>VIDSANCOL SAS</t>
  </si>
  <si>
    <t>AK 19 No. 95 55 Of 201</t>
  </si>
  <si>
    <t>https://vidsancol.com</t>
  </si>
  <si>
    <t>1100136922</t>
  </si>
  <si>
    <t>VISION TOTAL SAS</t>
  </si>
  <si>
    <t>CALLE 101 N° 17A - 59 PISO 1 - Barrio:SANTA BARBARA</t>
  </si>
  <si>
    <t>https://visiontotalsas.com.co</t>
  </si>
  <si>
    <t>1100118984</t>
  </si>
  <si>
    <t>VISUAL CARE E.U.</t>
  </si>
  <si>
    <t>CALLE 17 Nº 8-49 OFC. 803</t>
  </si>
  <si>
    <t>5603118</t>
  </si>
  <si>
    <t>1100138514</t>
  </si>
  <si>
    <t>VISUAL HOUSE ORTOPTICA SAS</t>
  </si>
  <si>
    <t>312 4320602</t>
  </si>
  <si>
    <t>calidadvisualhouse@gmail.com</t>
  </si>
  <si>
    <t>https://www.ortoptica.net/</t>
  </si>
  <si>
    <t>1100138329</t>
  </si>
  <si>
    <t>VITALIZARTE S.A.S</t>
  </si>
  <si>
    <t>1100134395</t>
  </si>
  <si>
    <t>Ventas y servicios lasertam colombia SAS Sigla: LASERTAM COLOMBIA</t>
  </si>
  <si>
    <t>Carrera 11 a # 94 a 56 Local 5</t>
  </si>
  <si>
    <t>www.lasertam.co</t>
  </si>
  <si>
    <t>1100128192</t>
  </si>
  <si>
    <t>Visión medica de Ambulancias SAS</t>
  </si>
  <si>
    <t>1100139984</t>
  </si>
  <si>
    <t>WEDENT COLOMBIA S.A.S</t>
  </si>
  <si>
    <t>3058899812</t>
  </si>
  <si>
    <t>1100141126</t>
  </si>
  <si>
    <t>WELLNESS HEALTH CUIDADO DE PIEL SAS</t>
  </si>
  <si>
    <t>https://wellness-health.com.co/</t>
  </si>
  <si>
    <t>1100125924</t>
  </si>
  <si>
    <t>WESTERN DENTAL S.A.S</t>
  </si>
  <si>
    <t>Calle 100 #19 A 30 OFI 301 - Barrio:Chico</t>
  </si>
  <si>
    <t>www.malodental.com.co</t>
  </si>
  <si>
    <t>1100124331</t>
  </si>
  <si>
    <t>WIDEX COLOMBIA S.A.S.</t>
  </si>
  <si>
    <t>KR 7 # 119 - 50 PRIMER PISO - Barrio:USAQUEN</t>
  </si>
  <si>
    <t>www.widexcolombia.com</t>
  </si>
  <si>
    <t>1100141121</t>
  </si>
  <si>
    <t>Wellness B&amp;C S.A.S</t>
  </si>
  <si>
    <t>CL 126 # 7 -26 CS 702 -703</t>
  </si>
  <si>
    <t>https://www.instagram.com/wellness_ips?igsh=MTdicDM3c3ZqdThuZQ==</t>
  </si>
  <si>
    <t>1100130786</t>
  </si>
  <si>
    <t>ZERBIT S.A.S</t>
  </si>
  <si>
    <t>CALLE 145 # 91-19 CONSULTORIO 12-207 - Barrio:SUBA</t>
  </si>
  <si>
    <t>1100127317</t>
  </si>
  <si>
    <t>arcoiris de esperanza s.a.s</t>
  </si>
  <si>
    <t>carrera 73 nro 55-78</t>
  </si>
  <si>
    <t>3107732715/3143692116/6968410</t>
  </si>
  <si>
    <t>centroarcoirisdeesperanza@gmail.com</t>
  </si>
  <si>
    <t>1100122366</t>
  </si>
  <si>
    <t>avances terapeuticos ips s.a.s</t>
  </si>
  <si>
    <t>Avenida Carrera 24 # 84-40 LOCA 101</t>
  </si>
  <si>
    <t>1100129374</t>
  </si>
  <si>
    <t>clinica colombiana de cirugia plastica s.a.s</t>
  </si>
  <si>
    <t>WWW.CLINICACOLOMBIANADECIRUGIAPLASTICA.COM</t>
  </si>
  <si>
    <t>1100122380</t>
  </si>
  <si>
    <t>clinica odontologica aydent SAS</t>
  </si>
  <si>
    <t>CARRERA 90 N 69 a 27.</t>
  </si>
  <si>
    <t>1100129003</t>
  </si>
  <si>
    <t>cliniderma sas</t>
  </si>
  <si>
    <t>1100126445</t>
  </si>
  <si>
    <t>cuidandote en casa sas</t>
  </si>
  <si>
    <t>CRA 27 B No. 53A - 57</t>
  </si>
  <si>
    <t>1100141463</t>
  </si>
  <si>
    <t>inverlucero S.A.S</t>
  </si>
  <si>
    <t>3105546905</t>
  </si>
  <si>
    <t>https://w.app/abodontologia</t>
  </si>
  <si>
    <t>1100123371</t>
  </si>
  <si>
    <t>inversiones sequoia colombia S.A.S</t>
  </si>
  <si>
    <t>calle97#23-10</t>
  </si>
  <si>
    <t>1100121098</t>
  </si>
  <si>
    <t>ladent ips sas</t>
  </si>
  <si>
    <t>CARRERA 50 No 22-41 LC 206 primer nivel</t>
  </si>
  <si>
    <t>4-28-41-62 7-04-44-10</t>
  </si>
  <si>
    <t>ladentgerencia@hotmail.com</t>
  </si>
  <si>
    <t>1100128783</t>
  </si>
  <si>
    <t>terapias catherin tatiana jimenez sas</t>
  </si>
  <si>
    <t>CARRERA 17A # 137-58</t>
  </si>
  <si>
    <t>1100140617</t>
  </si>
  <si>
    <t>ÍNTEGRA SALUD ORAL S.A.S SIGLA ÍNTEGRA SALUD ORAL</t>
  </si>
  <si>
    <t>AVENIDA CALLE 127 # 13 - 96 OFICINA 701 EDIFICIO PIRAMIDE SIETE II</t>
  </si>
  <si>
    <t>https://CONTACTO@INTEGRASALUDORAL.COM</t>
  </si>
  <si>
    <t>110010790501</t>
  </si>
  <si>
    <t>CASA DE LA ESPERANZA</t>
  </si>
  <si>
    <t>CALLE 125 # 19 - 67</t>
  </si>
  <si>
    <t>C · Requiere enriquecimiento</t>
  </si>
  <si>
    <t>Enriquecer</t>
  </si>
  <si>
    <t>110011066502</t>
  </si>
  <si>
    <t>CENTRO ESPECIALIZADO DE RECEPCION</t>
  </si>
  <si>
    <t>110010804302</t>
  </si>
  <si>
    <t>CERVECERÍA DE BOGOTÁ</t>
  </si>
  <si>
    <t>AV BOYACA # 9 02</t>
  </si>
  <si>
    <t>110010928301</t>
  </si>
  <si>
    <t>COMUNIDAD RELIGIOSA DE PROTECCION DEL ANCIANO INDIGENTE HERMANITAS DE LOS POBRES DE SAN PEDRO CLAVER</t>
  </si>
  <si>
    <t>110010804301</t>
  </si>
  <si>
    <t>DIVISION MEDICA BAVARIA S.A.</t>
  </si>
  <si>
    <t>110011066504</t>
  </si>
  <si>
    <t>ESCUELA DE TRABAJO EL REDENTOR</t>
  </si>
  <si>
    <t>TV 30 # 57 01 SUR</t>
  </si>
  <si>
    <t>110010502201</t>
  </si>
  <si>
    <t>FUNDACION INSTITUTO TECNOLÒGICO DEL SUR-HOGAR CASA NOSTRA</t>
  </si>
  <si>
    <t>110010811601</t>
  </si>
  <si>
    <t>FUNDACION PARA LA ASISTENCIA DE LA NIÑEZ ABANDONADA"FANA"</t>
  </si>
  <si>
    <t>110011162301</t>
  </si>
  <si>
    <t>HOGAR CLARITA SANTOS</t>
  </si>
  <si>
    <t>110011066503</t>
  </si>
  <si>
    <t>HOGAR FEMENINO LUIS AMIGO</t>
  </si>
  <si>
    <t>TV 30 # 57 23 SUR</t>
  </si>
  <si>
    <t>110010437201</t>
  </si>
  <si>
    <t>HOGAR GERONTOLOGICO SOR CLEMENCIA RENGIFO</t>
  </si>
  <si>
    <t>110010945704</t>
  </si>
  <si>
    <t>OPTICA DERCA GALERIAS</t>
  </si>
  <si>
    <t>CALLE 54 # 25 81 LOCAL 2077</t>
  </si>
  <si>
    <t>110010945703</t>
  </si>
  <si>
    <t>OPTICA DERCA-GRANAHORAR</t>
  </si>
  <si>
    <t>CALLE 72 # 10 34 LOCAL 111</t>
  </si>
  <si>
    <t>110010695403</t>
  </si>
  <si>
    <t>SVIK CHAPINERO INSTITUTO STELLA DURAN</t>
  </si>
  <si>
    <t>110010695405</t>
  </si>
  <si>
    <t>SVIK KENNEDY INSTITUTO STELLA DURAN</t>
  </si>
  <si>
    <t>CALLE 36 SUR # 75 A 10</t>
  </si>
  <si>
    <t>110010695404</t>
  </si>
  <si>
    <t>SVIK RESTREPO INSTITUTO STELLA DURAN</t>
  </si>
  <si>
    <t>CALLE 16 SUR # 20 19</t>
  </si>
  <si>
    <t>110010695406</t>
  </si>
  <si>
    <t>SVIK UNICENTRO INSTITUTO STELLA DURAN</t>
  </si>
  <si>
    <t>AV 15 # 123 71 OF 201</t>
  </si>
  <si>
    <t>110010695402</t>
  </si>
  <si>
    <t>SVIK VENECIA INSTITUTO STELLA DURAN</t>
  </si>
  <si>
    <t>DG 46 SUR # 51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</si>
</sst>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\x"/>
    <numFmt numFmtId="166" formatCode="0.0%"/>
    <numFmt numFmtId="167" formatCode="0.0&quot; sem&quot;"/>
  </numFmts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95959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5" fillId="4" fontId="7" numFmtId="0" xfId="0" applyAlignment="1" applyBorder="1" applyFill="1" applyFont="1">
      <alignment horizontal="center" shrinkToFit="0" vertical="center" wrapText="0"/>
    </xf>
    <xf borderId="5" fillId="4" fontId="7" numFmtId="9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5" fillId="5" fontId="8" numFmtId="0" xfId="0" applyAlignment="1" applyBorder="1" applyFill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4" fontId="8" numFmtId="164" xfId="0" applyAlignment="1" applyBorder="1" applyFont="1" applyNumberFormat="1">
      <alignment shrinkToFit="0" vertical="bottom" wrapText="0"/>
    </xf>
    <xf borderId="5" fillId="0" fontId="6" numFmtId="164" xfId="0" applyAlignment="1" applyBorder="1" applyFont="1" applyNumberFormat="1">
      <alignment shrinkToFit="0" vertical="bottom" wrapText="0"/>
    </xf>
    <xf borderId="5" fillId="6" fontId="8" numFmtId="0" xfId="0" applyAlignment="1" applyBorder="1" applyFill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5" fillId="4" fontId="7" numFmtId="3" xfId="0" applyAlignment="1" applyBorder="1" applyFont="1" applyNumberFormat="1">
      <alignment horizontal="center" shrinkToFit="0" vertical="center" wrapText="0"/>
    </xf>
    <xf borderId="5" fillId="0" fontId="8" numFmtId="3" xfId="0" applyAlignment="1" applyBorder="1" applyFont="1" applyNumberFormat="1">
      <alignment shrinkToFit="0" vertical="bottom" wrapText="0"/>
    </xf>
    <xf borderId="5" fillId="5" fontId="8" numFmtId="165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center" shrinkToFit="0" vertical="center" wrapText="0"/>
    </xf>
    <xf borderId="5" fillId="0" fontId="6" numFmtId="166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shrinkToFit="0" vertical="center" wrapText="0"/>
    </xf>
    <xf borderId="5" fillId="7" fontId="6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ont="1">
      <alignment shrinkToFit="0" vertical="bottom" wrapText="0"/>
    </xf>
    <xf borderId="5" fillId="6" fontId="8" numFmtId="9" xfId="0" applyAlignment="1" applyBorder="1" applyFont="1" applyNumberFormat="1">
      <alignment horizontal="center" shrinkToFit="0" vertical="center" wrapText="0"/>
    </xf>
    <xf borderId="5" fillId="0" fontId="6" numFmtId="1" xfId="0" applyAlignment="1" applyBorder="1" applyFont="1" applyNumberFormat="1">
      <alignment horizontal="center" shrinkToFit="0" vertical="center" wrapText="0"/>
    </xf>
    <xf borderId="5" fillId="0" fontId="6" numFmtId="164" xfId="0" applyAlignment="1" applyBorder="1" applyFont="1" applyNumberFormat="1">
      <alignment horizontal="center" shrinkToFit="0" vertical="center" wrapText="0"/>
    </xf>
    <xf borderId="5" fillId="6" fontId="8" numFmtId="1" xfId="0" applyAlignment="1" applyBorder="1" applyFont="1" applyNumberFormat="1">
      <alignment horizontal="center" shrinkToFit="0" vertical="center" wrapText="0"/>
    </xf>
    <xf borderId="5" fillId="6" fontId="8" numFmtId="164" xfId="0" applyAlignment="1" applyBorder="1" applyFont="1" applyNumberFormat="1">
      <alignment horizontal="center" shrinkToFit="0" vertical="center" wrapText="0"/>
    </xf>
    <xf borderId="5" fillId="9" fontId="8" numFmtId="0" xfId="0" applyAlignment="1" applyBorder="1" applyFill="1" applyFont="1">
      <alignment horizontal="center" shrinkToFit="0" vertical="center" wrapText="0"/>
    </xf>
    <xf borderId="5" fillId="7" fontId="8" numFmtId="0" xfId="0" applyAlignment="1" applyBorder="1" applyFont="1">
      <alignment horizontal="center" shrinkToFit="0" vertical="center" wrapText="0"/>
    </xf>
    <xf borderId="5" fillId="8" fontId="8" numFmtId="0" xfId="0" applyAlignment="1" applyBorder="1" applyFont="1">
      <alignment horizontal="center" shrinkToFit="0" vertical="center" wrapText="0"/>
    </xf>
    <xf borderId="5" fillId="6" fontId="8" numFmtId="167" xfId="0" applyAlignment="1" applyBorder="1" applyFont="1" applyNumberFormat="1">
      <alignment horizontal="center" shrinkToFit="0" vertical="center" wrapText="0"/>
    </xf>
    <xf borderId="5" fillId="0" fontId="5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5" fillId="3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4" fillId="9" fontId="6" numFmtId="0" xfId="0" applyAlignment="1" applyBorder="1" applyFont="1">
      <alignment shrinkToFit="0" vertical="bottom" wrapText="0"/>
    </xf>
    <xf borderId="4" fillId="7" fontId="6" numFmtId="0" xfId="0" applyAlignment="1" applyBorder="1" applyFont="1">
      <alignment shrinkToFit="0" vertical="bottom" wrapText="0"/>
    </xf>
    <xf borderId="4" fillId="8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8.0"/>
    <col customWidth="1" min="3" max="3" width="16.0"/>
    <col customWidth="1" min="4" max="4" width="32.0"/>
    <col customWidth="1" min="5" max="8" width="11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4">
      <c r="A4" s="5" t="s">
        <v>2</v>
      </c>
      <c r="B4" s="6"/>
      <c r="C4" s="6"/>
      <c r="D4" s="6"/>
      <c r="E4" s="6"/>
      <c r="F4" s="6"/>
      <c r="G4" s="6"/>
      <c r="H4" s="6"/>
    </row>
    <row r="5">
      <c r="A5" s="7" t="s">
        <v>3</v>
      </c>
      <c r="B5" s="8">
        <v>2.0</v>
      </c>
      <c r="C5" s="4"/>
    </row>
    <row r="6">
      <c r="A6" s="7" t="s">
        <v>4</v>
      </c>
      <c r="B6" s="8">
        <v>40.0</v>
      </c>
      <c r="C6" s="4" t="s">
        <v>5</v>
      </c>
    </row>
    <row r="7">
      <c r="A7" s="7" t="s">
        <v>6</v>
      </c>
      <c r="B7" s="8">
        <v>5.0</v>
      </c>
      <c r="C7" s="4"/>
    </row>
    <row r="8">
      <c r="A8" s="7" t="s">
        <v>7</v>
      </c>
      <c r="B8" s="9">
        <v>0.5</v>
      </c>
      <c r="C8" s="4" t="s">
        <v>8</v>
      </c>
    </row>
    <row r="9">
      <c r="A9" s="7" t="s">
        <v>9</v>
      </c>
      <c r="B9" s="9">
        <v>0.25</v>
      </c>
      <c r="C9" s="4" t="s">
        <v>8</v>
      </c>
    </row>
    <row r="10">
      <c r="A10" s="7" t="s">
        <v>10</v>
      </c>
      <c r="B10" s="9">
        <v>0.2</v>
      </c>
      <c r="C10" s="4" t="s">
        <v>8</v>
      </c>
    </row>
    <row r="11">
      <c r="A11" s="7" t="s">
        <v>11</v>
      </c>
      <c r="B11" s="9">
        <v>0.35</v>
      </c>
      <c r="C11" s="4" t="s">
        <v>8</v>
      </c>
    </row>
    <row r="12">
      <c r="A12" s="7" t="s">
        <v>12</v>
      </c>
      <c r="B12" s="9">
        <v>0.15</v>
      </c>
      <c r="C12" s="4" t="s">
        <v>8</v>
      </c>
    </row>
    <row r="13">
      <c r="A13" s="7" t="s">
        <v>13</v>
      </c>
      <c r="B13" s="9">
        <v>0.06</v>
      </c>
      <c r="C13" s="4" t="s">
        <v>14</v>
      </c>
    </row>
    <row r="15">
      <c r="A15" s="5" t="s">
        <v>15</v>
      </c>
      <c r="B15" s="6"/>
      <c r="C15" s="6"/>
      <c r="D15" s="6"/>
      <c r="E15" s="6"/>
      <c r="F15" s="6"/>
      <c r="G15" s="6"/>
      <c r="H15" s="6"/>
    </row>
    <row r="16">
      <c r="A16" s="7" t="s">
        <v>16</v>
      </c>
      <c r="B16" s="10">
        <f>B5*B6</f>
        <v>80</v>
      </c>
    </row>
    <row r="17">
      <c r="A17" s="7" t="s">
        <v>17</v>
      </c>
      <c r="B17" s="10">
        <f>B16*B7</f>
        <v>400</v>
      </c>
    </row>
    <row r="18">
      <c r="A18" s="7" t="s">
        <v>18</v>
      </c>
      <c r="B18" s="10">
        <f t="shared" ref="B18:B21" si="1">B17*B9</f>
        <v>100</v>
      </c>
    </row>
    <row r="19">
      <c r="A19" s="7" t="s">
        <v>19</v>
      </c>
      <c r="B19" s="10">
        <f t="shared" si="1"/>
        <v>20</v>
      </c>
    </row>
    <row r="20">
      <c r="A20" s="11" t="s">
        <v>20</v>
      </c>
      <c r="B20" s="12">
        <f t="shared" si="1"/>
        <v>7</v>
      </c>
    </row>
    <row r="21" ht="15.75" customHeight="1">
      <c r="A21" s="11" t="s">
        <v>21</v>
      </c>
      <c r="B21" s="12">
        <f t="shared" si="1"/>
        <v>1.05</v>
      </c>
    </row>
    <row r="22" ht="15.75" customHeight="1"/>
    <row r="23" ht="15.75" customHeight="1">
      <c r="A23" s="5" t="s">
        <v>22</v>
      </c>
      <c r="B23" s="6"/>
      <c r="C23" s="6"/>
      <c r="D23" s="6"/>
      <c r="E23" s="6"/>
      <c r="F23" s="6"/>
      <c r="G23" s="6"/>
      <c r="H23" s="6"/>
    </row>
    <row r="24" ht="15.75" customHeight="1">
      <c r="A24" s="7" t="s">
        <v>23</v>
      </c>
      <c r="B24" s="10">
        <f>'Universo TMS'!C25</f>
        <v>4175</v>
      </c>
    </row>
    <row r="25" ht="15.75" customHeight="1">
      <c r="A25" s="7" t="s">
        <v>24</v>
      </c>
      <c r="B25" s="10">
        <f>IPS!B2</f>
        <v>3386</v>
      </c>
    </row>
    <row r="26" ht="15.75" customHeight="1">
      <c r="A26" s="11" t="s">
        <v>25</v>
      </c>
      <c r="B26" s="13">
        <f>B24+B25</f>
        <v>7561</v>
      </c>
    </row>
    <row r="27" ht="15.75" customHeight="1">
      <c r="A27" s="11" t="s">
        <v>26</v>
      </c>
      <c r="B27" s="14">
        <f>B26/B17</f>
        <v>18.9025</v>
      </c>
    </row>
    <row r="28" ht="15.75" customHeight="1">
      <c r="A28" s="7" t="s">
        <v>27</v>
      </c>
      <c r="B28" s="15">
        <f>LN(2)/LN(1+B13)</f>
        <v>11.89566105</v>
      </c>
    </row>
    <row r="29" ht="15.75" customHeight="1"/>
    <row r="30" ht="15.75" customHeight="1">
      <c r="A30" s="5" t="s">
        <v>28</v>
      </c>
      <c r="B30" s="6"/>
      <c r="C30" s="6"/>
      <c r="D30" s="6"/>
      <c r="E30" s="6"/>
      <c r="F30" s="6"/>
      <c r="G30" s="6"/>
      <c r="H30" s="6"/>
    </row>
    <row r="31" ht="15.75" customHeight="1">
      <c r="A31" s="16" t="s">
        <v>29</v>
      </c>
      <c r="B31" s="16" t="s">
        <v>30</v>
      </c>
      <c r="C31" s="16" t="s">
        <v>31</v>
      </c>
      <c r="D31" s="16" t="s">
        <v>32</v>
      </c>
    </row>
    <row r="32" ht="15.75" customHeight="1">
      <c r="A32" s="17" t="s">
        <v>33</v>
      </c>
      <c r="B32" s="18" t="s">
        <v>34</v>
      </c>
      <c r="C32" s="19" t="s">
        <v>35</v>
      </c>
      <c r="D32" s="18" t="s">
        <v>36</v>
      </c>
    </row>
    <row r="33" ht="15.75" customHeight="1">
      <c r="A33" s="17" t="s">
        <v>37</v>
      </c>
      <c r="B33" s="18" t="s">
        <v>38</v>
      </c>
      <c r="C33" s="19" t="s">
        <v>39</v>
      </c>
      <c r="D33" s="18" t="s">
        <v>40</v>
      </c>
    </row>
    <row r="34" ht="15.75" customHeight="1">
      <c r="A34" s="17" t="s">
        <v>41</v>
      </c>
      <c r="B34" s="18" t="s">
        <v>42</v>
      </c>
      <c r="C34" s="19" t="s">
        <v>43</v>
      </c>
      <c r="D34" s="18" t="s">
        <v>44</v>
      </c>
    </row>
    <row r="35" ht="15.75" customHeight="1">
      <c r="A35" s="17" t="s">
        <v>45</v>
      </c>
      <c r="B35" s="18" t="s">
        <v>46</v>
      </c>
      <c r="C35" s="19" t="s">
        <v>47</v>
      </c>
      <c r="D35" s="18" t="s">
        <v>48</v>
      </c>
    </row>
    <row r="36" ht="15.75" customHeight="1">
      <c r="A36" s="17" t="s">
        <v>49</v>
      </c>
      <c r="B36" s="18" t="s">
        <v>50</v>
      </c>
      <c r="C36" s="19" t="s">
        <v>51</v>
      </c>
      <c r="D36" s="18" t="s">
        <v>52</v>
      </c>
    </row>
    <row r="37" ht="15.75" customHeight="1">
      <c r="A37" s="17" t="s">
        <v>53</v>
      </c>
      <c r="B37" s="18" t="s">
        <v>54</v>
      </c>
      <c r="C37" s="19" t="s">
        <v>55</v>
      </c>
      <c r="D37" s="18" t="s">
        <v>56</v>
      </c>
    </row>
    <row r="38" ht="15.75" customHeight="1">
      <c r="A38" s="17" t="s">
        <v>57</v>
      </c>
      <c r="B38" s="18" t="s">
        <v>58</v>
      </c>
      <c r="C38" s="19" t="s">
        <v>59</v>
      </c>
      <c r="D38" s="18" t="s">
        <v>60</v>
      </c>
    </row>
    <row r="39" ht="15.75" customHeight="1"/>
    <row r="40" ht="15.75" customHeight="1">
      <c r="A40" s="5" t="s">
        <v>61</v>
      </c>
      <c r="B40" s="6"/>
      <c r="C40" s="6"/>
      <c r="D40" s="6"/>
      <c r="E40" s="6"/>
      <c r="F40" s="6"/>
      <c r="G40" s="6"/>
      <c r="H40" s="6"/>
    </row>
    <row r="41" ht="15.75" customHeight="1">
      <c r="A41" s="7" t="s">
        <v>62</v>
      </c>
      <c r="B41" s="20">
        <v>2500000.0</v>
      </c>
    </row>
    <row r="42" ht="15.75" customHeight="1">
      <c r="A42" s="7" t="s">
        <v>63</v>
      </c>
      <c r="B42" s="9">
        <v>0.75</v>
      </c>
    </row>
    <row r="43" ht="15.75" customHeight="1">
      <c r="A43" s="7" t="s">
        <v>64</v>
      </c>
      <c r="B43" s="9">
        <v>0.02</v>
      </c>
    </row>
    <row r="44" ht="15.75" customHeight="1">
      <c r="A44" s="7" t="s">
        <v>65</v>
      </c>
      <c r="B44" s="20">
        <v>6000000.0</v>
      </c>
    </row>
    <row r="45" ht="15.75" customHeight="1">
      <c r="A45" s="11" t="s">
        <v>66</v>
      </c>
      <c r="B45" s="21">
        <f>B41*B42/B43</f>
        <v>93750000</v>
      </c>
    </row>
    <row r="46" ht="15.75" customHeight="1">
      <c r="A46" s="11" t="s">
        <v>53</v>
      </c>
      <c r="B46" s="22">
        <f>B45/B44</f>
        <v>15.625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6" width="15.0"/>
    <col customWidth="1" min="7" max="26" width="8.71"/>
  </cols>
  <sheetData>
    <row r="1" ht="24.0" customHeight="1">
      <c r="A1" s="1" t="s">
        <v>67</v>
      </c>
      <c r="B1" s="2"/>
      <c r="C1" s="2"/>
      <c r="D1" s="2"/>
      <c r="E1" s="2"/>
      <c r="F1" s="3"/>
    </row>
    <row r="2">
      <c r="A2" s="4" t="s">
        <v>68</v>
      </c>
    </row>
    <row r="4">
      <c r="A4" s="23" t="s">
        <v>69</v>
      </c>
      <c r="B4" s="23" t="s">
        <v>70</v>
      </c>
      <c r="C4" s="23" t="s">
        <v>71</v>
      </c>
      <c r="D4" s="23" t="s">
        <v>72</v>
      </c>
      <c r="E4" s="23" t="s">
        <v>73</v>
      </c>
      <c r="F4" s="23" t="s">
        <v>74</v>
      </c>
    </row>
    <row r="5">
      <c r="A5" s="19">
        <v>1.0</v>
      </c>
      <c r="B5" s="10" t="s">
        <v>75</v>
      </c>
      <c r="C5" s="19">
        <v>1255.0</v>
      </c>
      <c r="D5" s="24">
        <f t="shared" ref="D5:D24" si="1">C5/$C$25</f>
        <v>0.3005988024</v>
      </c>
      <c r="E5" s="24">
        <f>D5</f>
        <v>0.3005988024</v>
      </c>
      <c r="F5" s="25" t="s">
        <v>76</v>
      </c>
    </row>
    <row r="6">
      <c r="A6" s="19">
        <v>2.0</v>
      </c>
      <c r="B6" s="10" t="s">
        <v>77</v>
      </c>
      <c r="C6" s="19">
        <v>514.0</v>
      </c>
      <c r="D6" s="24">
        <f t="shared" si="1"/>
        <v>0.1231137725</v>
      </c>
      <c r="E6" s="24">
        <f t="shared" ref="E6:E24" si="2">E5+D6</f>
        <v>0.4237125749</v>
      </c>
      <c r="F6" s="25" t="s">
        <v>76</v>
      </c>
    </row>
    <row r="7">
      <c r="A7" s="19">
        <v>3.0</v>
      </c>
      <c r="B7" s="10" t="s">
        <v>78</v>
      </c>
      <c r="C7" s="19">
        <v>315.0</v>
      </c>
      <c r="D7" s="24">
        <f t="shared" si="1"/>
        <v>0.0754491018</v>
      </c>
      <c r="E7" s="24">
        <f t="shared" si="2"/>
        <v>0.4991616766</v>
      </c>
      <c r="F7" s="25" t="s">
        <v>76</v>
      </c>
    </row>
    <row r="8">
      <c r="A8" s="19">
        <v>4.0</v>
      </c>
      <c r="B8" s="10" t="s">
        <v>79</v>
      </c>
      <c r="C8" s="19">
        <v>307.0</v>
      </c>
      <c r="D8" s="24">
        <f t="shared" si="1"/>
        <v>0.07353293413</v>
      </c>
      <c r="E8" s="24">
        <f t="shared" si="2"/>
        <v>0.5726946108</v>
      </c>
      <c r="F8" s="26" t="s">
        <v>80</v>
      </c>
    </row>
    <row r="9">
      <c r="A9" s="19">
        <v>5.0</v>
      </c>
      <c r="B9" s="10" t="s">
        <v>81</v>
      </c>
      <c r="C9" s="19">
        <v>307.0</v>
      </c>
      <c r="D9" s="24">
        <f t="shared" si="1"/>
        <v>0.07353293413</v>
      </c>
      <c r="E9" s="24">
        <f t="shared" si="2"/>
        <v>0.6462275449</v>
      </c>
      <c r="F9" s="26" t="s">
        <v>80</v>
      </c>
    </row>
    <row r="10">
      <c r="A10" s="19">
        <v>6.0</v>
      </c>
      <c r="B10" s="10" t="s">
        <v>31</v>
      </c>
      <c r="C10" s="19">
        <v>274.0</v>
      </c>
      <c r="D10" s="24">
        <f t="shared" si="1"/>
        <v>0.06562874251</v>
      </c>
      <c r="E10" s="24">
        <f t="shared" si="2"/>
        <v>0.7118562874</v>
      </c>
      <c r="F10" s="26" t="s">
        <v>80</v>
      </c>
    </row>
    <row r="11">
      <c r="A11" s="19">
        <v>7.0</v>
      </c>
      <c r="B11" s="10" t="s">
        <v>82</v>
      </c>
      <c r="C11" s="19">
        <v>261.0</v>
      </c>
      <c r="D11" s="24">
        <f t="shared" si="1"/>
        <v>0.06251497006</v>
      </c>
      <c r="E11" s="24">
        <f t="shared" si="2"/>
        <v>0.7743712575</v>
      </c>
      <c r="F11" s="26" t="s">
        <v>80</v>
      </c>
    </row>
    <row r="12">
      <c r="A12" s="19">
        <v>8.0</v>
      </c>
      <c r="B12" s="10" t="s">
        <v>83</v>
      </c>
      <c r="C12" s="19">
        <v>211.0</v>
      </c>
      <c r="D12" s="24">
        <f t="shared" si="1"/>
        <v>0.05053892216</v>
      </c>
      <c r="E12" s="24">
        <f t="shared" si="2"/>
        <v>0.8249101796</v>
      </c>
      <c r="F12" s="26" t="s">
        <v>80</v>
      </c>
    </row>
    <row r="13">
      <c r="A13" s="19">
        <v>9.0</v>
      </c>
      <c r="B13" s="10" t="s">
        <v>84</v>
      </c>
      <c r="C13" s="19">
        <v>123.0</v>
      </c>
      <c r="D13" s="24">
        <f t="shared" si="1"/>
        <v>0.02946107784</v>
      </c>
      <c r="E13" s="24">
        <f t="shared" si="2"/>
        <v>0.8543712575</v>
      </c>
      <c r="F13" s="27" t="s">
        <v>85</v>
      </c>
    </row>
    <row r="14">
      <c r="A14" s="19">
        <v>10.0</v>
      </c>
      <c r="B14" s="10" t="s">
        <v>86</v>
      </c>
      <c r="C14" s="19">
        <v>113.0</v>
      </c>
      <c r="D14" s="24">
        <f t="shared" si="1"/>
        <v>0.02706586826</v>
      </c>
      <c r="E14" s="24">
        <f t="shared" si="2"/>
        <v>0.8814371257</v>
      </c>
      <c r="F14" s="27" t="s">
        <v>85</v>
      </c>
    </row>
    <row r="15">
      <c r="A15" s="19">
        <v>11.0</v>
      </c>
      <c r="B15" s="10" t="s">
        <v>87</v>
      </c>
      <c r="C15" s="19">
        <v>111.0</v>
      </c>
      <c r="D15" s="24">
        <f t="shared" si="1"/>
        <v>0.02658682635</v>
      </c>
      <c r="E15" s="24">
        <f t="shared" si="2"/>
        <v>0.9080239521</v>
      </c>
      <c r="F15" s="27" t="s">
        <v>85</v>
      </c>
    </row>
    <row r="16">
      <c r="A16" s="19">
        <v>12.0</v>
      </c>
      <c r="B16" s="10" t="s">
        <v>88</v>
      </c>
      <c r="C16" s="19">
        <v>108.0</v>
      </c>
      <c r="D16" s="24">
        <f t="shared" si="1"/>
        <v>0.02586826347</v>
      </c>
      <c r="E16" s="24">
        <f t="shared" si="2"/>
        <v>0.9338922156</v>
      </c>
      <c r="F16" s="27" t="s">
        <v>85</v>
      </c>
    </row>
    <row r="17">
      <c r="A17" s="19">
        <v>13.0</v>
      </c>
      <c r="B17" s="10" t="s">
        <v>89</v>
      </c>
      <c r="C17" s="19">
        <v>105.0</v>
      </c>
      <c r="D17" s="24">
        <f t="shared" si="1"/>
        <v>0.0251497006</v>
      </c>
      <c r="E17" s="24">
        <f t="shared" si="2"/>
        <v>0.9590419162</v>
      </c>
      <c r="F17" s="27" t="s">
        <v>85</v>
      </c>
    </row>
    <row r="18">
      <c r="A18" s="19">
        <v>14.0</v>
      </c>
      <c r="B18" s="10" t="s">
        <v>90</v>
      </c>
      <c r="C18" s="19">
        <v>48.0</v>
      </c>
      <c r="D18" s="24">
        <f t="shared" si="1"/>
        <v>0.01149700599</v>
      </c>
      <c r="E18" s="24">
        <f t="shared" si="2"/>
        <v>0.9705389222</v>
      </c>
      <c r="F18" s="27" t="s">
        <v>85</v>
      </c>
    </row>
    <row r="19">
      <c r="A19" s="19">
        <v>15.0</v>
      </c>
      <c r="B19" s="10" t="s">
        <v>91</v>
      </c>
      <c r="C19" s="19">
        <v>32.0</v>
      </c>
      <c r="D19" s="24">
        <f t="shared" si="1"/>
        <v>0.007664670659</v>
      </c>
      <c r="E19" s="24">
        <f t="shared" si="2"/>
        <v>0.9782035928</v>
      </c>
      <c r="F19" s="27" t="s">
        <v>85</v>
      </c>
    </row>
    <row r="20">
      <c r="A20" s="19">
        <v>16.0</v>
      </c>
      <c r="B20" s="10" t="s">
        <v>92</v>
      </c>
      <c r="C20" s="19">
        <v>30.0</v>
      </c>
      <c r="D20" s="24">
        <f t="shared" si="1"/>
        <v>0.007185628743</v>
      </c>
      <c r="E20" s="24">
        <f t="shared" si="2"/>
        <v>0.9853892216</v>
      </c>
      <c r="F20" s="27" t="s">
        <v>85</v>
      </c>
    </row>
    <row r="21" ht="15.75" customHeight="1">
      <c r="A21" s="19">
        <v>17.0</v>
      </c>
      <c r="B21" s="10" t="s">
        <v>93</v>
      </c>
      <c r="C21" s="19">
        <v>21.0</v>
      </c>
      <c r="D21" s="24">
        <f t="shared" si="1"/>
        <v>0.00502994012</v>
      </c>
      <c r="E21" s="24">
        <f t="shared" si="2"/>
        <v>0.9904191617</v>
      </c>
      <c r="F21" s="27" t="s">
        <v>85</v>
      </c>
    </row>
    <row r="22" ht="15.75" customHeight="1">
      <c r="A22" s="19">
        <v>18.0</v>
      </c>
      <c r="B22" s="10" t="s">
        <v>94</v>
      </c>
      <c r="C22" s="19">
        <v>16.0</v>
      </c>
      <c r="D22" s="24">
        <f t="shared" si="1"/>
        <v>0.003832335329</v>
      </c>
      <c r="E22" s="24">
        <f t="shared" si="2"/>
        <v>0.994251497</v>
      </c>
      <c r="F22" s="27" t="s">
        <v>85</v>
      </c>
    </row>
    <row r="23" ht="15.75" customHeight="1">
      <c r="A23" s="19">
        <v>19.0</v>
      </c>
      <c r="B23" s="10" t="s">
        <v>95</v>
      </c>
      <c r="C23" s="19">
        <v>14.0</v>
      </c>
      <c r="D23" s="24">
        <f t="shared" si="1"/>
        <v>0.003353293413</v>
      </c>
      <c r="E23" s="24">
        <f t="shared" si="2"/>
        <v>0.9976047904</v>
      </c>
      <c r="F23" s="27" t="s">
        <v>85</v>
      </c>
    </row>
    <row r="24" ht="15.75" customHeight="1">
      <c r="A24" s="19">
        <v>20.0</v>
      </c>
      <c r="B24" s="10" t="s">
        <v>96</v>
      </c>
      <c r="C24" s="19">
        <v>10.0</v>
      </c>
      <c r="D24" s="24">
        <f t="shared" si="1"/>
        <v>0.002395209581</v>
      </c>
      <c r="E24" s="24">
        <f t="shared" si="2"/>
        <v>1</v>
      </c>
      <c r="F24" s="27" t="s">
        <v>85</v>
      </c>
    </row>
    <row r="25" ht="15.75" customHeight="1">
      <c r="B25" s="28" t="s">
        <v>97</v>
      </c>
      <c r="C25" s="16">
        <f t="shared" ref="C25:D25" si="3">SUM(C5:C24)</f>
        <v>4175</v>
      </c>
      <c r="D25" s="29">
        <f t="shared" si="3"/>
        <v>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40.0"/>
    <col customWidth="1" min="3" max="6" width="17.0"/>
    <col customWidth="1" min="7" max="26" width="8.71"/>
  </cols>
  <sheetData>
    <row r="1" ht="24.0" customHeight="1">
      <c r="A1" s="1" t="s">
        <v>98</v>
      </c>
      <c r="B1" s="2"/>
      <c r="C1" s="2"/>
      <c r="D1" s="2"/>
      <c r="E1" s="2"/>
      <c r="F1" s="2"/>
      <c r="G1" s="2"/>
      <c r="H1" s="3"/>
    </row>
    <row r="3">
      <c r="A3" s="5" t="s">
        <v>99</v>
      </c>
      <c r="B3" s="6"/>
      <c r="C3" s="6"/>
      <c r="D3" s="6"/>
      <c r="E3" s="6"/>
      <c r="F3" s="6"/>
      <c r="G3" s="6"/>
      <c r="H3" s="6"/>
    </row>
    <row r="4">
      <c r="A4" s="16" t="s">
        <v>100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</row>
    <row r="5">
      <c r="A5" s="13" t="s">
        <v>106</v>
      </c>
      <c r="B5" s="19">
        <f>'Universo TMS'!C25</f>
        <v>4175</v>
      </c>
      <c r="C5" s="30">
        <f>Tablero!B16*Tablero!B8</f>
        <v>40</v>
      </c>
      <c r="D5" s="30">
        <f>Tablero!B17*Tablero!B8</f>
        <v>200</v>
      </c>
      <c r="E5" s="31">
        <f t="shared" ref="E5:E7" si="1">B5/D5</f>
        <v>20.875</v>
      </c>
      <c r="F5" s="31">
        <f>Tablero!B20*Tablero!B8</f>
        <v>3.5</v>
      </c>
    </row>
    <row r="6">
      <c r="A6" s="13" t="s">
        <v>107</v>
      </c>
      <c r="B6" s="19">
        <f>IPS!B2</f>
        <v>3386</v>
      </c>
      <c r="C6" s="30">
        <f>Tablero!B16*(1-Tablero!B8)</f>
        <v>40</v>
      </c>
      <c r="D6" s="30">
        <f>Tablero!B17*(1-Tablero!B8)</f>
        <v>200</v>
      </c>
      <c r="E6" s="31">
        <f t="shared" si="1"/>
        <v>16.93</v>
      </c>
      <c r="F6" s="31">
        <f>Tablero!B20*(1-Tablero!B8)</f>
        <v>3.5</v>
      </c>
    </row>
    <row r="7">
      <c r="A7" s="28" t="s">
        <v>108</v>
      </c>
      <c r="B7" s="16">
        <f>B5+B6</f>
        <v>7561</v>
      </c>
      <c r="C7" s="32">
        <f>Tablero!B16</f>
        <v>80</v>
      </c>
      <c r="D7" s="32">
        <f>Tablero!B17</f>
        <v>400</v>
      </c>
      <c r="E7" s="33">
        <f t="shared" si="1"/>
        <v>18.9025</v>
      </c>
      <c r="F7" s="33">
        <f>Tablero!B20</f>
        <v>7</v>
      </c>
    </row>
    <row r="8">
      <c r="A8" s="4" t="s">
        <v>109</v>
      </c>
    </row>
    <row r="10">
      <c r="A10" s="5" t="s">
        <v>110</v>
      </c>
      <c r="B10" s="6"/>
      <c r="C10" s="6"/>
      <c r="D10" s="6"/>
      <c r="E10" s="6"/>
      <c r="F10" s="6"/>
      <c r="G10" s="6"/>
      <c r="H10" s="6"/>
    </row>
    <row r="11">
      <c r="A11" s="16" t="s">
        <v>111</v>
      </c>
      <c r="B11" s="16" t="s">
        <v>112</v>
      </c>
      <c r="C11" s="16" t="s">
        <v>113</v>
      </c>
      <c r="D11" s="16" t="s">
        <v>114</v>
      </c>
    </row>
    <row r="12">
      <c r="A12" s="34" t="s">
        <v>115</v>
      </c>
      <c r="B12" s="10" t="s">
        <v>116</v>
      </c>
      <c r="C12" s="19">
        <f>IPS!B3</f>
        <v>2820</v>
      </c>
      <c r="D12" s="31">
        <f>C12/D6</f>
        <v>14.1</v>
      </c>
    </row>
    <row r="13">
      <c r="A13" s="35" t="s">
        <v>117</v>
      </c>
      <c r="B13" s="10" t="s">
        <v>118</v>
      </c>
      <c r="C13" s="19">
        <f>IPS!B4</f>
        <v>548</v>
      </c>
      <c r="D13" s="31">
        <f>C13/D6</f>
        <v>2.74</v>
      </c>
    </row>
    <row r="14">
      <c r="A14" s="36" t="s">
        <v>119</v>
      </c>
      <c r="B14" s="10" t="s">
        <v>120</v>
      </c>
      <c r="C14" s="19">
        <f>IPS!B5</f>
        <v>18</v>
      </c>
      <c r="D14" s="31">
        <f>C14/D6</f>
        <v>0.09</v>
      </c>
    </row>
    <row r="16">
      <c r="A16" s="5" t="s">
        <v>121</v>
      </c>
      <c r="B16" s="6"/>
      <c r="C16" s="6"/>
      <c r="D16" s="6"/>
      <c r="E16" s="6"/>
      <c r="F16" s="6"/>
      <c r="G16" s="6"/>
      <c r="H16" s="6"/>
    </row>
    <row r="17">
      <c r="A17" s="16" t="s">
        <v>122</v>
      </c>
      <c r="B17" s="16" t="s">
        <v>123</v>
      </c>
      <c r="C17" s="16" t="s">
        <v>71</v>
      </c>
      <c r="D17" s="16" t="s">
        <v>124</v>
      </c>
      <c r="E17" s="16" t="s">
        <v>125</v>
      </c>
      <c r="F17" s="16" t="s">
        <v>126</v>
      </c>
    </row>
    <row r="18">
      <c r="A18" s="19">
        <v>1.0</v>
      </c>
      <c r="B18" s="10" t="s">
        <v>75</v>
      </c>
      <c r="C18" s="19">
        <f>'Universo TMS'!C5</f>
        <v>1255</v>
      </c>
      <c r="D18" s="31">
        <f t="shared" ref="D18:D37" si="2">C18/($C$5)</f>
        <v>31.375</v>
      </c>
      <c r="E18" s="19">
        <v>0.0</v>
      </c>
      <c r="F18" s="31">
        <f>C18/$D$5</f>
        <v>6.275</v>
      </c>
    </row>
    <row r="19">
      <c r="A19" s="19">
        <v>2.0</v>
      </c>
      <c r="B19" s="10" t="s">
        <v>77</v>
      </c>
      <c r="C19" s="19">
        <f>'Universo TMS'!C6</f>
        <v>514</v>
      </c>
      <c r="D19" s="31">
        <f t="shared" si="2"/>
        <v>12.85</v>
      </c>
      <c r="E19" s="31">
        <f t="shared" ref="E19:E37" si="3">F18</f>
        <v>6.275</v>
      </c>
      <c r="F19" s="31">
        <f t="shared" ref="F19:F37" si="4">F18+C19/$D$5</f>
        <v>8.845</v>
      </c>
    </row>
    <row r="20">
      <c r="A20" s="19">
        <v>3.0</v>
      </c>
      <c r="B20" s="10" t="s">
        <v>78</v>
      </c>
      <c r="C20" s="19">
        <f>'Universo TMS'!C7</f>
        <v>315</v>
      </c>
      <c r="D20" s="31">
        <f t="shared" si="2"/>
        <v>7.875</v>
      </c>
      <c r="E20" s="31">
        <f t="shared" si="3"/>
        <v>8.845</v>
      </c>
      <c r="F20" s="31">
        <f t="shared" si="4"/>
        <v>10.42</v>
      </c>
    </row>
    <row r="21" ht="15.75" customHeight="1">
      <c r="A21" s="19">
        <v>4.0</v>
      </c>
      <c r="B21" s="10" t="s">
        <v>79</v>
      </c>
      <c r="C21" s="19">
        <f>'Universo TMS'!C8</f>
        <v>307</v>
      </c>
      <c r="D21" s="31">
        <f t="shared" si="2"/>
        <v>7.675</v>
      </c>
      <c r="E21" s="31">
        <f t="shared" si="3"/>
        <v>10.42</v>
      </c>
      <c r="F21" s="31">
        <f t="shared" si="4"/>
        <v>11.955</v>
      </c>
    </row>
    <row r="22" ht="15.75" customHeight="1">
      <c r="A22" s="19">
        <v>5.0</v>
      </c>
      <c r="B22" s="10" t="s">
        <v>81</v>
      </c>
      <c r="C22" s="19">
        <f>'Universo TMS'!C9</f>
        <v>307</v>
      </c>
      <c r="D22" s="31">
        <f t="shared" si="2"/>
        <v>7.675</v>
      </c>
      <c r="E22" s="31">
        <f t="shared" si="3"/>
        <v>11.955</v>
      </c>
      <c r="F22" s="31">
        <f t="shared" si="4"/>
        <v>13.49</v>
      </c>
    </row>
    <row r="23" ht="15.75" customHeight="1">
      <c r="A23" s="19">
        <v>6.0</v>
      </c>
      <c r="B23" s="10" t="s">
        <v>31</v>
      </c>
      <c r="C23" s="19">
        <f>'Universo TMS'!C10</f>
        <v>274</v>
      </c>
      <c r="D23" s="31">
        <f t="shared" si="2"/>
        <v>6.85</v>
      </c>
      <c r="E23" s="31">
        <f t="shared" si="3"/>
        <v>13.49</v>
      </c>
      <c r="F23" s="31">
        <f t="shared" si="4"/>
        <v>14.86</v>
      </c>
    </row>
    <row r="24" ht="15.75" customHeight="1">
      <c r="A24" s="19">
        <v>7.0</v>
      </c>
      <c r="B24" s="10" t="s">
        <v>82</v>
      </c>
      <c r="C24" s="19">
        <f>'Universo TMS'!C11</f>
        <v>261</v>
      </c>
      <c r="D24" s="31">
        <f t="shared" si="2"/>
        <v>6.525</v>
      </c>
      <c r="E24" s="31">
        <f t="shared" si="3"/>
        <v>14.86</v>
      </c>
      <c r="F24" s="31">
        <f t="shared" si="4"/>
        <v>16.165</v>
      </c>
    </row>
    <row r="25" ht="15.75" customHeight="1">
      <c r="A25" s="19">
        <v>8.0</v>
      </c>
      <c r="B25" s="10" t="s">
        <v>83</v>
      </c>
      <c r="C25" s="19">
        <f>'Universo TMS'!C12</f>
        <v>211</v>
      </c>
      <c r="D25" s="31">
        <f t="shared" si="2"/>
        <v>5.275</v>
      </c>
      <c r="E25" s="31">
        <f t="shared" si="3"/>
        <v>16.165</v>
      </c>
      <c r="F25" s="31">
        <f t="shared" si="4"/>
        <v>17.22</v>
      </c>
    </row>
    <row r="26" ht="15.75" customHeight="1">
      <c r="A26" s="19">
        <v>9.0</v>
      </c>
      <c r="B26" s="10" t="s">
        <v>84</v>
      </c>
      <c r="C26" s="19">
        <f>'Universo TMS'!C13</f>
        <v>123</v>
      </c>
      <c r="D26" s="31">
        <f t="shared" si="2"/>
        <v>3.075</v>
      </c>
      <c r="E26" s="31">
        <f t="shared" si="3"/>
        <v>17.22</v>
      </c>
      <c r="F26" s="31">
        <f t="shared" si="4"/>
        <v>17.835</v>
      </c>
    </row>
    <row r="27" ht="15.75" customHeight="1">
      <c r="A27" s="19">
        <v>10.0</v>
      </c>
      <c r="B27" s="10" t="s">
        <v>86</v>
      </c>
      <c r="C27" s="19">
        <f>'Universo TMS'!C14</f>
        <v>113</v>
      </c>
      <c r="D27" s="31">
        <f t="shared" si="2"/>
        <v>2.825</v>
      </c>
      <c r="E27" s="31">
        <f t="shared" si="3"/>
        <v>17.835</v>
      </c>
      <c r="F27" s="31">
        <f t="shared" si="4"/>
        <v>18.4</v>
      </c>
    </row>
    <row r="28" ht="15.75" customHeight="1">
      <c r="A28" s="19">
        <v>11.0</v>
      </c>
      <c r="B28" s="10" t="s">
        <v>87</v>
      </c>
      <c r="C28" s="19">
        <f>'Universo TMS'!C15</f>
        <v>111</v>
      </c>
      <c r="D28" s="31">
        <f t="shared" si="2"/>
        <v>2.775</v>
      </c>
      <c r="E28" s="31">
        <f t="shared" si="3"/>
        <v>18.4</v>
      </c>
      <c r="F28" s="31">
        <f t="shared" si="4"/>
        <v>18.955</v>
      </c>
    </row>
    <row r="29" ht="15.75" customHeight="1">
      <c r="A29" s="19">
        <v>12.0</v>
      </c>
      <c r="B29" s="10" t="s">
        <v>88</v>
      </c>
      <c r="C29" s="19">
        <f>'Universo TMS'!C16</f>
        <v>108</v>
      </c>
      <c r="D29" s="31">
        <f t="shared" si="2"/>
        <v>2.7</v>
      </c>
      <c r="E29" s="31">
        <f t="shared" si="3"/>
        <v>18.955</v>
      </c>
      <c r="F29" s="31">
        <f t="shared" si="4"/>
        <v>19.495</v>
      </c>
    </row>
    <row r="30" ht="15.75" customHeight="1">
      <c r="A30" s="19">
        <v>13.0</v>
      </c>
      <c r="B30" s="10" t="s">
        <v>89</v>
      </c>
      <c r="C30" s="19">
        <f>'Universo TMS'!C17</f>
        <v>105</v>
      </c>
      <c r="D30" s="31">
        <f t="shared" si="2"/>
        <v>2.625</v>
      </c>
      <c r="E30" s="31">
        <f t="shared" si="3"/>
        <v>19.495</v>
      </c>
      <c r="F30" s="31">
        <f t="shared" si="4"/>
        <v>20.02</v>
      </c>
    </row>
    <row r="31" ht="15.75" customHeight="1">
      <c r="A31" s="19">
        <v>14.0</v>
      </c>
      <c r="B31" s="10" t="s">
        <v>90</v>
      </c>
      <c r="C31" s="19">
        <f>'Universo TMS'!C18</f>
        <v>48</v>
      </c>
      <c r="D31" s="31">
        <f t="shared" si="2"/>
        <v>1.2</v>
      </c>
      <c r="E31" s="31">
        <f t="shared" si="3"/>
        <v>20.02</v>
      </c>
      <c r="F31" s="31">
        <f t="shared" si="4"/>
        <v>20.26</v>
      </c>
    </row>
    <row r="32" ht="15.75" customHeight="1">
      <c r="A32" s="19">
        <v>15.0</v>
      </c>
      <c r="B32" s="10" t="s">
        <v>91</v>
      </c>
      <c r="C32" s="19">
        <f>'Universo TMS'!C19</f>
        <v>32</v>
      </c>
      <c r="D32" s="31">
        <f t="shared" si="2"/>
        <v>0.8</v>
      </c>
      <c r="E32" s="31">
        <f t="shared" si="3"/>
        <v>20.26</v>
      </c>
      <c r="F32" s="31">
        <f t="shared" si="4"/>
        <v>20.42</v>
      </c>
    </row>
    <row r="33" ht="15.75" customHeight="1">
      <c r="A33" s="19">
        <v>16.0</v>
      </c>
      <c r="B33" s="10" t="s">
        <v>92</v>
      </c>
      <c r="C33" s="19">
        <f>'Universo TMS'!C20</f>
        <v>30</v>
      </c>
      <c r="D33" s="31">
        <f t="shared" si="2"/>
        <v>0.75</v>
      </c>
      <c r="E33" s="31">
        <f t="shared" si="3"/>
        <v>20.42</v>
      </c>
      <c r="F33" s="31">
        <f t="shared" si="4"/>
        <v>20.57</v>
      </c>
    </row>
    <row r="34" ht="15.75" customHeight="1">
      <c r="A34" s="19">
        <v>17.0</v>
      </c>
      <c r="B34" s="10" t="s">
        <v>93</v>
      </c>
      <c r="C34" s="19">
        <f>'Universo TMS'!C21</f>
        <v>21</v>
      </c>
      <c r="D34" s="31">
        <f t="shared" si="2"/>
        <v>0.525</v>
      </c>
      <c r="E34" s="31">
        <f t="shared" si="3"/>
        <v>20.57</v>
      </c>
      <c r="F34" s="31">
        <f t="shared" si="4"/>
        <v>20.675</v>
      </c>
    </row>
    <row r="35" ht="15.75" customHeight="1">
      <c r="A35" s="19">
        <v>18.0</v>
      </c>
      <c r="B35" s="10" t="s">
        <v>94</v>
      </c>
      <c r="C35" s="19">
        <f>'Universo TMS'!C22</f>
        <v>16</v>
      </c>
      <c r="D35" s="31">
        <f t="shared" si="2"/>
        <v>0.4</v>
      </c>
      <c r="E35" s="31">
        <f t="shared" si="3"/>
        <v>20.675</v>
      </c>
      <c r="F35" s="31">
        <f t="shared" si="4"/>
        <v>20.755</v>
      </c>
    </row>
    <row r="36" ht="15.75" customHeight="1">
      <c r="A36" s="19">
        <v>19.0</v>
      </c>
      <c r="B36" s="10" t="s">
        <v>95</v>
      </c>
      <c r="C36" s="19">
        <f>'Universo TMS'!C23</f>
        <v>14</v>
      </c>
      <c r="D36" s="31">
        <f t="shared" si="2"/>
        <v>0.35</v>
      </c>
      <c r="E36" s="31">
        <f t="shared" si="3"/>
        <v>20.755</v>
      </c>
      <c r="F36" s="31">
        <f t="shared" si="4"/>
        <v>20.825</v>
      </c>
    </row>
    <row r="37" ht="15.75" customHeight="1">
      <c r="A37" s="19">
        <v>20.0</v>
      </c>
      <c r="B37" s="10" t="s">
        <v>96</v>
      </c>
      <c r="C37" s="19">
        <f>'Universo TMS'!C24</f>
        <v>10</v>
      </c>
      <c r="D37" s="31">
        <f t="shared" si="2"/>
        <v>0.25</v>
      </c>
      <c r="E37" s="31">
        <f t="shared" si="3"/>
        <v>20.825</v>
      </c>
      <c r="F37" s="31">
        <f t="shared" si="4"/>
        <v>20.875</v>
      </c>
    </row>
    <row r="38" ht="15.75" customHeight="1">
      <c r="B38" s="28" t="s">
        <v>127</v>
      </c>
      <c r="C38" s="16">
        <f>SUM(C18:C37)</f>
        <v>4175</v>
      </c>
      <c r="F38" s="37">
        <f>F37</f>
        <v>20.875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6.0"/>
    <col customWidth="1" min="4" max="4" width="22.0"/>
    <col customWidth="1" min="5" max="6" width="30.0"/>
    <col customWidth="1" min="7" max="7" width="24.0"/>
    <col customWidth="1" min="8" max="8" width="9.0"/>
    <col customWidth="1" min="9" max="9" width="16.0"/>
    <col customWidth="1" min="10" max="10" width="14.0"/>
    <col customWidth="1" min="11" max="11" width="13.0"/>
    <col customWidth="1" min="12" max="12" width="14.0"/>
    <col customWidth="1" min="13" max="13" width="24.0"/>
    <col customWidth="1" min="14" max="26" width="8.71"/>
  </cols>
  <sheetData>
    <row r="1" ht="24.0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23" t="s">
        <v>129</v>
      </c>
      <c r="B3" s="23" t="s">
        <v>130</v>
      </c>
      <c r="C3" s="23" t="s">
        <v>70</v>
      </c>
      <c r="D3" s="23" t="s">
        <v>131</v>
      </c>
      <c r="E3" s="23" t="s">
        <v>132</v>
      </c>
      <c r="F3" s="23" t="s">
        <v>133</v>
      </c>
      <c r="G3" s="23" t="s">
        <v>134</v>
      </c>
      <c r="H3" s="23" t="s">
        <v>135</v>
      </c>
      <c r="I3" s="23" t="s">
        <v>136</v>
      </c>
      <c r="J3" s="23" t="s">
        <v>137</v>
      </c>
      <c r="K3" s="23" t="s">
        <v>138</v>
      </c>
      <c r="L3" s="23" t="s">
        <v>139</v>
      </c>
      <c r="M3" s="23" t="s">
        <v>140</v>
      </c>
    </row>
    <row r="4">
      <c r="A4" s="18" t="s">
        <v>141</v>
      </c>
      <c r="B4" s="18" t="s">
        <v>142</v>
      </c>
      <c r="C4" s="18" t="s">
        <v>143</v>
      </c>
      <c r="D4" s="18" t="s">
        <v>144</v>
      </c>
      <c r="E4" s="18" t="s">
        <v>145</v>
      </c>
      <c r="F4" s="18" t="s">
        <v>146</v>
      </c>
      <c r="G4" s="18"/>
      <c r="H4" s="18" t="s">
        <v>76</v>
      </c>
      <c r="I4" s="18" t="s">
        <v>147</v>
      </c>
      <c r="J4" s="18" t="s">
        <v>148</v>
      </c>
      <c r="K4" s="38"/>
      <c r="L4" s="38"/>
      <c r="M4" s="38"/>
    </row>
    <row r="5">
      <c r="A5" s="18" t="s">
        <v>149</v>
      </c>
      <c r="B5" s="18" t="s">
        <v>150</v>
      </c>
      <c r="C5" s="18" t="s">
        <v>143</v>
      </c>
      <c r="D5" s="18" t="s">
        <v>151</v>
      </c>
      <c r="E5" s="18" t="s">
        <v>152</v>
      </c>
      <c r="F5" s="18" t="s">
        <v>153</v>
      </c>
      <c r="G5" s="18"/>
      <c r="H5" s="18" t="s">
        <v>76</v>
      </c>
      <c r="I5" s="18" t="s">
        <v>154</v>
      </c>
      <c r="J5" s="18" t="s">
        <v>148</v>
      </c>
      <c r="K5" s="38"/>
      <c r="L5" s="38"/>
      <c r="M5" s="38"/>
    </row>
    <row r="6">
      <c r="A6" s="18" t="s">
        <v>155</v>
      </c>
      <c r="B6" s="18" t="s">
        <v>156</v>
      </c>
      <c r="C6" s="18" t="s">
        <v>143</v>
      </c>
      <c r="D6" s="18" t="s">
        <v>157</v>
      </c>
      <c r="E6" s="18" t="s">
        <v>158</v>
      </c>
      <c r="F6" s="18" t="s">
        <v>159</v>
      </c>
      <c r="G6" s="18"/>
      <c r="H6" s="18" t="s">
        <v>76</v>
      </c>
      <c r="I6" s="18" t="s">
        <v>160</v>
      </c>
      <c r="J6" s="18" t="s">
        <v>148</v>
      </c>
      <c r="K6" s="38"/>
      <c r="L6" s="38"/>
      <c r="M6" s="38"/>
    </row>
    <row r="7">
      <c r="A7" s="18" t="s">
        <v>161</v>
      </c>
      <c r="B7" s="18" t="s">
        <v>162</v>
      </c>
      <c r="C7" s="18" t="s">
        <v>143</v>
      </c>
      <c r="D7" s="18" t="s">
        <v>163</v>
      </c>
      <c r="E7" s="18" t="s">
        <v>164</v>
      </c>
      <c r="F7" s="18" t="s">
        <v>165</v>
      </c>
      <c r="G7" s="18"/>
      <c r="H7" s="18" t="s">
        <v>76</v>
      </c>
      <c r="I7" s="18" t="s">
        <v>160</v>
      </c>
      <c r="J7" s="18" t="s">
        <v>148</v>
      </c>
      <c r="K7" s="38"/>
      <c r="L7" s="38"/>
      <c r="M7" s="38"/>
    </row>
    <row r="8">
      <c r="A8" s="18" t="s">
        <v>166</v>
      </c>
      <c r="B8" s="18" t="s">
        <v>167</v>
      </c>
      <c r="C8" s="18" t="s">
        <v>143</v>
      </c>
      <c r="D8" s="18" t="s">
        <v>168</v>
      </c>
      <c r="E8" s="18" t="s">
        <v>169</v>
      </c>
      <c r="F8" s="18" t="s">
        <v>170</v>
      </c>
      <c r="G8" s="18"/>
      <c r="H8" s="18" t="s">
        <v>76</v>
      </c>
      <c r="I8" s="18" t="s">
        <v>160</v>
      </c>
      <c r="J8" s="18" t="s">
        <v>148</v>
      </c>
      <c r="K8" s="38"/>
      <c r="L8" s="38"/>
      <c r="M8" s="38"/>
    </row>
    <row r="9">
      <c r="A9" s="18" t="s">
        <v>171</v>
      </c>
      <c r="B9" s="18" t="s">
        <v>172</v>
      </c>
      <c r="C9" s="18" t="s">
        <v>143</v>
      </c>
      <c r="D9" s="18" t="s">
        <v>173</v>
      </c>
      <c r="E9" s="18" t="s">
        <v>174</v>
      </c>
      <c r="F9" s="18" t="s">
        <v>175</v>
      </c>
      <c r="G9" s="18"/>
      <c r="H9" s="18" t="s">
        <v>76</v>
      </c>
      <c r="I9" s="18" t="s">
        <v>176</v>
      </c>
      <c r="J9" s="18" t="s">
        <v>148</v>
      </c>
      <c r="K9" s="38"/>
      <c r="L9" s="38"/>
      <c r="M9" s="38"/>
    </row>
    <row r="10">
      <c r="A10" s="18" t="s">
        <v>177</v>
      </c>
      <c r="B10" s="18" t="s">
        <v>178</v>
      </c>
      <c r="C10" s="18" t="s">
        <v>143</v>
      </c>
      <c r="D10" s="18" t="s">
        <v>179</v>
      </c>
      <c r="E10" s="18" t="s">
        <v>180</v>
      </c>
      <c r="F10" s="18" t="s">
        <v>181</v>
      </c>
      <c r="G10" s="18"/>
      <c r="H10" s="18" t="s">
        <v>76</v>
      </c>
      <c r="I10" s="18" t="s">
        <v>160</v>
      </c>
      <c r="J10" s="18" t="s">
        <v>148</v>
      </c>
      <c r="K10" s="38"/>
      <c r="L10" s="38"/>
      <c r="M10" s="38"/>
    </row>
    <row r="11">
      <c r="A11" s="18" t="s">
        <v>182</v>
      </c>
      <c r="B11" s="18" t="s">
        <v>183</v>
      </c>
      <c r="C11" s="18" t="s">
        <v>143</v>
      </c>
      <c r="D11" s="18" t="s">
        <v>184</v>
      </c>
      <c r="E11" s="18" t="s">
        <v>152</v>
      </c>
      <c r="F11" s="18" t="s">
        <v>185</v>
      </c>
      <c r="G11" s="18"/>
      <c r="H11" s="18" t="s">
        <v>76</v>
      </c>
      <c r="I11" s="18" t="s">
        <v>160</v>
      </c>
      <c r="J11" s="18" t="s">
        <v>148</v>
      </c>
      <c r="K11" s="38"/>
      <c r="L11" s="38"/>
      <c r="M11" s="38"/>
    </row>
    <row r="12">
      <c r="A12" s="18" t="s">
        <v>186</v>
      </c>
      <c r="B12" s="18" t="s">
        <v>187</v>
      </c>
      <c r="C12" s="18" t="s">
        <v>143</v>
      </c>
      <c r="D12" s="18" t="s">
        <v>188</v>
      </c>
      <c r="E12" s="18" t="s">
        <v>189</v>
      </c>
      <c r="F12" s="18" t="s">
        <v>190</v>
      </c>
      <c r="G12" s="18"/>
      <c r="H12" s="18" t="s">
        <v>76</v>
      </c>
      <c r="I12" s="18" t="s">
        <v>176</v>
      </c>
      <c r="J12" s="18" t="s">
        <v>148</v>
      </c>
      <c r="K12" s="38"/>
      <c r="L12" s="38"/>
      <c r="M12" s="38"/>
    </row>
    <row r="13">
      <c r="A13" s="18" t="s">
        <v>191</v>
      </c>
      <c r="B13" s="18" t="s">
        <v>192</v>
      </c>
      <c r="C13" s="18" t="s">
        <v>143</v>
      </c>
      <c r="D13" s="18" t="s">
        <v>193</v>
      </c>
      <c r="E13" s="18" t="s">
        <v>152</v>
      </c>
      <c r="F13" s="18" t="s">
        <v>194</v>
      </c>
      <c r="G13" s="18"/>
      <c r="H13" s="18" t="s">
        <v>76</v>
      </c>
      <c r="I13" s="18" t="s">
        <v>154</v>
      </c>
      <c r="J13" s="18" t="s">
        <v>148</v>
      </c>
      <c r="K13" s="38"/>
      <c r="L13" s="38"/>
      <c r="M13" s="38"/>
    </row>
    <row r="14">
      <c r="A14" s="18" t="s">
        <v>195</v>
      </c>
      <c r="B14" s="18" t="s">
        <v>196</v>
      </c>
      <c r="C14" s="18" t="s">
        <v>143</v>
      </c>
      <c r="D14" s="18" t="s">
        <v>197</v>
      </c>
      <c r="E14" s="18" t="s">
        <v>152</v>
      </c>
      <c r="F14" s="18" t="s">
        <v>198</v>
      </c>
      <c r="G14" s="18"/>
      <c r="H14" s="18" t="s">
        <v>76</v>
      </c>
      <c r="I14" s="18" t="s">
        <v>154</v>
      </c>
      <c r="J14" s="18" t="s">
        <v>148</v>
      </c>
      <c r="K14" s="38"/>
      <c r="L14" s="38"/>
      <c r="M14" s="38"/>
    </row>
    <row r="15">
      <c r="A15" s="18" t="s">
        <v>199</v>
      </c>
      <c r="B15" s="18" t="s">
        <v>200</v>
      </c>
      <c r="C15" s="18" t="s">
        <v>143</v>
      </c>
      <c r="D15" s="18" t="s">
        <v>201</v>
      </c>
      <c r="E15" s="18" t="s">
        <v>202</v>
      </c>
      <c r="F15" s="18" t="s">
        <v>203</v>
      </c>
      <c r="G15" s="18"/>
      <c r="H15" s="18" t="s">
        <v>76</v>
      </c>
      <c r="I15" s="18" t="s">
        <v>160</v>
      </c>
      <c r="J15" s="18" t="s">
        <v>148</v>
      </c>
      <c r="K15" s="38"/>
      <c r="L15" s="38"/>
      <c r="M15" s="38"/>
    </row>
    <row r="16">
      <c r="A16" s="18" t="s">
        <v>204</v>
      </c>
      <c r="B16" s="18" t="s">
        <v>205</v>
      </c>
      <c r="C16" s="18" t="s">
        <v>143</v>
      </c>
      <c r="D16" s="18" t="s">
        <v>206</v>
      </c>
      <c r="E16" s="18" t="s">
        <v>207</v>
      </c>
      <c r="F16" s="18" t="s">
        <v>208</v>
      </c>
      <c r="G16" s="18"/>
      <c r="H16" s="18" t="s">
        <v>76</v>
      </c>
      <c r="I16" s="18" t="s">
        <v>176</v>
      </c>
      <c r="J16" s="18" t="s">
        <v>148</v>
      </c>
      <c r="K16" s="38"/>
      <c r="L16" s="38"/>
      <c r="M16" s="38"/>
    </row>
    <row r="17">
      <c r="A17" s="18" t="s">
        <v>209</v>
      </c>
      <c r="B17" s="18" t="s">
        <v>210</v>
      </c>
      <c r="C17" s="18" t="s">
        <v>143</v>
      </c>
      <c r="D17" s="18" t="s">
        <v>211</v>
      </c>
      <c r="E17" s="18" t="s">
        <v>212</v>
      </c>
      <c r="F17" s="18" t="s">
        <v>213</v>
      </c>
      <c r="G17" s="18"/>
      <c r="H17" s="18" t="s">
        <v>76</v>
      </c>
      <c r="I17" s="18" t="s">
        <v>160</v>
      </c>
      <c r="J17" s="18" t="s">
        <v>148</v>
      </c>
      <c r="K17" s="38"/>
      <c r="L17" s="38"/>
      <c r="M17" s="38"/>
    </row>
    <row r="18">
      <c r="A18" s="18" t="s">
        <v>214</v>
      </c>
      <c r="B18" s="18" t="s">
        <v>215</v>
      </c>
      <c r="C18" s="18" t="s">
        <v>143</v>
      </c>
      <c r="D18" s="18" t="s">
        <v>216</v>
      </c>
      <c r="E18" s="18" t="s">
        <v>152</v>
      </c>
      <c r="F18" s="18" t="s">
        <v>217</v>
      </c>
      <c r="G18" s="18"/>
      <c r="H18" s="18" t="s">
        <v>76</v>
      </c>
      <c r="I18" s="18" t="s">
        <v>154</v>
      </c>
      <c r="J18" s="18" t="s">
        <v>148</v>
      </c>
      <c r="K18" s="38"/>
      <c r="L18" s="38"/>
      <c r="M18" s="38"/>
    </row>
    <row r="19">
      <c r="A19" s="18" t="s">
        <v>218</v>
      </c>
      <c r="B19" s="18" t="s">
        <v>219</v>
      </c>
      <c r="C19" s="18" t="s">
        <v>143</v>
      </c>
      <c r="D19" s="18" t="s">
        <v>220</v>
      </c>
      <c r="E19" s="18" t="s">
        <v>221</v>
      </c>
      <c r="F19" s="18" t="s">
        <v>222</v>
      </c>
      <c r="G19" s="18"/>
      <c r="H19" s="18" t="s">
        <v>76</v>
      </c>
      <c r="I19" s="18" t="s">
        <v>176</v>
      </c>
      <c r="J19" s="18" t="s">
        <v>148</v>
      </c>
      <c r="K19" s="38"/>
      <c r="L19" s="38"/>
      <c r="M19" s="38"/>
    </row>
    <row r="20">
      <c r="A20" s="18" t="s">
        <v>223</v>
      </c>
      <c r="B20" s="18" t="s">
        <v>224</v>
      </c>
      <c r="C20" s="18" t="s">
        <v>143</v>
      </c>
      <c r="D20" s="18" t="s">
        <v>188</v>
      </c>
      <c r="E20" s="18" t="s">
        <v>189</v>
      </c>
      <c r="F20" s="18" t="s">
        <v>190</v>
      </c>
      <c r="G20" s="18"/>
      <c r="H20" s="18" t="s">
        <v>76</v>
      </c>
      <c r="I20" s="18" t="s">
        <v>176</v>
      </c>
      <c r="J20" s="18" t="s">
        <v>148</v>
      </c>
      <c r="K20" s="38"/>
      <c r="L20" s="38"/>
      <c r="M20" s="38"/>
    </row>
    <row r="21" ht="15.75" customHeight="1">
      <c r="A21" s="18" t="s">
        <v>225</v>
      </c>
      <c r="B21" s="18" t="s">
        <v>226</v>
      </c>
      <c r="C21" s="18" t="s">
        <v>143</v>
      </c>
      <c r="D21" s="18" t="s">
        <v>227</v>
      </c>
      <c r="E21" s="18" t="s">
        <v>228</v>
      </c>
      <c r="F21" s="18" t="s">
        <v>229</v>
      </c>
      <c r="G21" s="18"/>
      <c r="H21" s="18" t="s">
        <v>76</v>
      </c>
      <c r="I21" s="18" t="s">
        <v>160</v>
      </c>
      <c r="J21" s="18" t="s">
        <v>148</v>
      </c>
      <c r="K21" s="38"/>
      <c r="L21" s="38"/>
      <c r="M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29"/>
    <col customWidth="1" min="2" max="2" width="59.43"/>
    <col customWidth="1" min="3" max="3" width="45.71"/>
    <col customWidth="1" min="4" max="4" width="53.29"/>
    <col customWidth="1" min="5" max="5" width="29.14"/>
    <col customWidth="1" min="6" max="6" width="47.43"/>
    <col customWidth="1" min="7" max="8" width="24.0"/>
    <col customWidth="1" min="9" max="9" width="15.0"/>
    <col customWidth="1" min="10" max="10" width="14.0"/>
    <col customWidth="1" min="11" max="11" width="12.0"/>
    <col customWidth="1" min="12" max="12" width="14.0"/>
    <col customWidth="1" min="13" max="13" width="22.0"/>
  </cols>
  <sheetData>
    <row r="1" ht="24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11" t="s">
        <v>231</v>
      </c>
      <c r="B2" s="39">
        <f>COUNTA($B$8:$B$100000)</f>
        <v>3386</v>
      </c>
    </row>
    <row r="3">
      <c r="A3" s="7" t="s">
        <v>232</v>
      </c>
      <c r="B3" s="40">
        <f>COUNTIF($H$8:$H$100000,"A*")</f>
        <v>2820</v>
      </c>
    </row>
    <row r="4">
      <c r="A4" s="7" t="s">
        <v>233</v>
      </c>
      <c r="B4" s="41">
        <f>COUNTIF($H$8:$H$100000,"B*")</f>
        <v>548</v>
      </c>
    </row>
    <row r="5">
      <c r="A5" s="7" t="s">
        <v>234</v>
      </c>
      <c r="B5" s="42">
        <f>COUNTIF($H$8:$H$100000,"C*")</f>
        <v>18</v>
      </c>
    </row>
    <row r="6">
      <c r="A6" s="4" t="s">
        <v>235</v>
      </c>
      <c r="B6" s="43"/>
    </row>
    <row r="7">
      <c r="A7" s="23" t="s">
        <v>236</v>
      </c>
      <c r="B7" s="44" t="s">
        <v>113</v>
      </c>
      <c r="C7" s="23" t="s">
        <v>237</v>
      </c>
      <c r="D7" s="23" t="s">
        <v>238</v>
      </c>
      <c r="E7" s="23" t="s">
        <v>239</v>
      </c>
      <c r="F7" s="23" t="s">
        <v>160</v>
      </c>
      <c r="G7" s="23" t="s">
        <v>240</v>
      </c>
      <c r="H7" s="23" t="s">
        <v>241</v>
      </c>
      <c r="I7" s="23" t="s">
        <v>136</v>
      </c>
      <c r="J7" s="23" t="s">
        <v>137</v>
      </c>
      <c r="K7" s="23" t="s">
        <v>242</v>
      </c>
      <c r="L7" s="23" t="s">
        <v>139</v>
      </c>
      <c r="M7" s="23" t="s">
        <v>140</v>
      </c>
    </row>
    <row r="8">
      <c r="A8" s="7" t="s">
        <v>243</v>
      </c>
      <c r="B8" s="45" t="s">
        <v>244</v>
      </c>
      <c r="C8" s="7" t="s">
        <v>245</v>
      </c>
      <c r="D8" s="7" t="s">
        <v>246</v>
      </c>
      <c r="E8" s="7" t="s">
        <v>247</v>
      </c>
      <c r="F8" s="7" t="s">
        <v>248</v>
      </c>
      <c r="G8" s="7"/>
      <c r="H8" s="46" t="s">
        <v>249</v>
      </c>
      <c r="I8" s="7" t="s">
        <v>160</v>
      </c>
      <c r="J8" s="7" t="s">
        <v>148</v>
      </c>
      <c r="K8" s="7"/>
      <c r="L8" s="7"/>
      <c r="M8" s="7"/>
    </row>
    <row r="9">
      <c r="A9" s="7" t="s">
        <v>250</v>
      </c>
      <c r="B9" s="45" t="s">
        <v>251</v>
      </c>
      <c r="C9" s="7" t="s">
        <v>252</v>
      </c>
      <c r="D9" s="7" t="s">
        <v>253</v>
      </c>
      <c r="E9" s="7" t="s">
        <v>254</v>
      </c>
      <c r="F9" s="7" t="s">
        <v>255</v>
      </c>
      <c r="G9" s="7"/>
      <c r="H9" s="46" t="s">
        <v>249</v>
      </c>
      <c r="I9" s="7" t="s">
        <v>160</v>
      </c>
      <c r="J9" s="7" t="s">
        <v>148</v>
      </c>
      <c r="K9" s="7"/>
      <c r="L9" s="7"/>
      <c r="M9" s="7"/>
    </row>
    <row r="10">
      <c r="A10" s="7" t="s">
        <v>256</v>
      </c>
      <c r="B10" s="45" t="s">
        <v>257</v>
      </c>
      <c r="C10" s="7" t="s">
        <v>258</v>
      </c>
      <c r="D10" s="7" t="s">
        <v>259</v>
      </c>
      <c r="E10" s="7" t="s">
        <v>260</v>
      </c>
      <c r="F10" s="7" t="s">
        <v>261</v>
      </c>
      <c r="G10" s="7"/>
      <c r="H10" s="46" t="s">
        <v>249</v>
      </c>
      <c r="I10" s="7" t="s">
        <v>160</v>
      </c>
      <c r="J10" s="7" t="s">
        <v>148</v>
      </c>
      <c r="K10" s="7"/>
      <c r="L10" s="7"/>
      <c r="M10" s="7"/>
    </row>
    <row r="11">
      <c r="A11" s="7" t="s">
        <v>262</v>
      </c>
      <c r="B11" s="45" t="s">
        <v>263</v>
      </c>
      <c r="C11" s="7" t="s">
        <v>264</v>
      </c>
      <c r="D11" s="7" t="s">
        <v>265</v>
      </c>
      <c r="E11" s="7" t="s">
        <v>260</v>
      </c>
      <c r="F11" s="7" t="s">
        <v>261</v>
      </c>
      <c r="G11" s="7"/>
      <c r="H11" s="46" t="s">
        <v>249</v>
      </c>
      <c r="I11" s="7" t="s">
        <v>160</v>
      </c>
      <c r="J11" s="7" t="s">
        <v>148</v>
      </c>
      <c r="K11" s="7"/>
      <c r="L11" s="7"/>
      <c r="M11" s="7"/>
    </row>
    <row r="12">
      <c r="A12" s="7" t="s">
        <v>266</v>
      </c>
      <c r="B12" s="45" t="s">
        <v>267</v>
      </c>
      <c r="C12" s="7" t="s">
        <v>268</v>
      </c>
      <c r="D12" s="7" t="s">
        <v>269</v>
      </c>
      <c r="E12" s="7" t="s">
        <v>260</v>
      </c>
      <c r="F12" s="7" t="s">
        <v>261</v>
      </c>
      <c r="G12" s="7"/>
      <c r="H12" s="46" t="s">
        <v>249</v>
      </c>
      <c r="I12" s="7" t="s">
        <v>160</v>
      </c>
      <c r="J12" s="7" t="s">
        <v>148</v>
      </c>
      <c r="K12" s="7"/>
      <c r="L12" s="7"/>
      <c r="M12" s="7"/>
    </row>
    <row r="13">
      <c r="A13" s="7" t="s">
        <v>270</v>
      </c>
      <c r="B13" s="45" t="s">
        <v>271</v>
      </c>
      <c r="C13" s="7" t="s">
        <v>272</v>
      </c>
      <c r="D13" s="7" t="s">
        <v>273</v>
      </c>
      <c r="E13" s="7" t="s">
        <v>274</v>
      </c>
      <c r="F13" s="7" t="s">
        <v>275</v>
      </c>
      <c r="G13" s="7"/>
      <c r="H13" s="46" t="s">
        <v>249</v>
      </c>
      <c r="I13" s="7" t="s">
        <v>160</v>
      </c>
      <c r="J13" s="7" t="s">
        <v>148</v>
      </c>
      <c r="K13" s="7"/>
      <c r="L13" s="7"/>
      <c r="M13" s="7"/>
    </row>
    <row r="14">
      <c r="A14" s="7" t="s">
        <v>276</v>
      </c>
      <c r="B14" s="45" t="s">
        <v>277</v>
      </c>
      <c r="C14" s="7" t="s">
        <v>278</v>
      </c>
      <c r="D14" s="7" t="s">
        <v>279</v>
      </c>
      <c r="E14" s="7" t="s">
        <v>280</v>
      </c>
      <c r="F14" s="7" t="s">
        <v>281</v>
      </c>
      <c r="G14" s="7"/>
      <c r="H14" s="46" t="s">
        <v>249</v>
      </c>
      <c r="I14" s="7" t="s">
        <v>160</v>
      </c>
      <c r="J14" s="7" t="s">
        <v>148</v>
      </c>
      <c r="K14" s="7"/>
      <c r="L14" s="7"/>
      <c r="M14" s="7"/>
    </row>
    <row r="15">
      <c r="A15" s="7" t="s">
        <v>282</v>
      </c>
      <c r="B15" s="45" t="s">
        <v>283</v>
      </c>
      <c r="C15" s="7" t="s">
        <v>284</v>
      </c>
      <c r="D15" s="7" t="s">
        <v>285</v>
      </c>
      <c r="E15" s="7" t="s">
        <v>286</v>
      </c>
      <c r="F15" s="7" t="s">
        <v>287</v>
      </c>
      <c r="G15" s="7"/>
      <c r="H15" s="46" t="s">
        <v>249</v>
      </c>
      <c r="I15" s="7" t="s">
        <v>160</v>
      </c>
      <c r="J15" s="7" t="s">
        <v>148</v>
      </c>
      <c r="K15" s="7"/>
      <c r="L15" s="7"/>
      <c r="M15" s="7"/>
    </row>
    <row r="16">
      <c r="A16" s="7" t="s">
        <v>288</v>
      </c>
      <c r="B16" s="45" t="s">
        <v>289</v>
      </c>
      <c r="C16" s="7" t="s">
        <v>290</v>
      </c>
      <c r="D16" s="7" t="s">
        <v>291</v>
      </c>
      <c r="E16" s="7" t="s">
        <v>292</v>
      </c>
      <c r="F16" s="7" t="s">
        <v>293</v>
      </c>
      <c r="G16" s="7"/>
      <c r="H16" s="46" t="s">
        <v>249</v>
      </c>
      <c r="I16" s="7" t="s">
        <v>160</v>
      </c>
      <c r="J16" s="7" t="s">
        <v>148</v>
      </c>
      <c r="K16" s="7"/>
      <c r="L16" s="7"/>
      <c r="M16" s="7"/>
    </row>
    <row r="17">
      <c r="A17" s="7" t="s">
        <v>294</v>
      </c>
      <c r="B17" s="45" t="s">
        <v>295</v>
      </c>
      <c r="C17" s="7" t="s">
        <v>296</v>
      </c>
      <c r="D17" s="7" t="s">
        <v>291</v>
      </c>
      <c r="E17" s="7" t="s">
        <v>292</v>
      </c>
      <c r="F17" s="7" t="s">
        <v>297</v>
      </c>
      <c r="G17" s="7"/>
      <c r="H17" s="46" t="s">
        <v>249</v>
      </c>
      <c r="I17" s="7" t="s">
        <v>160</v>
      </c>
      <c r="J17" s="7" t="s">
        <v>148</v>
      </c>
      <c r="K17" s="7"/>
      <c r="L17" s="7"/>
      <c r="M17" s="7"/>
    </row>
    <row r="18">
      <c r="A18" s="7" t="s">
        <v>298</v>
      </c>
      <c r="B18" s="45" t="s">
        <v>299</v>
      </c>
      <c r="C18" s="7" t="s">
        <v>300</v>
      </c>
      <c r="D18" s="7" t="s">
        <v>301</v>
      </c>
      <c r="E18" s="7" t="s">
        <v>302</v>
      </c>
      <c r="F18" s="7" t="s">
        <v>303</v>
      </c>
      <c r="G18" s="7"/>
      <c r="H18" s="46" t="s">
        <v>249</v>
      </c>
      <c r="I18" s="7" t="s">
        <v>160</v>
      </c>
      <c r="J18" s="7" t="s">
        <v>148</v>
      </c>
      <c r="K18" s="7"/>
      <c r="L18" s="7"/>
      <c r="M18" s="7"/>
    </row>
    <row r="19">
      <c r="A19" s="7" t="s">
        <v>304</v>
      </c>
      <c r="B19" s="45" t="s">
        <v>305</v>
      </c>
      <c r="C19" s="7" t="s">
        <v>306</v>
      </c>
      <c r="D19" s="7" t="s">
        <v>307</v>
      </c>
      <c r="E19" s="7" t="s">
        <v>308</v>
      </c>
      <c r="F19" s="7" t="s">
        <v>309</v>
      </c>
      <c r="G19" s="7"/>
      <c r="H19" s="46" t="s">
        <v>249</v>
      </c>
      <c r="I19" s="7" t="s">
        <v>160</v>
      </c>
      <c r="J19" s="7" t="s">
        <v>148</v>
      </c>
      <c r="K19" s="7"/>
      <c r="L19" s="7"/>
      <c r="M19" s="7"/>
    </row>
    <row r="20">
      <c r="A20" s="7" t="s">
        <v>310</v>
      </c>
      <c r="B20" s="45" t="s">
        <v>311</v>
      </c>
      <c r="C20" s="7" t="s">
        <v>312</v>
      </c>
      <c r="D20" s="7" t="s">
        <v>313</v>
      </c>
      <c r="E20" s="7" t="s">
        <v>314</v>
      </c>
      <c r="F20" s="7" t="s">
        <v>315</v>
      </c>
      <c r="G20" s="7"/>
      <c r="H20" s="46" t="s">
        <v>249</v>
      </c>
      <c r="I20" s="7" t="s">
        <v>160</v>
      </c>
      <c r="J20" s="7" t="s">
        <v>148</v>
      </c>
      <c r="K20" s="7"/>
      <c r="L20" s="7"/>
      <c r="M20" s="7"/>
    </row>
    <row r="21" ht="15.75" customHeight="1">
      <c r="A21" s="7" t="s">
        <v>316</v>
      </c>
      <c r="B21" s="45" t="s">
        <v>317</v>
      </c>
      <c r="C21" s="7" t="s">
        <v>318</v>
      </c>
      <c r="D21" s="7" t="s">
        <v>319</v>
      </c>
      <c r="E21" s="7" t="s">
        <v>320</v>
      </c>
      <c r="F21" s="7" t="s">
        <v>321</v>
      </c>
      <c r="G21" s="7"/>
      <c r="H21" s="46" t="s">
        <v>249</v>
      </c>
      <c r="I21" s="7" t="s">
        <v>160</v>
      </c>
      <c r="J21" s="7" t="s">
        <v>148</v>
      </c>
      <c r="K21" s="7"/>
      <c r="L21" s="7"/>
      <c r="M21" s="7"/>
    </row>
    <row r="22" ht="15.75" customHeight="1">
      <c r="A22" s="7" t="s">
        <v>322</v>
      </c>
      <c r="B22" s="45" t="s">
        <v>323</v>
      </c>
      <c r="C22" s="7" t="s">
        <v>324</v>
      </c>
      <c r="D22" s="7" t="s">
        <v>325</v>
      </c>
      <c r="E22" s="7" t="s">
        <v>326</v>
      </c>
      <c r="F22" s="7" t="s">
        <v>327</v>
      </c>
      <c r="G22" s="7"/>
      <c r="H22" s="46" t="s">
        <v>249</v>
      </c>
      <c r="I22" s="7" t="s">
        <v>160</v>
      </c>
      <c r="J22" s="7" t="s">
        <v>148</v>
      </c>
      <c r="K22" s="7"/>
      <c r="L22" s="7"/>
      <c r="M22" s="7"/>
    </row>
    <row r="23" ht="15.75" customHeight="1">
      <c r="A23" s="7" t="s">
        <v>328</v>
      </c>
      <c r="B23" s="45" t="s">
        <v>329</v>
      </c>
      <c r="C23" s="7" t="s">
        <v>330</v>
      </c>
      <c r="D23" s="7" t="s">
        <v>331</v>
      </c>
      <c r="E23" s="7" t="s">
        <v>332</v>
      </c>
      <c r="F23" s="7" t="s">
        <v>333</v>
      </c>
      <c r="G23" s="7"/>
      <c r="H23" s="46" t="s">
        <v>249</v>
      </c>
      <c r="I23" s="7" t="s">
        <v>160</v>
      </c>
      <c r="J23" s="7" t="s">
        <v>148</v>
      </c>
      <c r="K23" s="7"/>
      <c r="L23" s="7"/>
      <c r="M23" s="7"/>
    </row>
    <row r="24" ht="15.75" customHeight="1">
      <c r="A24" s="7" t="s">
        <v>334</v>
      </c>
      <c r="B24" s="45" t="s">
        <v>335</v>
      </c>
      <c r="C24" s="7" t="s">
        <v>336</v>
      </c>
      <c r="D24" s="7" t="s">
        <v>337</v>
      </c>
      <c r="E24" s="7" t="s">
        <v>338</v>
      </c>
      <c r="F24" s="7" t="s">
        <v>339</v>
      </c>
      <c r="G24" s="7"/>
      <c r="H24" s="46" t="s">
        <v>249</v>
      </c>
      <c r="I24" s="7" t="s">
        <v>160</v>
      </c>
      <c r="J24" s="7" t="s">
        <v>148</v>
      </c>
      <c r="K24" s="7"/>
      <c r="L24" s="7"/>
      <c r="M24" s="7"/>
    </row>
    <row r="25" ht="15.75" customHeight="1">
      <c r="A25" s="7" t="s">
        <v>340</v>
      </c>
      <c r="B25" s="45" t="s">
        <v>341</v>
      </c>
      <c r="C25" s="7" t="s">
        <v>342</v>
      </c>
      <c r="D25" s="7" t="s">
        <v>343</v>
      </c>
      <c r="E25" s="7" t="s">
        <v>344</v>
      </c>
      <c r="F25" s="7" t="s">
        <v>345</v>
      </c>
      <c r="G25" s="7" t="s">
        <v>346</v>
      </c>
      <c r="H25" s="46" t="s">
        <v>249</v>
      </c>
      <c r="I25" s="7" t="s">
        <v>160</v>
      </c>
      <c r="J25" s="7" t="s">
        <v>148</v>
      </c>
      <c r="K25" s="7"/>
      <c r="L25" s="7"/>
      <c r="M25" s="7"/>
    </row>
    <row r="26" ht="15.75" customHeight="1">
      <c r="A26" s="7" t="s">
        <v>347</v>
      </c>
      <c r="B26" s="45" t="s">
        <v>348</v>
      </c>
      <c r="C26" s="7" t="s">
        <v>349</v>
      </c>
      <c r="D26" s="7" t="s">
        <v>350</v>
      </c>
      <c r="E26" s="7" t="s">
        <v>351</v>
      </c>
      <c r="F26" s="7" t="s">
        <v>352</v>
      </c>
      <c r="G26" s="7"/>
      <c r="H26" s="46" t="s">
        <v>249</v>
      </c>
      <c r="I26" s="7" t="s">
        <v>160</v>
      </c>
      <c r="J26" s="7" t="s">
        <v>148</v>
      </c>
      <c r="K26" s="7"/>
      <c r="L26" s="7"/>
      <c r="M26" s="7"/>
    </row>
    <row r="27" ht="15.75" customHeight="1">
      <c r="A27" s="7" t="s">
        <v>353</v>
      </c>
      <c r="B27" s="45" t="s">
        <v>354</v>
      </c>
      <c r="C27" s="7" t="s">
        <v>355</v>
      </c>
      <c r="D27" s="7" t="s">
        <v>356</v>
      </c>
      <c r="E27" s="7" t="s">
        <v>357</v>
      </c>
      <c r="F27" s="7" t="s">
        <v>358</v>
      </c>
      <c r="G27" s="7"/>
      <c r="H27" s="46" t="s">
        <v>249</v>
      </c>
      <c r="I27" s="7" t="s">
        <v>160</v>
      </c>
      <c r="J27" s="7" t="s">
        <v>148</v>
      </c>
      <c r="K27" s="7"/>
      <c r="L27" s="7"/>
      <c r="M27" s="7"/>
    </row>
    <row r="28" ht="15.75" customHeight="1">
      <c r="A28" s="7" t="s">
        <v>359</v>
      </c>
      <c r="B28" s="45" t="s">
        <v>360</v>
      </c>
      <c r="C28" s="7" t="s">
        <v>361</v>
      </c>
      <c r="D28" s="7" t="s">
        <v>362</v>
      </c>
      <c r="E28" s="7" t="s">
        <v>363</v>
      </c>
      <c r="F28" s="7" t="s">
        <v>364</v>
      </c>
      <c r="G28" s="7"/>
      <c r="H28" s="46" t="s">
        <v>249</v>
      </c>
      <c r="I28" s="7" t="s">
        <v>160</v>
      </c>
      <c r="J28" s="7" t="s">
        <v>148</v>
      </c>
      <c r="K28" s="7"/>
      <c r="L28" s="7"/>
      <c r="M28" s="7"/>
    </row>
    <row r="29" ht="15.75" customHeight="1">
      <c r="A29" s="7" t="s">
        <v>365</v>
      </c>
      <c r="B29" s="45" t="s">
        <v>366</v>
      </c>
      <c r="C29" s="7" t="s">
        <v>367</v>
      </c>
      <c r="D29" s="7" t="s">
        <v>368</v>
      </c>
      <c r="E29" s="7" t="s">
        <v>369</v>
      </c>
      <c r="F29" s="7" t="s">
        <v>370</v>
      </c>
      <c r="G29" s="7"/>
      <c r="H29" s="46" t="s">
        <v>249</v>
      </c>
      <c r="I29" s="7" t="s">
        <v>160</v>
      </c>
      <c r="J29" s="7" t="s">
        <v>148</v>
      </c>
      <c r="K29" s="7"/>
      <c r="L29" s="7"/>
      <c r="M29" s="7"/>
    </row>
    <row r="30" ht="15.75" customHeight="1">
      <c r="A30" s="7" t="s">
        <v>371</v>
      </c>
      <c r="B30" s="45" t="s">
        <v>372</v>
      </c>
      <c r="C30" s="7" t="s">
        <v>373</v>
      </c>
      <c r="D30" s="7" t="s">
        <v>374</v>
      </c>
      <c r="E30" s="7" t="s">
        <v>375</v>
      </c>
      <c r="F30" s="7" t="s">
        <v>376</v>
      </c>
      <c r="G30" s="7"/>
      <c r="H30" s="46" t="s">
        <v>249</v>
      </c>
      <c r="I30" s="7" t="s">
        <v>160</v>
      </c>
      <c r="J30" s="7" t="s">
        <v>148</v>
      </c>
      <c r="K30" s="7"/>
      <c r="L30" s="7"/>
      <c r="M30" s="7"/>
    </row>
    <row r="31" ht="15.75" customHeight="1">
      <c r="A31" s="7" t="s">
        <v>377</v>
      </c>
      <c r="B31" s="45" t="s">
        <v>378</v>
      </c>
      <c r="C31" s="7" t="s">
        <v>379</v>
      </c>
      <c r="D31" s="7" t="s">
        <v>380</v>
      </c>
      <c r="E31" s="7" t="s">
        <v>381</v>
      </c>
      <c r="F31" s="7" t="s">
        <v>382</v>
      </c>
      <c r="G31" s="7"/>
      <c r="H31" s="46" t="s">
        <v>249</v>
      </c>
      <c r="I31" s="7" t="s">
        <v>160</v>
      </c>
      <c r="J31" s="7" t="s">
        <v>148</v>
      </c>
      <c r="K31" s="7"/>
      <c r="L31" s="7"/>
      <c r="M31" s="7"/>
    </row>
    <row r="32" ht="15.75" customHeight="1">
      <c r="A32" s="7" t="s">
        <v>383</v>
      </c>
      <c r="B32" s="45" t="s">
        <v>384</v>
      </c>
      <c r="C32" s="7" t="s">
        <v>385</v>
      </c>
      <c r="D32" s="7" t="s">
        <v>386</v>
      </c>
      <c r="E32" s="7" t="s">
        <v>387</v>
      </c>
      <c r="F32" s="7" t="s">
        <v>388</v>
      </c>
      <c r="G32" s="7"/>
      <c r="H32" s="46" t="s">
        <v>249</v>
      </c>
      <c r="I32" s="7" t="s">
        <v>160</v>
      </c>
      <c r="J32" s="7" t="s">
        <v>148</v>
      </c>
      <c r="K32" s="7"/>
      <c r="L32" s="7"/>
      <c r="M32" s="7"/>
    </row>
    <row r="33" ht="15.75" customHeight="1">
      <c r="A33" s="7" t="s">
        <v>389</v>
      </c>
      <c r="B33" s="45" t="s">
        <v>390</v>
      </c>
      <c r="C33" s="7" t="s">
        <v>391</v>
      </c>
      <c r="D33" s="7" t="s">
        <v>392</v>
      </c>
      <c r="E33" s="7" t="s">
        <v>393</v>
      </c>
      <c r="F33" s="7" t="s">
        <v>394</v>
      </c>
      <c r="G33" s="7"/>
      <c r="H33" s="46" t="s">
        <v>249</v>
      </c>
      <c r="I33" s="7" t="s">
        <v>160</v>
      </c>
      <c r="J33" s="7" t="s">
        <v>148</v>
      </c>
      <c r="K33" s="7"/>
      <c r="L33" s="7"/>
      <c r="M33" s="7"/>
    </row>
    <row r="34" ht="15.75" customHeight="1">
      <c r="A34" s="7" t="s">
        <v>395</v>
      </c>
      <c r="B34" s="45" t="s">
        <v>396</v>
      </c>
      <c r="C34" s="7" t="s">
        <v>397</v>
      </c>
      <c r="D34" s="7" t="s">
        <v>398</v>
      </c>
      <c r="E34" s="7" t="s">
        <v>399</v>
      </c>
      <c r="F34" s="7" t="s">
        <v>400</v>
      </c>
      <c r="G34" s="7"/>
      <c r="H34" s="46" t="s">
        <v>249</v>
      </c>
      <c r="I34" s="7" t="s">
        <v>160</v>
      </c>
      <c r="J34" s="7" t="s">
        <v>148</v>
      </c>
      <c r="K34" s="7"/>
      <c r="L34" s="7"/>
      <c r="M34" s="7"/>
    </row>
    <row r="35" ht="15.75" customHeight="1">
      <c r="A35" s="7" t="s">
        <v>401</v>
      </c>
      <c r="B35" s="45" t="s">
        <v>402</v>
      </c>
      <c r="C35" s="7" t="s">
        <v>403</v>
      </c>
      <c r="D35" s="7" t="s">
        <v>404</v>
      </c>
      <c r="E35" s="7" t="s">
        <v>405</v>
      </c>
      <c r="F35" s="7" t="s">
        <v>406</v>
      </c>
      <c r="G35" s="7"/>
      <c r="H35" s="46" t="s">
        <v>249</v>
      </c>
      <c r="I35" s="7" t="s">
        <v>160</v>
      </c>
      <c r="J35" s="7" t="s">
        <v>148</v>
      </c>
      <c r="K35" s="7"/>
      <c r="L35" s="7"/>
      <c r="M35" s="7"/>
    </row>
    <row r="36" ht="15.75" customHeight="1">
      <c r="A36" s="7" t="s">
        <v>407</v>
      </c>
      <c r="B36" s="45" t="s">
        <v>408</v>
      </c>
      <c r="C36" s="7" t="s">
        <v>409</v>
      </c>
      <c r="D36" s="7" t="s">
        <v>410</v>
      </c>
      <c r="E36" s="7" t="s">
        <v>411</v>
      </c>
      <c r="F36" s="7" t="s">
        <v>412</v>
      </c>
      <c r="G36" s="7"/>
      <c r="H36" s="46" t="s">
        <v>249</v>
      </c>
      <c r="I36" s="7" t="s">
        <v>160</v>
      </c>
      <c r="J36" s="7" t="s">
        <v>148</v>
      </c>
      <c r="K36" s="7"/>
      <c r="L36" s="7"/>
      <c r="M36" s="7"/>
    </row>
    <row r="37" ht="15.75" customHeight="1">
      <c r="A37" s="7" t="s">
        <v>413</v>
      </c>
      <c r="B37" s="45" t="s">
        <v>414</v>
      </c>
      <c r="C37" s="7" t="s">
        <v>415</v>
      </c>
      <c r="D37" s="7" t="s">
        <v>416</v>
      </c>
      <c r="E37" s="7" t="s">
        <v>411</v>
      </c>
      <c r="F37" s="7" t="s">
        <v>412</v>
      </c>
      <c r="G37" s="7"/>
      <c r="H37" s="46" t="s">
        <v>249</v>
      </c>
      <c r="I37" s="7" t="s">
        <v>160</v>
      </c>
      <c r="J37" s="7" t="s">
        <v>148</v>
      </c>
      <c r="K37" s="7"/>
      <c r="L37" s="7"/>
      <c r="M37" s="7"/>
    </row>
    <row r="38" ht="15.75" customHeight="1">
      <c r="A38" s="7" t="s">
        <v>417</v>
      </c>
      <c r="B38" s="45" t="s">
        <v>418</v>
      </c>
      <c r="C38" s="7" t="s">
        <v>419</v>
      </c>
      <c r="D38" s="7" t="s">
        <v>420</v>
      </c>
      <c r="E38" s="7" t="s">
        <v>421</v>
      </c>
      <c r="F38" s="7" t="s">
        <v>422</v>
      </c>
      <c r="G38" s="7"/>
      <c r="H38" s="46" t="s">
        <v>249</v>
      </c>
      <c r="I38" s="7" t="s">
        <v>160</v>
      </c>
      <c r="J38" s="7" t="s">
        <v>148</v>
      </c>
      <c r="K38" s="7"/>
      <c r="L38" s="7"/>
      <c r="M38" s="7"/>
    </row>
    <row r="39" ht="15.75" customHeight="1">
      <c r="A39" s="7" t="s">
        <v>423</v>
      </c>
      <c r="B39" s="45" t="s">
        <v>424</v>
      </c>
      <c r="C39" s="7" t="s">
        <v>425</v>
      </c>
      <c r="D39" s="7" t="s">
        <v>426</v>
      </c>
      <c r="E39" s="7" t="s">
        <v>427</v>
      </c>
      <c r="F39" s="7" t="s">
        <v>428</v>
      </c>
      <c r="G39" s="7"/>
      <c r="H39" s="46" t="s">
        <v>249</v>
      </c>
      <c r="I39" s="7" t="s">
        <v>160</v>
      </c>
      <c r="J39" s="7" t="s">
        <v>148</v>
      </c>
      <c r="K39" s="7"/>
      <c r="L39" s="7"/>
      <c r="M39" s="7"/>
    </row>
    <row r="40" ht="15.75" customHeight="1">
      <c r="A40" s="7" t="s">
        <v>429</v>
      </c>
      <c r="B40" s="45" t="s">
        <v>430</v>
      </c>
      <c r="C40" s="7" t="s">
        <v>431</v>
      </c>
      <c r="D40" s="7" t="s">
        <v>432</v>
      </c>
      <c r="E40" s="7" t="s">
        <v>433</v>
      </c>
      <c r="F40" s="7" t="s">
        <v>434</v>
      </c>
      <c r="G40" s="7"/>
      <c r="H40" s="46" t="s">
        <v>249</v>
      </c>
      <c r="I40" s="7" t="s">
        <v>160</v>
      </c>
      <c r="J40" s="7" t="s">
        <v>148</v>
      </c>
      <c r="K40" s="7"/>
      <c r="L40" s="7"/>
      <c r="M40" s="7"/>
    </row>
    <row r="41" ht="15.75" customHeight="1">
      <c r="A41" s="7" t="s">
        <v>435</v>
      </c>
      <c r="B41" s="45" t="s">
        <v>436</v>
      </c>
      <c r="C41" s="7" t="s">
        <v>437</v>
      </c>
      <c r="D41" s="7" t="s">
        <v>438</v>
      </c>
      <c r="E41" s="7" t="s">
        <v>439</v>
      </c>
      <c r="F41" s="7" t="s">
        <v>440</v>
      </c>
      <c r="G41" s="7"/>
      <c r="H41" s="46" t="s">
        <v>249</v>
      </c>
      <c r="I41" s="7" t="s">
        <v>160</v>
      </c>
      <c r="J41" s="7" t="s">
        <v>148</v>
      </c>
      <c r="K41" s="7"/>
      <c r="L41" s="7"/>
      <c r="M41" s="7"/>
    </row>
    <row r="42" ht="15.75" customHeight="1">
      <c r="A42" s="7" t="s">
        <v>441</v>
      </c>
      <c r="B42" s="45" t="s">
        <v>442</v>
      </c>
      <c r="C42" s="7" t="s">
        <v>443</v>
      </c>
      <c r="D42" s="7" t="s">
        <v>444</v>
      </c>
      <c r="E42" s="7" t="s">
        <v>445</v>
      </c>
      <c r="F42" s="7" t="s">
        <v>446</v>
      </c>
      <c r="G42" s="7"/>
      <c r="H42" s="46" t="s">
        <v>249</v>
      </c>
      <c r="I42" s="7" t="s">
        <v>160</v>
      </c>
      <c r="J42" s="7" t="s">
        <v>148</v>
      </c>
      <c r="K42" s="7"/>
      <c r="L42" s="7"/>
      <c r="M42" s="7"/>
    </row>
    <row r="43" ht="15.75" customHeight="1">
      <c r="A43" s="7" t="s">
        <v>447</v>
      </c>
      <c r="B43" s="45" t="s">
        <v>448</v>
      </c>
      <c r="C43" s="7" t="s">
        <v>449</v>
      </c>
      <c r="D43" s="7" t="s">
        <v>450</v>
      </c>
      <c r="E43" s="7" t="s">
        <v>451</v>
      </c>
      <c r="F43" s="7" t="s">
        <v>452</v>
      </c>
      <c r="G43" s="7"/>
      <c r="H43" s="46" t="s">
        <v>249</v>
      </c>
      <c r="I43" s="7" t="s">
        <v>160</v>
      </c>
      <c r="J43" s="7" t="s">
        <v>148</v>
      </c>
      <c r="K43" s="7"/>
      <c r="L43" s="7"/>
      <c r="M43" s="7"/>
    </row>
    <row r="44" ht="15.75" customHeight="1">
      <c r="A44" s="7" t="s">
        <v>453</v>
      </c>
      <c r="B44" s="45" t="s">
        <v>454</v>
      </c>
      <c r="C44" s="7" t="s">
        <v>455</v>
      </c>
      <c r="D44" s="7" t="s">
        <v>456</v>
      </c>
      <c r="E44" s="7" t="s">
        <v>457</v>
      </c>
      <c r="F44" s="7" t="s">
        <v>458</v>
      </c>
      <c r="G44" s="7"/>
      <c r="H44" s="46" t="s">
        <v>249</v>
      </c>
      <c r="I44" s="7" t="s">
        <v>160</v>
      </c>
      <c r="J44" s="7" t="s">
        <v>148</v>
      </c>
      <c r="K44" s="7"/>
      <c r="L44" s="7"/>
      <c r="M44" s="7"/>
    </row>
    <row r="45" ht="15.75" customHeight="1">
      <c r="A45" s="7" t="s">
        <v>459</v>
      </c>
      <c r="B45" s="45" t="s">
        <v>460</v>
      </c>
      <c r="C45" s="7" t="s">
        <v>461</v>
      </c>
      <c r="D45" s="7" t="s">
        <v>462</v>
      </c>
      <c r="E45" s="7" t="s">
        <v>463</v>
      </c>
      <c r="F45" s="7" t="s">
        <v>464</v>
      </c>
      <c r="G45" s="7"/>
      <c r="H45" s="46" t="s">
        <v>249</v>
      </c>
      <c r="I45" s="7" t="s">
        <v>160</v>
      </c>
      <c r="J45" s="7" t="s">
        <v>148</v>
      </c>
      <c r="K45" s="7"/>
      <c r="L45" s="7"/>
      <c r="M45" s="7"/>
    </row>
    <row r="46" ht="15.75" customHeight="1">
      <c r="A46" s="7" t="s">
        <v>465</v>
      </c>
      <c r="B46" s="45" t="s">
        <v>466</v>
      </c>
      <c r="C46" s="7" t="s">
        <v>467</v>
      </c>
      <c r="D46" s="7" t="s">
        <v>468</v>
      </c>
      <c r="E46" s="7" t="s">
        <v>469</v>
      </c>
      <c r="F46" s="7" t="s">
        <v>470</v>
      </c>
      <c r="G46" s="7"/>
      <c r="H46" s="46" t="s">
        <v>249</v>
      </c>
      <c r="I46" s="7" t="s">
        <v>160</v>
      </c>
      <c r="J46" s="7" t="s">
        <v>148</v>
      </c>
      <c r="K46" s="7"/>
      <c r="L46" s="7"/>
      <c r="M46" s="7"/>
    </row>
    <row r="47" ht="15.75" customHeight="1">
      <c r="A47" s="7" t="s">
        <v>471</v>
      </c>
      <c r="B47" s="45" t="s">
        <v>472</v>
      </c>
      <c r="C47" s="7" t="s">
        <v>473</v>
      </c>
      <c r="D47" s="7" t="s">
        <v>474</v>
      </c>
      <c r="E47" s="7" t="s">
        <v>475</v>
      </c>
      <c r="F47" s="7" t="s">
        <v>476</v>
      </c>
      <c r="G47" s="7"/>
      <c r="H47" s="46" t="s">
        <v>249</v>
      </c>
      <c r="I47" s="7" t="s">
        <v>160</v>
      </c>
      <c r="J47" s="7" t="s">
        <v>148</v>
      </c>
      <c r="K47" s="7"/>
      <c r="L47" s="7"/>
      <c r="M47" s="7"/>
    </row>
    <row r="48" ht="15.75" customHeight="1">
      <c r="A48" s="7" t="s">
        <v>477</v>
      </c>
      <c r="B48" s="45" t="s">
        <v>478</v>
      </c>
      <c r="C48" s="7" t="s">
        <v>479</v>
      </c>
      <c r="D48" s="7" t="s">
        <v>480</v>
      </c>
      <c r="E48" s="7" t="s">
        <v>481</v>
      </c>
      <c r="F48" s="7" t="s">
        <v>482</v>
      </c>
      <c r="G48" s="7"/>
      <c r="H48" s="46" t="s">
        <v>249</v>
      </c>
      <c r="I48" s="7" t="s">
        <v>160</v>
      </c>
      <c r="J48" s="7" t="s">
        <v>148</v>
      </c>
      <c r="K48" s="7"/>
      <c r="L48" s="7"/>
      <c r="M48" s="7"/>
    </row>
    <row r="49" ht="15.75" customHeight="1">
      <c r="A49" s="7" t="s">
        <v>483</v>
      </c>
      <c r="B49" s="45" t="s">
        <v>484</v>
      </c>
      <c r="C49" s="7" t="s">
        <v>485</v>
      </c>
      <c r="D49" s="7" t="s">
        <v>486</v>
      </c>
      <c r="E49" s="7" t="s">
        <v>487</v>
      </c>
      <c r="F49" s="7" t="s">
        <v>488</v>
      </c>
      <c r="G49" s="7"/>
      <c r="H49" s="46" t="s">
        <v>249</v>
      </c>
      <c r="I49" s="7" t="s">
        <v>160</v>
      </c>
      <c r="J49" s="7" t="s">
        <v>148</v>
      </c>
      <c r="K49" s="7"/>
      <c r="L49" s="7"/>
      <c r="M49" s="7"/>
    </row>
    <row r="50" ht="15.75" customHeight="1">
      <c r="A50" s="7" t="s">
        <v>489</v>
      </c>
      <c r="B50" s="45" t="s">
        <v>490</v>
      </c>
      <c r="C50" s="7" t="s">
        <v>491</v>
      </c>
      <c r="D50" s="7" t="s">
        <v>492</v>
      </c>
      <c r="E50" s="7" t="s">
        <v>493</v>
      </c>
      <c r="F50" s="7" t="s">
        <v>494</v>
      </c>
      <c r="G50" s="7"/>
      <c r="H50" s="46" t="s">
        <v>249</v>
      </c>
      <c r="I50" s="7" t="s">
        <v>160</v>
      </c>
      <c r="J50" s="7" t="s">
        <v>148</v>
      </c>
      <c r="K50" s="7"/>
      <c r="L50" s="7"/>
      <c r="M50" s="7"/>
    </row>
    <row r="51" ht="15.75" customHeight="1">
      <c r="A51" s="7" t="s">
        <v>495</v>
      </c>
      <c r="B51" s="45" t="s">
        <v>496</v>
      </c>
      <c r="C51" s="7" t="s">
        <v>497</v>
      </c>
      <c r="D51" s="7" t="s">
        <v>498</v>
      </c>
      <c r="E51" s="7" t="s">
        <v>499</v>
      </c>
      <c r="F51" s="7" t="s">
        <v>500</v>
      </c>
      <c r="G51" s="7"/>
      <c r="H51" s="46" t="s">
        <v>249</v>
      </c>
      <c r="I51" s="7" t="s">
        <v>160</v>
      </c>
      <c r="J51" s="7" t="s">
        <v>148</v>
      </c>
      <c r="K51" s="7"/>
      <c r="L51" s="7"/>
      <c r="M51" s="7"/>
    </row>
    <row r="52" ht="15.75" customHeight="1">
      <c r="A52" s="7" t="s">
        <v>501</v>
      </c>
      <c r="B52" s="45" t="s">
        <v>502</v>
      </c>
      <c r="C52" s="7" t="s">
        <v>503</v>
      </c>
      <c r="D52" s="7" t="s">
        <v>504</v>
      </c>
      <c r="E52" s="7" t="s">
        <v>505</v>
      </c>
      <c r="F52" s="7" t="s">
        <v>506</v>
      </c>
      <c r="G52" s="7"/>
      <c r="H52" s="46" t="s">
        <v>249</v>
      </c>
      <c r="I52" s="7" t="s">
        <v>160</v>
      </c>
      <c r="J52" s="7" t="s">
        <v>148</v>
      </c>
      <c r="K52" s="7"/>
      <c r="L52" s="7"/>
      <c r="M52" s="7"/>
    </row>
    <row r="53" ht="15.75" customHeight="1">
      <c r="A53" s="7" t="s">
        <v>507</v>
      </c>
      <c r="B53" s="45" t="s">
        <v>508</v>
      </c>
      <c r="C53" s="7" t="s">
        <v>509</v>
      </c>
      <c r="D53" s="7" t="s">
        <v>510</v>
      </c>
      <c r="E53" s="7" t="s">
        <v>511</v>
      </c>
      <c r="F53" s="7" t="s">
        <v>512</v>
      </c>
      <c r="G53" s="7"/>
      <c r="H53" s="46" t="s">
        <v>249</v>
      </c>
      <c r="I53" s="7" t="s">
        <v>160</v>
      </c>
      <c r="J53" s="7" t="s">
        <v>148</v>
      </c>
      <c r="K53" s="7"/>
      <c r="L53" s="7"/>
      <c r="M53" s="7"/>
    </row>
    <row r="54" ht="15.75" customHeight="1">
      <c r="A54" s="7" t="s">
        <v>513</v>
      </c>
      <c r="B54" s="45" t="s">
        <v>514</v>
      </c>
      <c r="C54" s="7" t="s">
        <v>515</v>
      </c>
      <c r="D54" s="7" t="s">
        <v>516</v>
      </c>
      <c r="E54" s="7" t="s">
        <v>517</v>
      </c>
      <c r="F54" s="7" t="s">
        <v>518</v>
      </c>
      <c r="G54" s="7"/>
      <c r="H54" s="46" t="s">
        <v>249</v>
      </c>
      <c r="I54" s="7" t="s">
        <v>160</v>
      </c>
      <c r="J54" s="7" t="s">
        <v>148</v>
      </c>
      <c r="K54" s="7"/>
      <c r="L54" s="7"/>
      <c r="M54" s="7"/>
    </row>
    <row r="55" ht="15.75" customHeight="1">
      <c r="A55" s="7" t="s">
        <v>519</v>
      </c>
      <c r="B55" s="45" t="s">
        <v>520</v>
      </c>
      <c r="C55" s="7" t="s">
        <v>521</v>
      </c>
      <c r="D55" s="7" t="s">
        <v>522</v>
      </c>
      <c r="E55" s="7" t="s">
        <v>523</v>
      </c>
      <c r="F55" s="7" t="s">
        <v>524</v>
      </c>
      <c r="G55" s="7"/>
      <c r="H55" s="46" t="s">
        <v>249</v>
      </c>
      <c r="I55" s="7" t="s">
        <v>160</v>
      </c>
      <c r="J55" s="7" t="s">
        <v>148</v>
      </c>
      <c r="K55" s="7"/>
      <c r="L55" s="7"/>
      <c r="M55" s="7"/>
    </row>
    <row r="56" ht="15.75" customHeight="1">
      <c r="A56" s="7" t="s">
        <v>525</v>
      </c>
      <c r="B56" s="45" t="s">
        <v>526</v>
      </c>
      <c r="C56" s="7" t="s">
        <v>527</v>
      </c>
      <c r="D56" s="7" t="s">
        <v>528</v>
      </c>
      <c r="E56" s="7" t="s">
        <v>529</v>
      </c>
      <c r="F56" s="7" t="s">
        <v>530</v>
      </c>
      <c r="G56" s="7"/>
      <c r="H56" s="46" t="s">
        <v>249</v>
      </c>
      <c r="I56" s="7" t="s">
        <v>160</v>
      </c>
      <c r="J56" s="7" t="s">
        <v>148</v>
      </c>
      <c r="K56" s="7"/>
      <c r="L56" s="7"/>
      <c r="M56" s="7"/>
    </row>
    <row r="57" ht="15.75" customHeight="1">
      <c r="A57" s="7" t="s">
        <v>531</v>
      </c>
      <c r="B57" s="45" t="s">
        <v>532</v>
      </c>
      <c r="C57" s="7" t="s">
        <v>533</v>
      </c>
      <c r="D57" s="7" t="s">
        <v>534</v>
      </c>
      <c r="E57" s="7" t="s">
        <v>535</v>
      </c>
      <c r="F57" s="7" t="s">
        <v>536</v>
      </c>
      <c r="G57" s="7"/>
      <c r="H57" s="46" t="s">
        <v>249</v>
      </c>
      <c r="I57" s="7" t="s">
        <v>160</v>
      </c>
      <c r="J57" s="7" t="s">
        <v>148</v>
      </c>
      <c r="K57" s="7"/>
      <c r="L57" s="7"/>
      <c r="M57" s="7"/>
    </row>
    <row r="58" ht="15.75" customHeight="1">
      <c r="A58" s="7" t="s">
        <v>537</v>
      </c>
      <c r="B58" s="45" t="s">
        <v>538</v>
      </c>
      <c r="C58" s="7" t="s">
        <v>539</v>
      </c>
      <c r="D58" s="7" t="s">
        <v>540</v>
      </c>
      <c r="E58" s="7" t="s">
        <v>541</v>
      </c>
      <c r="F58" s="7" t="s">
        <v>542</v>
      </c>
      <c r="G58" s="7"/>
      <c r="H58" s="46" t="s">
        <v>249</v>
      </c>
      <c r="I58" s="7" t="s">
        <v>160</v>
      </c>
      <c r="J58" s="7" t="s">
        <v>148</v>
      </c>
      <c r="K58" s="7"/>
      <c r="L58" s="7"/>
      <c r="M58" s="7"/>
    </row>
    <row r="59" ht="15.75" customHeight="1">
      <c r="A59" s="7" t="s">
        <v>543</v>
      </c>
      <c r="B59" s="45" t="s">
        <v>544</v>
      </c>
      <c r="C59" s="7" t="s">
        <v>545</v>
      </c>
      <c r="D59" s="7" t="s">
        <v>546</v>
      </c>
      <c r="E59" s="7" t="s">
        <v>547</v>
      </c>
      <c r="F59" s="7" t="s">
        <v>548</v>
      </c>
      <c r="G59" s="7"/>
      <c r="H59" s="46" t="s">
        <v>249</v>
      </c>
      <c r="I59" s="7" t="s">
        <v>160</v>
      </c>
      <c r="J59" s="7" t="s">
        <v>148</v>
      </c>
      <c r="K59" s="7"/>
      <c r="L59" s="7"/>
      <c r="M59" s="7"/>
    </row>
    <row r="60" ht="15.75" customHeight="1">
      <c r="A60" s="7" t="s">
        <v>549</v>
      </c>
      <c r="B60" s="45" t="s">
        <v>550</v>
      </c>
      <c r="C60" s="7" t="s">
        <v>551</v>
      </c>
      <c r="D60" s="7" t="s">
        <v>552</v>
      </c>
      <c r="E60" s="7" t="s">
        <v>553</v>
      </c>
      <c r="F60" s="7" t="s">
        <v>554</v>
      </c>
      <c r="G60" s="7"/>
      <c r="H60" s="46" t="s">
        <v>249</v>
      </c>
      <c r="I60" s="7" t="s">
        <v>160</v>
      </c>
      <c r="J60" s="7" t="s">
        <v>148</v>
      </c>
      <c r="K60" s="7"/>
      <c r="L60" s="7"/>
      <c r="M60" s="7"/>
    </row>
    <row r="61" ht="15.75" customHeight="1">
      <c r="A61" s="7" t="s">
        <v>555</v>
      </c>
      <c r="B61" s="45" t="s">
        <v>556</v>
      </c>
      <c r="C61" s="7" t="s">
        <v>551</v>
      </c>
      <c r="D61" s="7" t="s">
        <v>557</v>
      </c>
      <c r="E61" s="7" t="s">
        <v>553</v>
      </c>
      <c r="F61" s="7" t="s">
        <v>554</v>
      </c>
      <c r="G61" s="7"/>
      <c r="H61" s="46" t="s">
        <v>249</v>
      </c>
      <c r="I61" s="7" t="s">
        <v>160</v>
      </c>
      <c r="J61" s="7" t="s">
        <v>148</v>
      </c>
      <c r="K61" s="7"/>
      <c r="L61" s="7"/>
      <c r="M61" s="7"/>
    </row>
    <row r="62" ht="15.75" customHeight="1">
      <c r="A62" s="7" t="s">
        <v>558</v>
      </c>
      <c r="B62" s="45" t="s">
        <v>559</v>
      </c>
      <c r="C62" s="7" t="s">
        <v>560</v>
      </c>
      <c r="D62" s="7" t="s">
        <v>561</v>
      </c>
      <c r="E62" s="7" t="s">
        <v>553</v>
      </c>
      <c r="F62" s="7" t="s">
        <v>562</v>
      </c>
      <c r="G62" s="7"/>
      <c r="H62" s="46" t="s">
        <v>249</v>
      </c>
      <c r="I62" s="7" t="s">
        <v>160</v>
      </c>
      <c r="J62" s="7" t="s">
        <v>148</v>
      </c>
      <c r="K62" s="7"/>
      <c r="L62" s="7"/>
      <c r="M62" s="7"/>
    </row>
    <row r="63" ht="15.75" customHeight="1">
      <c r="A63" s="7" t="s">
        <v>563</v>
      </c>
      <c r="B63" s="45" t="s">
        <v>564</v>
      </c>
      <c r="C63" s="7" t="s">
        <v>551</v>
      </c>
      <c r="D63" s="7" t="s">
        <v>565</v>
      </c>
      <c r="E63" s="7" t="s">
        <v>553</v>
      </c>
      <c r="F63" s="7" t="s">
        <v>554</v>
      </c>
      <c r="G63" s="7"/>
      <c r="H63" s="46" t="s">
        <v>249</v>
      </c>
      <c r="I63" s="7" t="s">
        <v>160</v>
      </c>
      <c r="J63" s="7" t="s">
        <v>148</v>
      </c>
      <c r="K63" s="7"/>
      <c r="L63" s="7"/>
      <c r="M63" s="7"/>
    </row>
    <row r="64" ht="15.75" customHeight="1">
      <c r="A64" s="7" t="s">
        <v>566</v>
      </c>
      <c r="B64" s="45" t="s">
        <v>567</v>
      </c>
      <c r="C64" s="7" t="s">
        <v>551</v>
      </c>
      <c r="D64" s="7" t="s">
        <v>568</v>
      </c>
      <c r="E64" s="7" t="s">
        <v>553</v>
      </c>
      <c r="F64" s="7" t="s">
        <v>554</v>
      </c>
      <c r="G64" s="7"/>
      <c r="H64" s="46" t="s">
        <v>249</v>
      </c>
      <c r="I64" s="7" t="s">
        <v>160</v>
      </c>
      <c r="J64" s="7" t="s">
        <v>148</v>
      </c>
      <c r="K64" s="7"/>
      <c r="L64" s="7"/>
      <c r="M64" s="7"/>
    </row>
    <row r="65" ht="15.75" customHeight="1">
      <c r="A65" s="7" t="s">
        <v>569</v>
      </c>
      <c r="B65" s="45" t="s">
        <v>570</v>
      </c>
      <c r="C65" s="7" t="s">
        <v>551</v>
      </c>
      <c r="D65" s="7" t="s">
        <v>571</v>
      </c>
      <c r="E65" s="7" t="s">
        <v>553</v>
      </c>
      <c r="F65" s="7" t="s">
        <v>572</v>
      </c>
      <c r="G65" s="7"/>
      <c r="H65" s="46" t="s">
        <v>249</v>
      </c>
      <c r="I65" s="7" t="s">
        <v>160</v>
      </c>
      <c r="J65" s="7" t="s">
        <v>148</v>
      </c>
      <c r="K65" s="7"/>
      <c r="L65" s="7"/>
      <c r="M65" s="7"/>
    </row>
    <row r="66" ht="15.75" customHeight="1">
      <c r="A66" s="7" t="s">
        <v>573</v>
      </c>
      <c r="B66" s="45" t="s">
        <v>574</v>
      </c>
      <c r="C66" s="7" t="s">
        <v>551</v>
      </c>
      <c r="D66" s="7" t="s">
        <v>575</v>
      </c>
      <c r="E66" s="7" t="s">
        <v>553</v>
      </c>
      <c r="F66" s="7" t="s">
        <v>576</v>
      </c>
      <c r="G66" s="7"/>
      <c r="H66" s="46" t="s">
        <v>249</v>
      </c>
      <c r="I66" s="7" t="s">
        <v>160</v>
      </c>
      <c r="J66" s="7" t="s">
        <v>148</v>
      </c>
      <c r="K66" s="7"/>
      <c r="L66" s="7"/>
      <c r="M66" s="7"/>
    </row>
    <row r="67" ht="15.75" customHeight="1">
      <c r="A67" s="7" t="s">
        <v>577</v>
      </c>
      <c r="B67" s="45" t="s">
        <v>578</v>
      </c>
      <c r="C67" s="7" t="s">
        <v>551</v>
      </c>
      <c r="D67" s="7" t="s">
        <v>579</v>
      </c>
      <c r="E67" s="7" t="s">
        <v>553</v>
      </c>
      <c r="F67" s="7" t="s">
        <v>576</v>
      </c>
      <c r="G67" s="7"/>
      <c r="H67" s="46" t="s">
        <v>249</v>
      </c>
      <c r="I67" s="7" t="s">
        <v>160</v>
      </c>
      <c r="J67" s="7" t="s">
        <v>148</v>
      </c>
      <c r="K67" s="7"/>
      <c r="L67" s="7"/>
      <c r="M67" s="7"/>
    </row>
    <row r="68" ht="15.75" customHeight="1">
      <c r="A68" s="7" t="s">
        <v>580</v>
      </c>
      <c r="B68" s="45" t="s">
        <v>581</v>
      </c>
      <c r="C68" s="7" t="s">
        <v>551</v>
      </c>
      <c r="D68" s="7" t="s">
        <v>582</v>
      </c>
      <c r="E68" s="7" t="s">
        <v>553</v>
      </c>
      <c r="F68" s="7" t="s">
        <v>583</v>
      </c>
      <c r="G68" s="7"/>
      <c r="H68" s="46" t="s">
        <v>249</v>
      </c>
      <c r="I68" s="7" t="s">
        <v>160</v>
      </c>
      <c r="J68" s="7" t="s">
        <v>148</v>
      </c>
      <c r="K68" s="7"/>
      <c r="L68" s="7"/>
      <c r="M68" s="7"/>
    </row>
    <row r="69" ht="15.75" customHeight="1">
      <c r="A69" s="7" t="s">
        <v>584</v>
      </c>
      <c r="B69" s="45" t="s">
        <v>585</v>
      </c>
      <c r="C69" s="7" t="s">
        <v>551</v>
      </c>
      <c r="D69" s="7" t="s">
        <v>586</v>
      </c>
      <c r="E69" s="7" t="s">
        <v>553</v>
      </c>
      <c r="F69" s="7" t="s">
        <v>554</v>
      </c>
      <c r="G69" s="7"/>
      <c r="H69" s="46" t="s">
        <v>249</v>
      </c>
      <c r="I69" s="7" t="s">
        <v>160</v>
      </c>
      <c r="J69" s="7" t="s">
        <v>148</v>
      </c>
      <c r="K69" s="7"/>
      <c r="L69" s="7"/>
      <c r="M69" s="7"/>
    </row>
    <row r="70" ht="15.75" customHeight="1">
      <c r="A70" s="7" t="s">
        <v>587</v>
      </c>
      <c r="B70" s="45" t="s">
        <v>588</v>
      </c>
      <c r="C70" s="7" t="s">
        <v>551</v>
      </c>
      <c r="D70" s="7" t="s">
        <v>589</v>
      </c>
      <c r="E70" s="7" t="s">
        <v>553</v>
      </c>
      <c r="F70" s="7" t="s">
        <v>576</v>
      </c>
      <c r="G70" s="7"/>
      <c r="H70" s="46" t="s">
        <v>249</v>
      </c>
      <c r="I70" s="7" t="s">
        <v>160</v>
      </c>
      <c r="J70" s="7" t="s">
        <v>148</v>
      </c>
      <c r="K70" s="7"/>
      <c r="L70" s="7"/>
      <c r="M70" s="7"/>
    </row>
    <row r="71" ht="15.75" customHeight="1">
      <c r="A71" s="7" t="s">
        <v>590</v>
      </c>
      <c r="B71" s="45" t="s">
        <v>591</v>
      </c>
      <c r="C71" s="7" t="s">
        <v>592</v>
      </c>
      <c r="D71" s="7" t="s">
        <v>593</v>
      </c>
      <c r="E71" s="7" t="s">
        <v>553</v>
      </c>
      <c r="F71" s="7" t="s">
        <v>594</v>
      </c>
      <c r="G71" s="7"/>
      <c r="H71" s="46" t="s">
        <v>249</v>
      </c>
      <c r="I71" s="7" t="s">
        <v>160</v>
      </c>
      <c r="J71" s="7" t="s">
        <v>148</v>
      </c>
      <c r="K71" s="7"/>
      <c r="L71" s="7"/>
      <c r="M71" s="7"/>
    </row>
    <row r="72" ht="15.75" customHeight="1">
      <c r="A72" s="7" t="s">
        <v>595</v>
      </c>
      <c r="B72" s="45" t="s">
        <v>596</v>
      </c>
      <c r="C72" s="7" t="s">
        <v>551</v>
      </c>
      <c r="D72" s="7" t="s">
        <v>597</v>
      </c>
      <c r="E72" s="7" t="s">
        <v>553</v>
      </c>
      <c r="F72" s="7" t="s">
        <v>576</v>
      </c>
      <c r="G72" s="7"/>
      <c r="H72" s="46" t="s">
        <v>249</v>
      </c>
      <c r="I72" s="7" t="s">
        <v>160</v>
      </c>
      <c r="J72" s="7" t="s">
        <v>148</v>
      </c>
      <c r="K72" s="7"/>
      <c r="L72" s="7"/>
      <c r="M72" s="7"/>
    </row>
    <row r="73" ht="15.75" customHeight="1">
      <c r="A73" s="7" t="s">
        <v>598</v>
      </c>
      <c r="B73" s="45" t="s">
        <v>599</v>
      </c>
      <c r="C73" s="7" t="s">
        <v>551</v>
      </c>
      <c r="D73" s="7" t="s">
        <v>600</v>
      </c>
      <c r="E73" s="7" t="s">
        <v>553</v>
      </c>
      <c r="F73" s="7" t="s">
        <v>554</v>
      </c>
      <c r="G73" s="7"/>
      <c r="H73" s="46" t="s">
        <v>249</v>
      </c>
      <c r="I73" s="7" t="s">
        <v>160</v>
      </c>
      <c r="J73" s="7" t="s">
        <v>148</v>
      </c>
      <c r="K73" s="7"/>
      <c r="L73" s="7"/>
      <c r="M73" s="7"/>
    </row>
    <row r="74" ht="15.75" customHeight="1">
      <c r="A74" s="7" t="s">
        <v>601</v>
      </c>
      <c r="B74" s="45" t="s">
        <v>602</v>
      </c>
      <c r="C74" s="7" t="s">
        <v>551</v>
      </c>
      <c r="D74" s="7" t="s">
        <v>603</v>
      </c>
      <c r="E74" s="7" t="s">
        <v>553</v>
      </c>
      <c r="F74" s="7" t="s">
        <v>554</v>
      </c>
      <c r="G74" s="7"/>
      <c r="H74" s="46" t="s">
        <v>249</v>
      </c>
      <c r="I74" s="7" t="s">
        <v>160</v>
      </c>
      <c r="J74" s="7" t="s">
        <v>148</v>
      </c>
      <c r="K74" s="7"/>
      <c r="L74" s="7"/>
      <c r="M74" s="7"/>
    </row>
    <row r="75" ht="15.75" customHeight="1">
      <c r="A75" s="7" t="s">
        <v>604</v>
      </c>
      <c r="B75" s="45" t="s">
        <v>605</v>
      </c>
      <c r="C75" s="7" t="s">
        <v>551</v>
      </c>
      <c r="D75" s="7" t="s">
        <v>606</v>
      </c>
      <c r="E75" s="7" t="s">
        <v>553</v>
      </c>
      <c r="F75" s="7" t="s">
        <v>572</v>
      </c>
      <c r="G75" s="7"/>
      <c r="H75" s="46" t="s">
        <v>249</v>
      </c>
      <c r="I75" s="7" t="s">
        <v>160</v>
      </c>
      <c r="J75" s="7" t="s">
        <v>148</v>
      </c>
      <c r="K75" s="7"/>
      <c r="L75" s="7"/>
      <c r="M75" s="7"/>
    </row>
    <row r="76" ht="15.75" customHeight="1">
      <c r="A76" s="7" t="s">
        <v>607</v>
      </c>
      <c r="B76" s="45" t="s">
        <v>608</v>
      </c>
      <c r="C76" s="7" t="s">
        <v>551</v>
      </c>
      <c r="D76" s="7" t="s">
        <v>609</v>
      </c>
      <c r="E76" s="7" t="s">
        <v>553</v>
      </c>
      <c r="F76" s="7" t="s">
        <v>554</v>
      </c>
      <c r="G76" s="7"/>
      <c r="H76" s="46" t="s">
        <v>249</v>
      </c>
      <c r="I76" s="7" t="s">
        <v>160</v>
      </c>
      <c r="J76" s="7" t="s">
        <v>148</v>
      </c>
      <c r="K76" s="7"/>
      <c r="L76" s="7"/>
      <c r="M76" s="7"/>
    </row>
    <row r="77" ht="15.75" customHeight="1">
      <c r="A77" s="7" t="s">
        <v>610</v>
      </c>
      <c r="B77" s="45" t="s">
        <v>611</v>
      </c>
      <c r="C77" s="7" t="s">
        <v>551</v>
      </c>
      <c r="D77" s="7" t="s">
        <v>612</v>
      </c>
      <c r="E77" s="7" t="s">
        <v>553</v>
      </c>
      <c r="F77" s="7" t="s">
        <v>554</v>
      </c>
      <c r="G77" s="7"/>
      <c r="H77" s="46" t="s">
        <v>249</v>
      </c>
      <c r="I77" s="7" t="s">
        <v>160</v>
      </c>
      <c r="J77" s="7" t="s">
        <v>148</v>
      </c>
      <c r="K77" s="7"/>
      <c r="L77" s="7"/>
      <c r="M77" s="7"/>
    </row>
    <row r="78" ht="15.75" customHeight="1">
      <c r="A78" s="7" t="s">
        <v>613</v>
      </c>
      <c r="B78" s="45" t="s">
        <v>614</v>
      </c>
      <c r="C78" s="7" t="s">
        <v>551</v>
      </c>
      <c r="D78" s="7" t="s">
        <v>615</v>
      </c>
      <c r="E78" s="7" t="s">
        <v>553</v>
      </c>
      <c r="F78" s="7" t="s">
        <v>554</v>
      </c>
      <c r="G78" s="7"/>
      <c r="H78" s="46" t="s">
        <v>249</v>
      </c>
      <c r="I78" s="7" t="s">
        <v>160</v>
      </c>
      <c r="J78" s="7" t="s">
        <v>148</v>
      </c>
      <c r="K78" s="7"/>
      <c r="L78" s="7"/>
      <c r="M78" s="7"/>
    </row>
    <row r="79" ht="15.75" customHeight="1">
      <c r="A79" s="7" t="s">
        <v>616</v>
      </c>
      <c r="B79" s="45" t="s">
        <v>617</v>
      </c>
      <c r="C79" s="7" t="s">
        <v>618</v>
      </c>
      <c r="D79" s="7" t="s">
        <v>619</v>
      </c>
      <c r="E79" s="7" t="s">
        <v>620</v>
      </c>
      <c r="F79" s="7" t="s">
        <v>621</v>
      </c>
      <c r="G79" s="7"/>
      <c r="H79" s="46" t="s">
        <v>249</v>
      </c>
      <c r="I79" s="7" t="s">
        <v>160</v>
      </c>
      <c r="J79" s="7" t="s">
        <v>148</v>
      </c>
      <c r="K79" s="7"/>
      <c r="L79" s="7"/>
      <c r="M79" s="7"/>
    </row>
    <row r="80" ht="15.75" customHeight="1">
      <c r="A80" s="7" t="s">
        <v>622</v>
      </c>
      <c r="B80" s="45" t="s">
        <v>623</v>
      </c>
      <c r="C80" s="7" t="s">
        <v>624</v>
      </c>
      <c r="D80" s="7" t="s">
        <v>625</v>
      </c>
      <c r="E80" s="7" t="s">
        <v>626</v>
      </c>
      <c r="F80" s="7" t="s">
        <v>627</v>
      </c>
      <c r="G80" s="7"/>
      <c r="H80" s="46" t="s">
        <v>249</v>
      </c>
      <c r="I80" s="7" t="s">
        <v>160</v>
      </c>
      <c r="J80" s="7" t="s">
        <v>148</v>
      </c>
      <c r="K80" s="7"/>
      <c r="L80" s="7"/>
      <c r="M80" s="7"/>
    </row>
    <row r="81" ht="15.75" customHeight="1">
      <c r="A81" s="7" t="s">
        <v>628</v>
      </c>
      <c r="B81" s="45" t="s">
        <v>629</v>
      </c>
      <c r="C81" s="7" t="s">
        <v>630</v>
      </c>
      <c r="D81" s="7" t="s">
        <v>631</v>
      </c>
      <c r="E81" s="7" t="s">
        <v>632</v>
      </c>
      <c r="F81" s="7" t="s">
        <v>633</v>
      </c>
      <c r="G81" s="7"/>
      <c r="H81" s="46" t="s">
        <v>249</v>
      </c>
      <c r="I81" s="7" t="s">
        <v>160</v>
      </c>
      <c r="J81" s="7" t="s">
        <v>148</v>
      </c>
      <c r="K81" s="7"/>
      <c r="L81" s="7"/>
      <c r="M81" s="7"/>
    </row>
    <row r="82" ht="15.75" customHeight="1">
      <c r="A82" s="7" t="s">
        <v>634</v>
      </c>
      <c r="B82" s="45" t="s">
        <v>635</v>
      </c>
      <c r="C82" s="7" t="s">
        <v>636</v>
      </c>
      <c r="D82" s="7" t="s">
        <v>637</v>
      </c>
      <c r="E82" s="7" t="s">
        <v>638</v>
      </c>
      <c r="F82" s="7" t="s">
        <v>639</v>
      </c>
      <c r="G82" s="7"/>
      <c r="H82" s="46" t="s">
        <v>249</v>
      </c>
      <c r="I82" s="7" t="s">
        <v>160</v>
      </c>
      <c r="J82" s="7" t="s">
        <v>148</v>
      </c>
      <c r="K82" s="7"/>
      <c r="L82" s="7"/>
      <c r="M82" s="7"/>
    </row>
    <row r="83" ht="15.75" customHeight="1">
      <c r="A83" s="7" t="s">
        <v>640</v>
      </c>
      <c r="B83" s="45" t="s">
        <v>641</v>
      </c>
      <c r="C83" s="7" t="s">
        <v>642</v>
      </c>
      <c r="D83" s="7" t="s">
        <v>643</v>
      </c>
      <c r="E83" s="7" t="s">
        <v>644</v>
      </c>
      <c r="F83" s="7" t="s">
        <v>645</v>
      </c>
      <c r="G83" s="7"/>
      <c r="H83" s="46" t="s">
        <v>249</v>
      </c>
      <c r="I83" s="7" t="s">
        <v>160</v>
      </c>
      <c r="J83" s="7" t="s">
        <v>148</v>
      </c>
      <c r="K83" s="7"/>
      <c r="L83" s="7"/>
      <c r="M83" s="7"/>
    </row>
    <row r="84" ht="15.75" customHeight="1">
      <c r="A84" s="7" t="s">
        <v>646</v>
      </c>
      <c r="B84" s="45" t="s">
        <v>647</v>
      </c>
      <c r="C84" s="7" t="s">
        <v>648</v>
      </c>
      <c r="D84" s="7" t="s">
        <v>649</v>
      </c>
      <c r="E84" s="7" t="s">
        <v>650</v>
      </c>
      <c r="F84" s="7" t="s">
        <v>645</v>
      </c>
      <c r="G84" s="7"/>
      <c r="H84" s="46" t="s">
        <v>249</v>
      </c>
      <c r="I84" s="7" t="s">
        <v>160</v>
      </c>
      <c r="J84" s="7" t="s">
        <v>148</v>
      </c>
      <c r="K84" s="7"/>
      <c r="L84" s="7"/>
      <c r="M84" s="7"/>
    </row>
    <row r="85" ht="15.75" customHeight="1">
      <c r="A85" s="7" t="s">
        <v>651</v>
      </c>
      <c r="B85" s="45" t="s">
        <v>652</v>
      </c>
      <c r="C85" s="7" t="s">
        <v>653</v>
      </c>
      <c r="D85" s="7" t="s">
        <v>654</v>
      </c>
      <c r="E85" s="7" t="s">
        <v>655</v>
      </c>
      <c r="F85" s="7" t="s">
        <v>656</v>
      </c>
      <c r="G85" s="7"/>
      <c r="H85" s="46" t="s">
        <v>249</v>
      </c>
      <c r="I85" s="7" t="s">
        <v>160</v>
      </c>
      <c r="J85" s="7" t="s">
        <v>148</v>
      </c>
      <c r="K85" s="7"/>
      <c r="L85" s="7"/>
      <c r="M85" s="7"/>
    </row>
    <row r="86" ht="15.75" customHeight="1">
      <c r="A86" s="7" t="s">
        <v>657</v>
      </c>
      <c r="B86" s="45" t="s">
        <v>658</v>
      </c>
      <c r="C86" s="7" t="s">
        <v>659</v>
      </c>
      <c r="D86" s="7" t="s">
        <v>660</v>
      </c>
      <c r="E86" s="7" t="s">
        <v>661</v>
      </c>
      <c r="F86" s="7" t="s">
        <v>662</v>
      </c>
      <c r="G86" s="7"/>
      <c r="H86" s="46" t="s">
        <v>249</v>
      </c>
      <c r="I86" s="7" t="s">
        <v>160</v>
      </c>
      <c r="J86" s="7" t="s">
        <v>148</v>
      </c>
      <c r="K86" s="7"/>
      <c r="L86" s="7"/>
      <c r="M86" s="7"/>
    </row>
    <row r="87" ht="15.75" customHeight="1">
      <c r="A87" s="7" t="s">
        <v>663</v>
      </c>
      <c r="B87" s="45" t="s">
        <v>664</v>
      </c>
      <c r="C87" s="7" t="s">
        <v>665</v>
      </c>
      <c r="D87" s="7" t="s">
        <v>666</v>
      </c>
      <c r="E87" s="7" t="s">
        <v>667</v>
      </c>
      <c r="F87" s="7" t="s">
        <v>668</v>
      </c>
      <c r="G87" s="7"/>
      <c r="H87" s="46" t="s">
        <v>249</v>
      </c>
      <c r="I87" s="7" t="s">
        <v>160</v>
      </c>
      <c r="J87" s="7" t="s">
        <v>148</v>
      </c>
      <c r="K87" s="7"/>
      <c r="L87" s="7"/>
      <c r="M87" s="7"/>
    </row>
    <row r="88" ht="15.75" customHeight="1">
      <c r="A88" s="7" t="s">
        <v>669</v>
      </c>
      <c r="B88" s="45" t="s">
        <v>670</v>
      </c>
      <c r="C88" s="7" t="s">
        <v>671</v>
      </c>
      <c r="D88" s="7" t="s">
        <v>672</v>
      </c>
      <c r="E88" s="7" t="s">
        <v>673</v>
      </c>
      <c r="F88" s="7" t="s">
        <v>674</v>
      </c>
      <c r="G88" s="7" t="s">
        <v>675</v>
      </c>
      <c r="H88" s="46" t="s">
        <v>249</v>
      </c>
      <c r="I88" s="7" t="s">
        <v>160</v>
      </c>
      <c r="J88" s="7" t="s">
        <v>148</v>
      </c>
      <c r="K88" s="7"/>
      <c r="L88" s="7"/>
      <c r="M88" s="7"/>
    </row>
    <row r="89" ht="15.75" customHeight="1">
      <c r="A89" s="7" t="s">
        <v>676</v>
      </c>
      <c r="B89" s="45" t="s">
        <v>677</v>
      </c>
      <c r="C89" s="7" t="s">
        <v>678</v>
      </c>
      <c r="D89" s="7" t="s">
        <v>679</v>
      </c>
      <c r="E89" s="7" t="s">
        <v>680</v>
      </c>
      <c r="F89" s="7" t="s">
        <v>681</v>
      </c>
      <c r="G89" s="7"/>
      <c r="H89" s="46" t="s">
        <v>249</v>
      </c>
      <c r="I89" s="7" t="s">
        <v>160</v>
      </c>
      <c r="J89" s="7" t="s">
        <v>148</v>
      </c>
      <c r="K89" s="7"/>
      <c r="L89" s="7"/>
      <c r="M89" s="7"/>
    </row>
    <row r="90" ht="15.75" customHeight="1">
      <c r="A90" s="7" t="s">
        <v>682</v>
      </c>
      <c r="B90" s="45" t="s">
        <v>683</v>
      </c>
      <c r="C90" s="7" t="s">
        <v>684</v>
      </c>
      <c r="D90" s="7" t="s">
        <v>685</v>
      </c>
      <c r="E90" s="7" t="s">
        <v>686</v>
      </c>
      <c r="F90" s="7" t="s">
        <v>687</v>
      </c>
      <c r="G90" s="7"/>
      <c r="H90" s="46" t="s">
        <v>249</v>
      </c>
      <c r="I90" s="7" t="s">
        <v>160</v>
      </c>
      <c r="J90" s="7" t="s">
        <v>148</v>
      </c>
      <c r="K90" s="7"/>
      <c r="L90" s="7"/>
      <c r="M90" s="7"/>
    </row>
    <row r="91" ht="15.75" customHeight="1">
      <c r="A91" s="7" t="s">
        <v>688</v>
      </c>
      <c r="B91" s="45" t="s">
        <v>689</v>
      </c>
      <c r="C91" s="7" t="s">
        <v>690</v>
      </c>
      <c r="D91" s="7" t="s">
        <v>691</v>
      </c>
      <c r="E91" s="7" t="s">
        <v>692</v>
      </c>
      <c r="F91" s="7" t="s">
        <v>693</v>
      </c>
      <c r="G91" s="7"/>
      <c r="H91" s="46" t="s">
        <v>249</v>
      </c>
      <c r="I91" s="7" t="s">
        <v>160</v>
      </c>
      <c r="J91" s="7" t="s">
        <v>148</v>
      </c>
      <c r="K91" s="7"/>
      <c r="L91" s="7"/>
      <c r="M91" s="7"/>
    </row>
    <row r="92" ht="15.75" customHeight="1">
      <c r="A92" s="7" t="s">
        <v>694</v>
      </c>
      <c r="B92" s="45" t="s">
        <v>695</v>
      </c>
      <c r="C92" s="7" t="s">
        <v>696</v>
      </c>
      <c r="D92" s="7" t="s">
        <v>697</v>
      </c>
      <c r="E92" s="7" t="s">
        <v>698</v>
      </c>
      <c r="F92" s="7" t="s">
        <v>699</v>
      </c>
      <c r="G92" s="7"/>
      <c r="H92" s="46" t="s">
        <v>249</v>
      </c>
      <c r="I92" s="7" t="s">
        <v>160</v>
      </c>
      <c r="J92" s="7" t="s">
        <v>148</v>
      </c>
      <c r="K92" s="7"/>
      <c r="L92" s="7"/>
      <c r="M92" s="7"/>
    </row>
    <row r="93" ht="15.75" customHeight="1">
      <c r="A93" s="7" t="s">
        <v>700</v>
      </c>
      <c r="B93" s="45" t="s">
        <v>701</v>
      </c>
      <c r="C93" s="7" t="s">
        <v>702</v>
      </c>
      <c r="D93" s="7" t="s">
        <v>703</v>
      </c>
      <c r="E93" s="7" t="s">
        <v>704</v>
      </c>
      <c r="F93" s="7" t="s">
        <v>705</v>
      </c>
      <c r="G93" s="7"/>
      <c r="H93" s="46" t="s">
        <v>249</v>
      </c>
      <c r="I93" s="7" t="s">
        <v>160</v>
      </c>
      <c r="J93" s="7" t="s">
        <v>148</v>
      </c>
      <c r="K93" s="7"/>
      <c r="L93" s="7"/>
      <c r="M93" s="7"/>
    </row>
    <row r="94" ht="15.75" customHeight="1">
      <c r="A94" s="7" t="s">
        <v>706</v>
      </c>
      <c r="B94" s="45" t="s">
        <v>707</v>
      </c>
      <c r="C94" s="7" t="s">
        <v>708</v>
      </c>
      <c r="D94" s="7" t="s">
        <v>709</v>
      </c>
      <c r="E94" s="7" t="s">
        <v>710</v>
      </c>
      <c r="F94" s="7" t="s">
        <v>711</v>
      </c>
      <c r="G94" s="7"/>
      <c r="H94" s="46" t="s">
        <v>249</v>
      </c>
      <c r="I94" s="7" t="s">
        <v>160</v>
      </c>
      <c r="J94" s="7" t="s">
        <v>148</v>
      </c>
      <c r="K94" s="7"/>
      <c r="L94" s="7"/>
      <c r="M94" s="7"/>
    </row>
    <row r="95" ht="15.75" customHeight="1">
      <c r="A95" s="7" t="s">
        <v>712</v>
      </c>
      <c r="B95" s="45" t="s">
        <v>713</v>
      </c>
      <c r="C95" s="7" t="s">
        <v>714</v>
      </c>
      <c r="D95" s="7" t="s">
        <v>715</v>
      </c>
      <c r="E95" s="7" t="s">
        <v>716</v>
      </c>
      <c r="F95" s="7" t="s">
        <v>717</v>
      </c>
      <c r="G95" s="7"/>
      <c r="H95" s="46" t="s">
        <v>249</v>
      </c>
      <c r="I95" s="7" t="s">
        <v>160</v>
      </c>
      <c r="J95" s="7" t="s">
        <v>148</v>
      </c>
      <c r="K95" s="7"/>
      <c r="L95" s="7"/>
      <c r="M95" s="7"/>
    </row>
    <row r="96" ht="15.75" customHeight="1">
      <c r="A96" s="7" t="s">
        <v>718</v>
      </c>
      <c r="B96" s="45" t="s">
        <v>719</v>
      </c>
      <c r="C96" s="7" t="s">
        <v>720</v>
      </c>
      <c r="D96" s="7" t="s">
        <v>721</v>
      </c>
      <c r="E96" s="7" t="s">
        <v>722</v>
      </c>
      <c r="F96" s="7" t="s">
        <v>723</v>
      </c>
      <c r="G96" s="7"/>
      <c r="H96" s="46" t="s">
        <v>249</v>
      </c>
      <c r="I96" s="7" t="s">
        <v>160</v>
      </c>
      <c r="J96" s="7" t="s">
        <v>148</v>
      </c>
      <c r="K96" s="7"/>
      <c r="L96" s="7"/>
      <c r="M96" s="7"/>
    </row>
    <row r="97" ht="15.75" customHeight="1">
      <c r="A97" s="7" t="s">
        <v>724</v>
      </c>
      <c r="B97" s="45" t="s">
        <v>725</v>
      </c>
      <c r="C97" s="7" t="s">
        <v>726</v>
      </c>
      <c r="D97" s="7" t="s">
        <v>727</v>
      </c>
      <c r="E97" s="7" t="s">
        <v>728</v>
      </c>
      <c r="F97" s="7" t="s">
        <v>729</v>
      </c>
      <c r="G97" s="7"/>
      <c r="H97" s="46" t="s">
        <v>249</v>
      </c>
      <c r="I97" s="7" t="s">
        <v>160</v>
      </c>
      <c r="J97" s="7" t="s">
        <v>148</v>
      </c>
      <c r="K97" s="7"/>
      <c r="L97" s="7"/>
      <c r="M97" s="7"/>
    </row>
    <row r="98" ht="15.75" customHeight="1">
      <c r="A98" s="7" t="s">
        <v>730</v>
      </c>
      <c r="B98" s="45" t="s">
        <v>731</v>
      </c>
      <c r="C98" s="7" t="s">
        <v>732</v>
      </c>
      <c r="D98" s="7" t="s">
        <v>733</v>
      </c>
      <c r="E98" s="7" t="s">
        <v>734</v>
      </c>
      <c r="F98" s="7" t="s">
        <v>735</v>
      </c>
      <c r="G98" s="7"/>
      <c r="H98" s="46" t="s">
        <v>249</v>
      </c>
      <c r="I98" s="7" t="s">
        <v>160</v>
      </c>
      <c r="J98" s="7" t="s">
        <v>148</v>
      </c>
      <c r="K98" s="7"/>
      <c r="L98" s="7"/>
      <c r="M98" s="7"/>
    </row>
    <row r="99" ht="15.75" customHeight="1">
      <c r="A99" s="7" t="s">
        <v>736</v>
      </c>
      <c r="B99" s="45" t="s">
        <v>737</v>
      </c>
      <c r="C99" s="7" t="s">
        <v>738</v>
      </c>
      <c r="D99" s="7" t="s">
        <v>733</v>
      </c>
      <c r="E99" s="7" t="s">
        <v>734</v>
      </c>
      <c r="F99" s="7" t="s">
        <v>735</v>
      </c>
      <c r="G99" s="7"/>
      <c r="H99" s="46" t="s">
        <v>249</v>
      </c>
      <c r="I99" s="7" t="s">
        <v>160</v>
      </c>
      <c r="J99" s="7" t="s">
        <v>148</v>
      </c>
      <c r="K99" s="7"/>
      <c r="L99" s="7"/>
      <c r="M99" s="7"/>
    </row>
    <row r="100" ht="15.75" customHeight="1">
      <c r="A100" s="7" t="s">
        <v>739</v>
      </c>
      <c r="B100" s="45" t="s">
        <v>740</v>
      </c>
      <c r="C100" s="7" t="s">
        <v>732</v>
      </c>
      <c r="D100" s="7" t="s">
        <v>741</v>
      </c>
      <c r="E100" s="7" t="s">
        <v>734</v>
      </c>
      <c r="F100" s="7" t="s">
        <v>735</v>
      </c>
      <c r="G100" s="7"/>
      <c r="H100" s="46" t="s">
        <v>249</v>
      </c>
      <c r="I100" s="7" t="s">
        <v>160</v>
      </c>
      <c r="J100" s="7" t="s">
        <v>148</v>
      </c>
      <c r="K100" s="7"/>
      <c r="L100" s="7"/>
      <c r="M100" s="7"/>
    </row>
    <row r="101" ht="15.75" customHeight="1">
      <c r="A101" s="7" t="s">
        <v>742</v>
      </c>
      <c r="B101" s="45" t="s">
        <v>743</v>
      </c>
      <c r="C101" s="7" t="s">
        <v>744</v>
      </c>
      <c r="D101" s="7" t="s">
        <v>745</v>
      </c>
      <c r="E101" s="7" t="s">
        <v>746</v>
      </c>
      <c r="F101" s="7" t="s">
        <v>747</v>
      </c>
      <c r="G101" s="7"/>
      <c r="H101" s="46" t="s">
        <v>249</v>
      </c>
      <c r="I101" s="7" t="s">
        <v>160</v>
      </c>
      <c r="J101" s="7" t="s">
        <v>148</v>
      </c>
      <c r="K101" s="7"/>
      <c r="L101" s="7"/>
      <c r="M101" s="7"/>
    </row>
    <row r="102" ht="15.75" customHeight="1">
      <c r="A102" s="7" t="s">
        <v>748</v>
      </c>
      <c r="B102" s="45" t="s">
        <v>749</v>
      </c>
      <c r="C102" s="7" t="s">
        <v>750</v>
      </c>
      <c r="D102" s="7" t="s">
        <v>751</v>
      </c>
      <c r="E102" s="7" t="s">
        <v>746</v>
      </c>
      <c r="F102" s="7" t="s">
        <v>747</v>
      </c>
      <c r="G102" s="7" t="s">
        <v>752</v>
      </c>
      <c r="H102" s="46" t="s">
        <v>249</v>
      </c>
      <c r="I102" s="7" t="s">
        <v>160</v>
      </c>
      <c r="J102" s="7" t="s">
        <v>148</v>
      </c>
      <c r="K102" s="7"/>
      <c r="L102" s="7"/>
      <c r="M102" s="7"/>
    </row>
    <row r="103" ht="15.75" customHeight="1">
      <c r="A103" s="7" t="s">
        <v>753</v>
      </c>
      <c r="B103" s="45" t="s">
        <v>754</v>
      </c>
      <c r="C103" s="7" t="s">
        <v>755</v>
      </c>
      <c r="D103" s="7" t="s">
        <v>756</v>
      </c>
      <c r="E103" s="7" t="s">
        <v>757</v>
      </c>
      <c r="F103" s="7" t="s">
        <v>758</v>
      </c>
      <c r="G103" s="7"/>
      <c r="H103" s="46" t="s">
        <v>249</v>
      </c>
      <c r="I103" s="7" t="s">
        <v>160</v>
      </c>
      <c r="J103" s="7" t="s">
        <v>148</v>
      </c>
      <c r="K103" s="7"/>
      <c r="L103" s="7"/>
      <c r="M103" s="7"/>
    </row>
    <row r="104" ht="15.75" customHeight="1">
      <c r="A104" s="7" t="s">
        <v>759</v>
      </c>
      <c r="B104" s="45" t="s">
        <v>760</v>
      </c>
      <c r="C104" s="7" t="s">
        <v>761</v>
      </c>
      <c r="D104" s="7" t="s">
        <v>762</v>
      </c>
      <c r="E104" s="7" t="s">
        <v>763</v>
      </c>
      <c r="F104" s="7" t="s">
        <v>764</v>
      </c>
      <c r="G104" s="7"/>
      <c r="H104" s="46" t="s">
        <v>249</v>
      </c>
      <c r="I104" s="7" t="s">
        <v>160</v>
      </c>
      <c r="J104" s="7" t="s">
        <v>148</v>
      </c>
      <c r="K104" s="7"/>
      <c r="L104" s="7"/>
      <c r="M104" s="7"/>
    </row>
    <row r="105" ht="15.75" customHeight="1">
      <c r="A105" s="7" t="s">
        <v>765</v>
      </c>
      <c r="B105" s="45" t="s">
        <v>766</v>
      </c>
      <c r="C105" s="7" t="s">
        <v>767</v>
      </c>
      <c r="D105" s="7" t="s">
        <v>768</v>
      </c>
      <c r="E105" s="7" t="s">
        <v>769</v>
      </c>
      <c r="F105" s="7" t="s">
        <v>770</v>
      </c>
      <c r="G105" s="7"/>
      <c r="H105" s="46" t="s">
        <v>249</v>
      </c>
      <c r="I105" s="7" t="s">
        <v>160</v>
      </c>
      <c r="J105" s="7" t="s">
        <v>148</v>
      </c>
      <c r="K105" s="7"/>
      <c r="L105" s="7"/>
      <c r="M105" s="7"/>
    </row>
    <row r="106" ht="15.75" customHeight="1">
      <c r="A106" s="7" t="s">
        <v>771</v>
      </c>
      <c r="B106" s="45" t="s">
        <v>772</v>
      </c>
      <c r="C106" s="7" t="s">
        <v>773</v>
      </c>
      <c r="D106" s="7" t="s">
        <v>774</v>
      </c>
      <c r="E106" s="7" t="s">
        <v>775</v>
      </c>
      <c r="F106" s="7" t="s">
        <v>776</v>
      </c>
      <c r="G106" s="7"/>
      <c r="H106" s="46" t="s">
        <v>249</v>
      </c>
      <c r="I106" s="7" t="s">
        <v>160</v>
      </c>
      <c r="J106" s="7" t="s">
        <v>148</v>
      </c>
      <c r="K106" s="7"/>
      <c r="L106" s="7"/>
      <c r="M106" s="7"/>
    </row>
    <row r="107" ht="15.75" customHeight="1">
      <c r="A107" s="7" t="s">
        <v>777</v>
      </c>
      <c r="B107" s="45" t="s">
        <v>778</v>
      </c>
      <c r="C107" s="7" t="s">
        <v>773</v>
      </c>
      <c r="D107" s="7" t="s">
        <v>779</v>
      </c>
      <c r="E107" s="7" t="s">
        <v>775</v>
      </c>
      <c r="F107" s="7" t="s">
        <v>776</v>
      </c>
      <c r="G107" s="7"/>
      <c r="H107" s="46" t="s">
        <v>249</v>
      </c>
      <c r="I107" s="7" t="s">
        <v>160</v>
      </c>
      <c r="J107" s="7" t="s">
        <v>148</v>
      </c>
      <c r="K107" s="7"/>
      <c r="L107" s="7"/>
      <c r="M107" s="7"/>
    </row>
    <row r="108" ht="15.75" customHeight="1">
      <c r="A108" s="7" t="s">
        <v>780</v>
      </c>
      <c r="B108" s="45" t="s">
        <v>781</v>
      </c>
      <c r="C108" s="7" t="s">
        <v>773</v>
      </c>
      <c r="D108" s="7" t="s">
        <v>782</v>
      </c>
      <c r="E108" s="7" t="s">
        <v>775</v>
      </c>
      <c r="F108" s="7" t="s">
        <v>776</v>
      </c>
      <c r="G108" s="7"/>
      <c r="H108" s="46" t="s">
        <v>249</v>
      </c>
      <c r="I108" s="7" t="s">
        <v>160</v>
      </c>
      <c r="J108" s="7" t="s">
        <v>148</v>
      </c>
      <c r="K108" s="7"/>
      <c r="L108" s="7"/>
      <c r="M108" s="7"/>
    </row>
    <row r="109" ht="15.75" customHeight="1">
      <c r="A109" s="7" t="s">
        <v>783</v>
      </c>
      <c r="B109" s="45" t="s">
        <v>784</v>
      </c>
      <c r="C109" s="7" t="s">
        <v>773</v>
      </c>
      <c r="D109" s="7" t="s">
        <v>785</v>
      </c>
      <c r="E109" s="7" t="s">
        <v>775</v>
      </c>
      <c r="F109" s="7" t="s">
        <v>776</v>
      </c>
      <c r="G109" s="7"/>
      <c r="H109" s="46" t="s">
        <v>249</v>
      </c>
      <c r="I109" s="7" t="s">
        <v>160</v>
      </c>
      <c r="J109" s="7" t="s">
        <v>148</v>
      </c>
      <c r="K109" s="7"/>
      <c r="L109" s="7"/>
      <c r="M109" s="7"/>
    </row>
    <row r="110" ht="15.75" customHeight="1">
      <c r="A110" s="7" t="s">
        <v>786</v>
      </c>
      <c r="B110" s="45" t="s">
        <v>787</v>
      </c>
      <c r="C110" s="7" t="s">
        <v>773</v>
      </c>
      <c r="D110" s="7" t="s">
        <v>788</v>
      </c>
      <c r="E110" s="7" t="s">
        <v>775</v>
      </c>
      <c r="F110" s="7" t="s">
        <v>776</v>
      </c>
      <c r="G110" s="7"/>
      <c r="H110" s="46" t="s">
        <v>249</v>
      </c>
      <c r="I110" s="7" t="s">
        <v>160</v>
      </c>
      <c r="J110" s="7" t="s">
        <v>148</v>
      </c>
      <c r="K110" s="7"/>
      <c r="L110" s="7"/>
      <c r="M110" s="7"/>
    </row>
    <row r="111" ht="15.75" customHeight="1">
      <c r="A111" s="7" t="s">
        <v>789</v>
      </c>
      <c r="B111" s="45" t="s">
        <v>790</v>
      </c>
      <c r="C111" s="7" t="s">
        <v>791</v>
      </c>
      <c r="D111" s="7" t="s">
        <v>792</v>
      </c>
      <c r="E111" s="7" t="s">
        <v>793</v>
      </c>
      <c r="F111" s="7" t="s">
        <v>794</v>
      </c>
      <c r="G111" s="7"/>
      <c r="H111" s="46" t="s">
        <v>249</v>
      </c>
      <c r="I111" s="7" t="s">
        <v>160</v>
      </c>
      <c r="J111" s="7" t="s">
        <v>148</v>
      </c>
      <c r="K111" s="7"/>
      <c r="L111" s="7"/>
      <c r="M111" s="7"/>
    </row>
    <row r="112" ht="15.75" customHeight="1">
      <c r="A112" s="7" t="s">
        <v>795</v>
      </c>
      <c r="B112" s="45" t="s">
        <v>796</v>
      </c>
      <c r="C112" s="7" t="s">
        <v>797</v>
      </c>
      <c r="D112" s="7" t="s">
        <v>798</v>
      </c>
      <c r="E112" s="7" t="s">
        <v>799</v>
      </c>
      <c r="F112" s="7" t="s">
        <v>800</v>
      </c>
      <c r="G112" s="7"/>
      <c r="H112" s="46" t="s">
        <v>249</v>
      </c>
      <c r="I112" s="7" t="s">
        <v>160</v>
      </c>
      <c r="J112" s="7" t="s">
        <v>148</v>
      </c>
      <c r="K112" s="7"/>
      <c r="L112" s="7"/>
      <c r="M112" s="7"/>
    </row>
    <row r="113" ht="15.75" customHeight="1">
      <c r="A113" s="7" t="s">
        <v>801</v>
      </c>
      <c r="B113" s="45" t="s">
        <v>802</v>
      </c>
      <c r="C113" s="7" t="s">
        <v>803</v>
      </c>
      <c r="D113" s="7" t="s">
        <v>804</v>
      </c>
      <c r="E113" s="7" t="s">
        <v>805</v>
      </c>
      <c r="F113" s="7" t="s">
        <v>806</v>
      </c>
      <c r="G113" s="7"/>
      <c r="H113" s="46" t="s">
        <v>249</v>
      </c>
      <c r="I113" s="7" t="s">
        <v>160</v>
      </c>
      <c r="J113" s="7" t="s">
        <v>148</v>
      </c>
      <c r="K113" s="7"/>
      <c r="L113" s="7"/>
      <c r="M113" s="7"/>
    </row>
    <row r="114" ht="15.75" customHeight="1">
      <c r="A114" s="7" t="s">
        <v>807</v>
      </c>
      <c r="B114" s="45" t="s">
        <v>808</v>
      </c>
      <c r="C114" s="7" t="s">
        <v>809</v>
      </c>
      <c r="D114" s="7" t="s">
        <v>810</v>
      </c>
      <c r="E114" s="7" t="s">
        <v>811</v>
      </c>
      <c r="F114" s="7" t="s">
        <v>812</v>
      </c>
      <c r="G114" s="7"/>
      <c r="H114" s="46" t="s">
        <v>249</v>
      </c>
      <c r="I114" s="7" t="s">
        <v>160</v>
      </c>
      <c r="J114" s="7" t="s">
        <v>148</v>
      </c>
      <c r="K114" s="7"/>
      <c r="L114" s="7"/>
      <c r="M114" s="7"/>
    </row>
    <row r="115" ht="15.75" customHeight="1">
      <c r="A115" s="7" t="s">
        <v>813</v>
      </c>
      <c r="B115" s="45" t="s">
        <v>814</v>
      </c>
      <c r="C115" s="7" t="s">
        <v>815</v>
      </c>
      <c r="D115" s="7" t="s">
        <v>816</v>
      </c>
      <c r="E115" s="7" t="s">
        <v>811</v>
      </c>
      <c r="F115" s="7" t="s">
        <v>817</v>
      </c>
      <c r="G115" s="7"/>
      <c r="H115" s="46" t="s">
        <v>249</v>
      </c>
      <c r="I115" s="7" t="s">
        <v>160</v>
      </c>
      <c r="J115" s="7" t="s">
        <v>148</v>
      </c>
      <c r="K115" s="7"/>
      <c r="L115" s="7"/>
      <c r="M115" s="7"/>
    </row>
    <row r="116" ht="15.75" customHeight="1">
      <c r="A116" s="7" t="s">
        <v>818</v>
      </c>
      <c r="B116" s="45" t="s">
        <v>819</v>
      </c>
      <c r="C116" s="7" t="s">
        <v>820</v>
      </c>
      <c r="D116" s="7" t="s">
        <v>821</v>
      </c>
      <c r="E116" s="7" t="s">
        <v>822</v>
      </c>
      <c r="F116" s="7" t="s">
        <v>823</v>
      </c>
      <c r="G116" s="7"/>
      <c r="H116" s="46" t="s">
        <v>249</v>
      </c>
      <c r="I116" s="7" t="s">
        <v>160</v>
      </c>
      <c r="J116" s="7" t="s">
        <v>148</v>
      </c>
      <c r="K116" s="7"/>
      <c r="L116" s="7"/>
      <c r="M116" s="7"/>
    </row>
    <row r="117" ht="15.75" customHeight="1">
      <c r="A117" s="7" t="s">
        <v>824</v>
      </c>
      <c r="B117" s="45" t="s">
        <v>825</v>
      </c>
      <c r="C117" s="7" t="s">
        <v>826</v>
      </c>
      <c r="D117" s="7" t="s">
        <v>827</v>
      </c>
      <c r="E117" s="7" t="s">
        <v>828</v>
      </c>
      <c r="F117" s="7" t="s">
        <v>823</v>
      </c>
      <c r="G117" s="7" t="s">
        <v>829</v>
      </c>
      <c r="H117" s="46" t="s">
        <v>249</v>
      </c>
      <c r="I117" s="7" t="s">
        <v>160</v>
      </c>
      <c r="J117" s="7" t="s">
        <v>148</v>
      </c>
      <c r="K117" s="7"/>
      <c r="L117" s="7"/>
      <c r="M117" s="7"/>
    </row>
    <row r="118" ht="15.75" customHeight="1">
      <c r="A118" s="7" t="s">
        <v>830</v>
      </c>
      <c r="B118" s="45" t="s">
        <v>831</v>
      </c>
      <c r="C118" s="7" t="s">
        <v>832</v>
      </c>
      <c r="D118" s="7" t="s">
        <v>833</v>
      </c>
      <c r="E118" s="7" t="s">
        <v>834</v>
      </c>
      <c r="F118" s="7" t="s">
        <v>835</v>
      </c>
      <c r="G118" s="7"/>
      <c r="H118" s="46" t="s">
        <v>249</v>
      </c>
      <c r="I118" s="7" t="s">
        <v>160</v>
      </c>
      <c r="J118" s="7" t="s">
        <v>148</v>
      </c>
      <c r="K118" s="7"/>
      <c r="L118" s="7"/>
      <c r="M118" s="7"/>
    </row>
    <row r="119" ht="15.75" customHeight="1">
      <c r="A119" s="7" t="s">
        <v>836</v>
      </c>
      <c r="B119" s="45" t="s">
        <v>837</v>
      </c>
      <c r="C119" s="7" t="s">
        <v>838</v>
      </c>
      <c r="D119" s="7" t="s">
        <v>839</v>
      </c>
      <c r="E119" s="7" t="s">
        <v>840</v>
      </c>
      <c r="F119" s="7" t="s">
        <v>841</v>
      </c>
      <c r="G119" s="7"/>
      <c r="H119" s="46" t="s">
        <v>249</v>
      </c>
      <c r="I119" s="7" t="s">
        <v>160</v>
      </c>
      <c r="J119" s="7" t="s">
        <v>148</v>
      </c>
      <c r="K119" s="7"/>
      <c r="L119" s="7"/>
      <c r="M119" s="7"/>
    </row>
    <row r="120" ht="15.75" customHeight="1">
      <c r="A120" s="7" t="s">
        <v>842</v>
      </c>
      <c r="B120" s="45" t="s">
        <v>843</v>
      </c>
      <c r="C120" s="7" t="s">
        <v>844</v>
      </c>
      <c r="D120" s="7" t="s">
        <v>845</v>
      </c>
      <c r="E120" s="7" t="s">
        <v>846</v>
      </c>
      <c r="F120" s="7" t="s">
        <v>847</v>
      </c>
      <c r="G120" s="7"/>
      <c r="H120" s="46" t="s">
        <v>249</v>
      </c>
      <c r="I120" s="7" t="s">
        <v>160</v>
      </c>
      <c r="J120" s="7" t="s">
        <v>148</v>
      </c>
      <c r="K120" s="7"/>
      <c r="L120" s="7"/>
      <c r="M120" s="7"/>
    </row>
    <row r="121" ht="15.75" customHeight="1">
      <c r="A121" s="7" t="s">
        <v>848</v>
      </c>
      <c r="B121" s="45" t="s">
        <v>849</v>
      </c>
      <c r="C121" s="7" t="s">
        <v>850</v>
      </c>
      <c r="D121" s="7" t="s">
        <v>851</v>
      </c>
      <c r="E121" s="7" t="s">
        <v>852</v>
      </c>
      <c r="F121" s="7" t="s">
        <v>853</v>
      </c>
      <c r="G121" s="7" t="s">
        <v>854</v>
      </c>
      <c r="H121" s="46" t="s">
        <v>249</v>
      </c>
      <c r="I121" s="7" t="s">
        <v>160</v>
      </c>
      <c r="J121" s="7" t="s">
        <v>148</v>
      </c>
      <c r="K121" s="7"/>
      <c r="L121" s="7"/>
      <c r="M121" s="7"/>
    </row>
    <row r="122" ht="15.75" customHeight="1">
      <c r="A122" s="7" t="s">
        <v>855</v>
      </c>
      <c r="B122" s="45" t="s">
        <v>856</v>
      </c>
      <c r="C122" s="7" t="s">
        <v>857</v>
      </c>
      <c r="D122" s="7" t="s">
        <v>858</v>
      </c>
      <c r="E122" s="7" t="s">
        <v>859</v>
      </c>
      <c r="F122" s="7" t="s">
        <v>860</v>
      </c>
      <c r="G122" s="7"/>
      <c r="H122" s="46" t="s">
        <v>249</v>
      </c>
      <c r="I122" s="7" t="s">
        <v>160</v>
      </c>
      <c r="J122" s="7" t="s">
        <v>148</v>
      </c>
      <c r="K122" s="7"/>
      <c r="L122" s="7"/>
      <c r="M122" s="7"/>
    </row>
    <row r="123" ht="15.75" customHeight="1">
      <c r="A123" s="7" t="s">
        <v>861</v>
      </c>
      <c r="B123" s="45" t="s">
        <v>862</v>
      </c>
      <c r="C123" s="7" t="s">
        <v>863</v>
      </c>
      <c r="D123" s="7" t="s">
        <v>864</v>
      </c>
      <c r="E123" s="7" t="s">
        <v>865</v>
      </c>
      <c r="F123" s="7" t="s">
        <v>866</v>
      </c>
      <c r="G123" s="7"/>
      <c r="H123" s="46" t="s">
        <v>249</v>
      </c>
      <c r="I123" s="7" t="s">
        <v>160</v>
      </c>
      <c r="J123" s="7" t="s">
        <v>148</v>
      </c>
      <c r="K123" s="7"/>
      <c r="L123" s="7"/>
      <c r="M123" s="7"/>
    </row>
    <row r="124" ht="15.75" customHeight="1">
      <c r="A124" s="7" t="s">
        <v>867</v>
      </c>
      <c r="B124" s="45" t="s">
        <v>868</v>
      </c>
      <c r="C124" s="7" t="s">
        <v>869</v>
      </c>
      <c r="D124" s="7" t="s">
        <v>870</v>
      </c>
      <c r="E124" s="7" t="s">
        <v>871</v>
      </c>
      <c r="F124" s="7" t="s">
        <v>872</v>
      </c>
      <c r="G124" s="7"/>
      <c r="H124" s="46" t="s">
        <v>249</v>
      </c>
      <c r="I124" s="7" t="s">
        <v>160</v>
      </c>
      <c r="J124" s="7" t="s">
        <v>148</v>
      </c>
      <c r="K124" s="7"/>
      <c r="L124" s="7"/>
      <c r="M124" s="7"/>
    </row>
    <row r="125" ht="15.75" customHeight="1">
      <c r="A125" s="7" t="s">
        <v>873</v>
      </c>
      <c r="B125" s="45" t="s">
        <v>874</v>
      </c>
      <c r="C125" s="7" t="s">
        <v>875</v>
      </c>
      <c r="D125" s="7" t="s">
        <v>876</v>
      </c>
      <c r="E125" s="7" t="s">
        <v>877</v>
      </c>
      <c r="F125" s="7" t="s">
        <v>878</v>
      </c>
      <c r="G125" s="7" t="s">
        <v>879</v>
      </c>
      <c r="H125" s="46" t="s">
        <v>249</v>
      </c>
      <c r="I125" s="7" t="s">
        <v>160</v>
      </c>
      <c r="J125" s="7" t="s">
        <v>148</v>
      </c>
      <c r="K125" s="7"/>
      <c r="L125" s="7"/>
      <c r="M125" s="7"/>
    </row>
    <row r="126" ht="15.75" customHeight="1">
      <c r="A126" s="7" t="s">
        <v>880</v>
      </c>
      <c r="B126" s="45" t="s">
        <v>881</v>
      </c>
      <c r="C126" s="7" t="s">
        <v>882</v>
      </c>
      <c r="D126" s="7" t="s">
        <v>883</v>
      </c>
      <c r="E126" s="7" t="s">
        <v>884</v>
      </c>
      <c r="F126" s="7" t="s">
        <v>885</v>
      </c>
      <c r="G126" s="7"/>
      <c r="H126" s="46" t="s">
        <v>249</v>
      </c>
      <c r="I126" s="7" t="s">
        <v>160</v>
      </c>
      <c r="J126" s="7" t="s">
        <v>148</v>
      </c>
      <c r="K126" s="7"/>
      <c r="L126" s="7"/>
      <c r="M126" s="7"/>
    </row>
    <row r="127" ht="15.75" customHeight="1">
      <c r="A127" s="7" t="s">
        <v>886</v>
      </c>
      <c r="B127" s="45" t="s">
        <v>887</v>
      </c>
      <c r="C127" s="7" t="s">
        <v>888</v>
      </c>
      <c r="D127" s="7" t="s">
        <v>279</v>
      </c>
      <c r="E127" s="7" t="s">
        <v>280</v>
      </c>
      <c r="F127" s="7" t="s">
        <v>281</v>
      </c>
      <c r="G127" s="7"/>
      <c r="H127" s="46" t="s">
        <v>249</v>
      </c>
      <c r="I127" s="7" t="s">
        <v>160</v>
      </c>
      <c r="J127" s="7" t="s">
        <v>148</v>
      </c>
      <c r="K127" s="7"/>
      <c r="L127" s="7"/>
      <c r="M127" s="7"/>
    </row>
    <row r="128" ht="15.75" customHeight="1">
      <c r="A128" s="7" t="s">
        <v>889</v>
      </c>
      <c r="B128" s="45" t="s">
        <v>890</v>
      </c>
      <c r="C128" s="7" t="s">
        <v>891</v>
      </c>
      <c r="D128" s="7" t="s">
        <v>892</v>
      </c>
      <c r="E128" s="7" t="s">
        <v>893</v>
      </c>
      <c r="F128" s="7" t="s">
        <v>894</v>
      </c>
      <c r="G128" s="7" t="s">
        <v>895</v>
      </c>
      <c r="H128" s="46" t="s">
        <v>249</v>
      </c>
      <c r="I128" s="7" t="s">
        <v>160</v>
      </c>
      <c r="J128" s="7" t="s">
        <v>148</v>
      </c>
      <c r="K128" s="7"/>
      <c r="L128" s="7"/>
      <c r="M128" s="7"/>
    </row>
    <row r="129" ht="15.75" customHeight="1">
      <c r="A129" s="7" t="s">
        <v>896</v>
      </c>
      <c r="B129" s="45" t="s">
        <v>897</v>
      </c>
      <c r="C129" s="7" t="s">
        <v>898</v>
      </c>
      <c r="D129" s="7" t="s">
        <v>899</v>
      </c>
      <c r="E129" s="7"/>
      <c r="F129" s="7" t="s">
        <v>894</v>
      </c>
      <c r="G129" s="7"/>
      <c r="H129" s="46" t="s">
        <v>249</v>
      </c>
      <c r="I129" s="7" t="s">
        <v>160</v>
      </c>
      <c r="J129" s="7" t="s">
        <v>148</v>
      </c>
      <c r="K129" s="7"/>
      <c r="L129" s="7"/>
      <c r="M129" s="7"/>
    </row>
    <row r="130" ht="15.75" customHeight="1">
      <c r="A130" s="7" t="s">
        <v>900</v>
      </c>
      <c r="B130" s="45" t="s">
        <v>901</v>
      </c>
      <c r="C130" s="7" t="s">
        <v>902</v>
      </c>
      <c r="D130" s="7" t="s">
        <v>903</v>
      </c>
      <c r="E130" s="7" t="s">
        <v>904</v>
      </c>
      <c r="F130" s="7" t="s">
        <v>905</v>
      </c>
      <c r="G130" s="7"/>
      <c r="H130" s="46" t="s">
        <v>249</v>
      </c>
      <c r="I130" s="7" t="s">
        <v>160</v>
      </c>
      <c r="J130" s="7" t="s">
        <v>148</v>
      </c>
      <c r="K130" s="7"/>
      <c r="L130" s="7"/>
      <c r="M130" s="7"/>
    </row>
    <row r="131" ht="15.75" customHeight="1">
      <c r="A131" s="7" t="s">
        <v>906</v>
      </c>
      <c r="B131" s="45" t="s">
        <v>907</v>
      </c>
      <c r="C131" s="7" t="s">
        <v>908</v>
      </c>
      <c r="D131" s="7" t="s">
        <v>909</v>
      </c>
      <c r="E131" s="7" t="s">
        <v>910</v>
      </c>
      <c r="F131" s="7" t="s">
        <v>911</v>
      </c>
      <c r="G131" s="7"/>
      <c r="H131" s="46" t="s">
        <v>249</v>
      </c>
      <c r="I131" s="7" t="s">
        <v>160</v>
      </c>
      <c r="J131" s="7" t="s">
        <v>148</v>
      </c>
      <c r="K131" s="7"/>
      <c r="L131" s="7"/>
      <c r="M131" s="7"/>
    </row>
    <row r="132" ht="15.75" customHeight="1">
      <c r="A132" s="7" t="s">
        <v>912</v>
      </c>
      <c r="B132" s="45" t="s">
        <v>913</v>
      </c>
      <c r="C132" s="7" t="s">
        <v>914</v>
      </c>
      <c r="D132" s="7" t="s">
        <v>915</v>
      </c>
      <c r="E132" s="7" t="s">
        <v>916</v>
      </c>
      <c r="F132" s="7" t="s">
        <v>917</v>
      </c>
      <c r="G132" s="7"/>
      <c r="H132" s="46" t="s">
        <v>249</v>
      </c>
      <c r="I132" s="7" t="s">
        <v>160</v>
      </c>
      <c r="J132" s="7" t="s">
        <v>148</v>
      </c>
      <c r="K132" s="7"/>
      <c r="L132" s="7"/>
      <c r="M132" s="7"/>
    </row>
    <row r="133" ht="15.75" customHeight="1">
      <c r="A133" s="7" t="s">
        <v>918</v>
      </c>
      <c r="B133" s="45" t="s">
        <v>919</v>
      </c>
      <c r="C133" s="7" t="s">
        <v>920</v>
      </c>
      <c r="D133" s="7" t="s">
        <v>921</v>
      </c>
      <c r="E133" s="7" t="s">
        <v>922</v>
      </c>
      <c r="F133" s="7" t="s">
        <v>923</v>
      </c>
      <c r="G133" s="7"/>
      <c r="H133" s="46" t="s">
        <v>249</v>
      </c>
      <c r="I133" s="7" t="s">
        <v>160</v>
      </c>
      <c r="J133" s="7" t="s">
        <v>148</v>
      </c>
      <c r="K133" s="7"/>
      <c r="L133" s="7"/>
      <c r="M133" s="7"/>
    </row>
    <row r="134" ht="15.75" customHeight="1">
      <c r="A134" s="7" t="s">
        <v>924</v>
      </c>
      <c r="B134" s="45" t="s">
        <v>925</v>
      </c>
      <c r="C134" s="7" t="s">
        <v>926</v>
      </c>
      <c r="D134" s="7" t="s">
        <v>927</v>
      </c>
      <c r="E134" s="7" t="s">
        <v>928</v>
      </c>
      <c r="F134" s="7" t="s">
        <v>929</v>
      </c>
      <c r="G134" s="7" t="s">
        <v>930</v>
      </c>
      <c r="H134" s="46" t="s">
        <v>249</v>
      </c>
      <c r="I134" s="7" t="s">
        <v>160</v>
      </c>
      <c r="J134" s="7" t="s">
        <v>148</v>
      </c>
      <c r="K134" s="7"/>
      <c r="L134" s="7"/>
      <c r="M134" s="7"/>
    </row>
    <row r="135" ht="15.75" customHeight="1">
      <c r="A135" s="7" t="s">
        <v>931</v>
      </c>
      <c r="B135" s="45" t="s">
        <v>932</v>
      </c>
      <c r="C135" s="7" t="s">
        <v>933</v>
      </c>
      <c r="D135" s="7" t="s">
        <v>934</v>
      </c>
      <c r="E135" s="7" t="s">
        <v>935</v>
      </c>
      <c r="F135" s="7" t="s">
        <v>929</v>
      </c>
      <c r="G135" s="7"/>
      <c r="H135" s="46" t="s">
        <v>249</v>
      </c>
      <c r="I135" s="7" t="s">
        <v>160</v>
      </c>
      <c r="J135" s="7" t="s">
        <v>148</v>
      </c>
      <c r="K135" s="7"/>
      <c r="L135" s="7"/>
      <c r="M135" s="7"/>
    </row>
    <row r="136" ht="15.75" customHeight="1">
      <c r="A136" s="7" t="s">
        <v>936</v>
      </c>
      <c r="B136" s="45" t="s">
        <v>937</v>
      </c>
      <c r="C136" s="7" t="s">
        <v>938</v>
      </c>
      <c r="D136" s="7" t="s">
        <v>939</v>
      </c>
      <c r="E136" s="7" t="s">
        <v>940</v>
      </c>
      <c r="F136" s="7" t="s">
        <v>941</v>
      </c>
      <c r="G136" s="7"/>
      <c r="H136" s="46" t="s">
        <v>249</v>
      </c>
      <c r="I136" s="7" t="s">
        <v>160</v>
      </c>
      <c r="J136" s="7" t="s">
        <v>148</v>
      </c>
      <c r="K136" s="7"/>
      <c r="L136" s="7"/>
      <c r="M136" s="7"/>
    </row>
    <row r="137" ht="15.75" customHeight="1">
      <c r="A137" s="7" t="s">
        <v>942</v>
      </c>
      <c r="B137" s="45" t="s">
        <v>943</v>
      </c>
      <c r="C137" s="7" t="s">
        <v>944</v>
      </c>
      <c r="D137" s="7" t="s">
        <v>945</v>
      </c>
      <c r="E137" s="7" t="s">
        <v>946</v>
      </c>
      <c r="F137" s="7" t="s">
        <v>947</v>
      </c>
      <c r="G137" s="7"/>
      <c r="H137" s="46" t="s">
        <v>249</v>
      </c>
      <c r="I137" s="7" t="s">
        <v>160</v>
      </c>
      <c r="J137" s="7" t="s">
        <v>148</v>
      </c>
      <c r="K137" s="7"/>
      <c r="L137" s="7"/>
      <c r="M137" s="7"/>
    </row>
    <row r="138" ht="15.75" customHeight="1">
      <c r="A138" s="7" t="s">
        <v>948</v>
      </c>
      <c r="B138" s="45" t="s">
        <v>949</v>
      </c>
      <c r="C138" s="7" t="s">
        <v>950</v>
      </c>
      <c r="D138" s="7" t="s">
        <v>951</v>
      </c>
      <c r="E138" s="7" t="s">
        <v>952</v>
      </c>
      <c r="F138" s="7" t="s">
        <v>953</v>
      </c>
      <c r="G138" s="7"/>
      <c r="H138" s="46" t="s">
        <v>249</v>
      </c>
      <c r="I138" s="7" t="s">
        <v>160</v>
      </c>
      <c r="J138" s="7" t="s">
        <v>148</v>
      </c>
      <c r="K138" s="7"/>
      <c r="L138" s="7"/>
      <c r="M138" s="7"/>
    </row>
    <row r="139" ht="15.75" customHeight="1">
      <c r="A139" s="7" t="s">
        <v>954</v>
      </c>
      <c r="B139" s="45" t="s">
        <v>955</v>
      </c>
      <c r="C139" s="7" t="s">
        <v>956</v>
      </c>
      <c r="D139" s="7" t="s">
        <v>951</v>
      </c>
      <c r="E139" s="7" t="s">
        <v>952</v>
      </c>
      <c r="F139" s="7" t="s">
        <v>953</v>
      </c>
      <c r="G139" s="7" t="s">
        <v>957</v>
      </c>
      <c r="H139" s="46" t="s">
        <v>249</v>
      </c>
      <c r="I139" s="7" t="s">
        <v>160</v>
      </c>
      <c r="J139" s="7" t="s">
        <v>148</v>
      </c>
      <c r="K139" s="7"/>
      <c r="L139" s="7"/>
      <c r="M139" s="7"/>
    </row>
    <row r="140" ht="15.75" customHeight="1">
      <c r="A140" s="7" t="s">
        <v>958</v>
      </c>
      <c r="B140" s="45" t="s">
        <v>959</v>
      </c>
      <c r="C140" s="7" t="s">
        <v>960</v>
      </c>
      <c r="D140" s="7" t="s">
        <v>961</v>
      </c>
      <c r="E140" s="7" t="s">
        <v>962</v>
      </c>
      <c r="F140" s="7" t="s">
        <v>963</v>
      </c>
      <c r="G140" s="7" t="s">
        <v>964</v>
      </c>
      <c r="H140" s="46" t="s">
        <v>249</v>
      </c>
      <c r="I140" s="7" t="s">
        <v>160</v>
      </c>
      <c r="J140" s="7" t="s">
        <v>148</v>
      </c>
      <c r="K140" s="7"/>
      <c r="L140" s="7"/>
      <c r="M140" s="7"/>
    </row>
    <row r="141" ht="15.75" customHeight="1">
      <c r="A141" s="7" t="s">
        <v>965</v>
      </c>
      <c r="B141" s="45" t="s">
        <v>966</v>
      </c>
      <c r="C141" s="7" t="s">
        <v>967</v>
      </c>
      <c r="D141" s="7" t="s">
        <v>968</v>
      </c>
      <c r="E141" s="7" t="s">
        <v>969</v>
      </c>
      <c r="F141" s="7" t="s">
        <v>970</v>
      </c>
      <c r="G141" s="7"/>
      <c r="H141" s="46" t="s">
        <v>249</v>
      </c>
      <c r="I141" s="7" t="s">
        <v>160</v>
      </c>
      <c r="J141" s="7" t="s">
        <v>148</v>
      </c>
      <c r="K141" s="7"/>
      <c r="L141" s="7"/>
      <c r="M141" s="7"/>
    </row>
    <row r="142" ht="15.75" customHeight="1">
      <c r="A142" s="7" t="s">
        <v>971</v>
      </c>
      <c r="B142" s="45" t="s">
        <v>972</v>
      </c>
      <c r="C142" s="7" t="s">
        <v>973</v>
      </c>
      <c r="D142" s="7" t="s">
        <v>974</v>
      </c>
      <c r="E142" s="7" t="s">
        <v>975</v>
      </c>
      <c r="F142" s="7" t="s">
        <v>973</v>
      </c>
      <c r="G142" s="7"/>
      <c r="H142" s="46" t="s">
        <v>249</v>
      </c>
      <c r="I142" s="7" t="s">
        <v>160</v>
      </c>
      <c r="J142" s="7" t="s">
        <v>148</v>
      </c>
      <c r="K142" s="7"/>
      <c r="L142" s="7"/>
      <c r="M142" s="7"/>
    </row>
    <row r="143" ht="15.75" customHeight="1">
      <c r="A143" s="7" t="s">
        <v>976</v>
      </c>
      <c r="B143" s="45" t="s">
        <v>977</v>
      </c>
      <c r="C143" s="7" t="s">
        <v>978</v>
      </c>
      <c r="D143" s="7" t="s">
        <v>979</v>
      </c>
      <c r="E143" s="7" t="s">
        <v>980</v>
      </c>
      <c r="F143" s="7" t="s">
        <v>973</v>
      </c>
      <c r="G143" s="7"/>
      <c r="H143" s="46" t="s">
        <v>249</v>
      </c>
      <c r="I143" s="7" t="s">
        <v>160</v>
      </c>
      <c r="J143" s="7" t="s">
        <v>148</v>
      </c>
      <c r="K143" s="7"/>
      <c r="L143" s="7"/>
      <c r="M143" s="7"/>
    </row>
    <row r="144" ht="15.75" customHeight="1">
      <c r="A144" s="7" t="s">
        <v>981</v>
      </c>
      <c r="B144" s="45" t="s">
        <v>982</v>
      </c>
      <c r="C144" s="7" t="s">
        <v>983</v>
      </c>
      <c r="D144" s="7" t="s">
        <v>984</v>
      </c>
      <c r="E144" s="7" t="s">
        <v>975</v>
      </c>
      <c r="F144" s="7" t="s">
        <v>973</v>
      </c>
      <c r="G144" s="7"/>
      <c r="H144" s="46" t="s">
        <v>249</v>
      </c>
      <c r="I144" s="7" t="s">
        <v>160</v>
      </c>
      <c r="J144" s="7" t="s">
        <v>148</v>
      </c>
      <c r="K144" s="7"/>
      <c r="L144" s="7"/>
      <c r="M144" s="7"/>
    </row>
    <row r="145" ht="15.75" customHeight="1">
      <c r="A145" s="7" t="s">
        <v>985</v>
      </c>
      <c r="B145" s="45" t="s">
        <v>986</v>
      </c>
      <c r="C145" s="7" t="s">
        <v>987</v>
      </c>
      <c r="D145" s="7" t="s">
        <v>974</v>
      </c>
      <c r="E145" s="7" t="s">
        <v>975</v>
      </c>
      <c r="F145" s="7" t="s">
        <v>973</v>
      </c>
      <c r="G145" s="7"/>
      <c r="H145" s="46" t="s">
        <v>249</v>
      </c>
      <c r="I145" s="7" t="s">
        <v>160</v>
      </c>
      <c r="J145" s="7" t="s">
        <v>148</v>
      </c>
      <c r="K145" s="7"/>
      <c r="L145" s="7"/>
      <c r="M145" s="7"/>
    </row>
    <row r="146" ht="15.75" customHeight="1">
      <c r="A146" s="7" t="s">
        <v>988</v>
      </c>
      <c r="B146" s="45" t="s">
        <v>989</v>
      </c>
      <c r="C146" s="7" t="s">
        <v>990</v>
      </c>
      <c r="D146" s="7" t="s">
        <v>991</v>
      </c>
      <c r="E146" s="7" t="s">
        <v>992</v>
      </c>
      <c r="F146" s="7" t="s">
        <v>993</v>
      </c>
      <c r="G146" s="7"/>
      <c r="H146" s="46" t="s">
        <v>249</v>
      </c>
      <c r="I146" s="7" t="s">
        <v>160</v>
      </c>
      <c r="J146" s="7" t="s">
        <v>148</v>
      </c>
      <c r="K146" s="7"/>
      <c r="L146" s="7"/>
      <c r="M146" s="7"/>
    </row>
    <row r="147" ht="15.75" customHeight="1">
      <c r="A147" s="7" t="s">
        <v>994</v>
      </c>
      <c r="B147" s="45" t="s">
        <v>995</v>
      </c>
      <c r="C147" s="7" t="s">
        <v>996</v>
      </c>
      <c r="D147" s="7" t="s">
        <v>997</v>
      </c>
      <c r="E147" s="7" t="s">
        <v>998</v>
      </c>
      <c r="F147" s="7" t="s">
        <v>999</v>
      </c>
      <c r="G147" s="7"/>
      <c r="H147" s="46" t="s">
        <v>249</v>
      </c>
      <c r="I147" s="7" t="s">
        <v>160</v>
      </c>
      <c r="J147" s="7" t="s">
        <v>148</v>
      </c>
      <c r="K147" s="7"/>
      <c r="L147" s="7"/>
      <c r="M147" s="7"/>
    </row>
    <row r="148" ht="15.75" customHeight="1">
      <c r="A148" s="7" t="s">
        <v>1000</v>
      </c>
      <c r="B148" s="45" t="s">
        <v>1001</v>
      </c>
      <c r="C148" s="7" t="s">
        <v>1002</v>
      </c>
      <c r="D148" s="7" t="s">
        <v>1003</v>
      </c>
      <c r="E148" s="7" t="s">
        <v>1004</v>
      </c>
      <c r="F148" s="7" t="s">
        <v>1005</v>
      </c>
      <c r="G148" s="7"/>
      <c r="H148" s="46" t="s">
        <v>249</v>
      </c>
      <c r="I148" s="7" t="s">
        <v>160</v>
      </c>
      <c r="J148" s="7" t="s">
        <v>148</v>
      </c>
      <c r="K148" s="7"/>
      <c r="L148" s="7"/>
      <c r="M148" s="7"/>
    </row>
    <row r="149" ht="15.75" customHeight="1">
      <c r="A149" s="7" t="s">
        <v>1006</v>
      </c>
      <c r="B149" s="45" t="s">
        <v>1007</v>
      </c>
      <c r="C149" s="7" t="s">
        <v>1008</v>
      </c>
      <c r="D149" s="7" t="s">
        <v>1009</v>
      </c>
      <c r="E149" s="7" t="s">
        <v>1010</v>
      </c>
      <c r="F149" s="7" t="s">
        <v>1011</v>
      </c>
      <c r="G149" s="7"/>
      <c r="H149" s="46" t="s">
        <v>249</v>
      </c>
      <c r="I149" s="7" t="s">
        <v>160</v>
      </c>
      <c r="J149" s="7" t="s">
        <v>148</v>
      </c>
      <c r="K149" s="7"/>
      <c r="L149" s="7"/>
      <c r="M149" s="7"/>
    </row>
    <row r="150" ht="15.75" customHeight="1">
      <c r="A150" s="7" t="s">
        <v>1012</v>
      </c>
      <c r="B150" s="45" t="s">
        <v>1013</v>
      </c>
      <c r="C150" s="7" t="s">
        <v>1014</v>
      </c>
      <c r="D150" s="7" t="s">
        <v>1015</v>
      </c>
      <c r="E150" s="7" t="s">
        <v>1016</v>
      </c>
      <c r="F150" s="7" t="s">
        <v>1017</v>
      </c>
      <c r="G150" s="7"/>
      <c r="H150" s="46" t="s">
        <v>249</v>
      </c>
      <c r="I150" s="7" t="s">
        <v>160</v>
      </c>
      <c r="J150" s="7" t="s">
        <v>148</v>
      </c>
      <c r="K150" s="7"/>
      <c r="L150" s="7"/>
      <c r="M150" s="7"/>
    </row>
    <row r="151" ht="15.75" customHeight="1">
      <c r="A151" s="7" t="s">
        <v>1018</v>
      </c>
      <c r="B151" s="45" t="s">
        <v>1019</v>
      </c>
      <c r="C151" s="7" t="s">
        <v>1020</v>
      </c>
      <c r="D151" s="7" t="s">
        <v>1021</v>
      </c>
      <c r="E151" s="7" t="s">
        <v>1022</v>
      </c>
      <c r="F151" s="7" t="s">
        <v>1023</v>
      </c>
      <c r="G151" s="7"/>
      <c r="H151" s="46" t="s">
        <v>249</v>
      </c>
      <c r="I151" s="7" t="s">
        <v>160</v>
      </c>
      <c r="J151" s="7" t="s">
        <v>148</v>
      </c>
      <c r="K151" s="7"/>
      <c r="L151" s="7"/>
      <c r="M151" s="7"/>
    </row>
    <row r="152" ht="15.75" customHeight="1">
      <c r="A152" s="7" t="s">
        <v>1024</v>
      </c>
      <c r="B152" s="45" t="s">
        <v>1025</v>
      </c>
      <c r="C152" s="7" t="s">
        <v>1026</v>
      </c>
      <c r="D152" s="7" t="s">
        <v>1027</v>
      </c>
      <c r="E152" s="7" t="s">
        <v>1028</v>
      </c>
      <c r="F152" s="7" t="s">
        <v>1029</v>
      </c>
      <c r="G152" s="7"/>
      <c r="H152" s="46" t="s">
        <v>249</v>
      </c>
      <c r="I152" s="7" t="s">
        <v>160</v>
      </c>
      <c r="J152" s="7" t="s">
        <v>148</v>
      </c>
      <c r="K152" s="7"/>
      <c r="L152" s="7"/>
      <c r="M152" s="7"/>
    </row>
    <row r="153" ht="15.75" customHeight="1">
      <c r="A153" s="7" t="s">
        <v>1030</v>
      </c>
      <c r="B153" s="45" t="s">
        <v>1031</v>
      </c>
      <c r="C153" s="7" t="s">
        <v>1032</v>
      </c>
      <c r="D153" s="7" t="s">
        <v>1033</v>
      </c>
      <c r="E153" s="7" t="s">
        <v>1034</v>
      </c>
      <c r="F153" s="7" t="s">
        <v>1035</v>
      </c>
      <c r="G153" s="7" t="s">
        <v>1036</v>
      </c>
      <c r="H153" s="46" t="s">
        <v>249</v>
      </c>
      <c r="I153" s="7" t="s">
        <v>160</v>
      </c>
      <c r="J153" s="7" t="s">
        <v>148</v>
      </c>
      <c r="K153" s="7"/>
      <c r="L153" s="7"/>
      <c r="M153" s="7"/>
    </row>
    <row r="154" ht="15.75" customHeight="1">
      <c r="A154" s="7" t="s">
        <v>1037</v>
      </c>
      <c r="B154" s="45" t="s">
        <v>1038</v>
      </c>
      <c r="C154" s="7" t="s">
        <v>1039</v>
      </c>
      <c r="D154" s="7" t="s">
        <v>1040</v>
      </c>
      <c r="E154" s="7" t="s">
        <v>1041</v>
      </c>
      <c r="F154" s="7" t="s">
        <v>1042</v>
      </c>
      <c r="G154" s="7"/>
      <c r="H154" s="46" t="s">
        <v>249</v>
      </c>
      <c r="I154" s="7" t="s">
        <v>160</v>
      </c>
      <c r="J154" s="7" t="s">
        <v>148</v>
      </c>
      <c r="K154" s="7"/>
      <c r="L154" s="7"/>
      <c r="M154" s="7"/>
    </row>
    <row r="155" ht="15.75" customHeight="1">
      <c r="A155" s="7" t="s">
        <v>1043</v>
      </c>
      <c r="B155" s="45" t="s">
        <v>1044</v>
      </c>
      <c r="C155" s="7" t="s">
        <v>1045</v>
      </c>
      <c r="D155" s="7" t="s">
        <v>1046</v>
      </c>
      <c r="E155" s="7" t="s">
        <v>1047</v>
      </c>
      <c r="F155" s="7" t="s">
        <v>1048</v>
      </c>
      <c r="G155" s="7"/>
      <c r="H155" s="46" t="s">
        <v>249</v>
      </c>
      <c r="I155" s="7" t="s">
        <v>160</v>
      </c>
      <c r="J155" s="7" t="s">
        <v>148</v>
      </c>
      <c r="K155" s="7"/>
      <c r="L155" s="7"/>
      <c r="M155" s="7"/>
    </row>
    <row r="156" ht="15.75" customHeight="1">
      <c r="A156" s="7" t="s">
        <v>1049</v>
      </c>
      <c r="B156" s="45" t="s">
        <v>1050</v>
      </c>
      <c r="C156" s="7" t="s">
        <v>1051</v>
      </c>
      <c r="D156" s="7" t="s">
        <v>1052</v>
      </c>
      <c r="E156" s="7" t="s">
        <v>1053</v>
      </c>
      <c r="F156" s="7" t="s">
        <v>1054</v>
      </c>
      <c r="G156" s="7"/>
      <c r="H156" s="46" t="s">
        <v>249</v>
      </c>
      <c r="I156" s="7" t="s">
        <v>160</v>
      </c>
      <c r="J156" s="7" t="s">
        <v>148</v>
      </c>
      <c r="K156" s="7"/>
      <c r="L156" s="7"/>
      <c r="M156" s="7"/>
    </row>
    <row r="157" ht="15.75" customHeight="1">
      <c r="A157" s="7" t="s">
        <v>1055</v>
      </c>
      <c r="B157" s="45" t="s">
        <v>1056</v>
      </c>
      <c r="C157" s="7" t="s">
        <v>1057</v>
      </c>
      <c r="D157" s="7" t="s">
        <v>1058</v>
      </c>
      <c r="E157" s="7" t="s">
        <v>1059</v>
      </c>
      <c r="F157" s="7" t="s">
        <v>1060</v>
      </c>
      <c r="G157" s="7"/>
      <c r="H157" s="46" t="s">
        <v>249</v>
      </c>
      <c r="I157" s="7" t="s">
        <v>160</v>
      </c>
      <c r="J157" s="7" t="s">
        <v>148</v>
      </c>
      <c r="K157" s="7"/>
      <c r="L157" s="7"/>
      <c r="M157" s="7"/>
    </row>
    <row r="158" ht="15.75" customHeight="1">
      <c r="A158" s="7" t="s">
        <v>1061</v>
      </c>
      <c r="B158" s="45" t="s">
        <v>1062</v>
      </c>
      <c r="C158" s="7" t="s">
        <v>1063</v>
      </c>
      <c r="D158" s="7" t="s">
        <v>1064</v>
      </c>
      <c r="E158" s="7" t="s">
        <v>1065</v>
      </c>
      <c r="F158" s="7" t="s">
        <v>1066</v>
      </c>
      <c r="G158" s="7"/>
      <c r="H158" s="46" t="s">
        <v>249</v>
      </c>
      <c r="I158" s="7" t="s">
        <v>160</v>
      </c>
      <c r="J158" s="7" t="s">
        <v>148</v>
      </c>
      <c r="K158" s="7"/>
      <c r="L158" s="7"/>
      <c r="M158" s="7"/>
    </row>
    <row r="159" ht="15.75" customHeight="1">
      <c r="A159" s="7" t="s">
        <v>1067</v>
      </c>
      <c r="B159" s="45" t="s">
        <v>1068</v>
      </c>
      <c r="C159" s="7" t="s">
        <v>1069</v>
      </c>
      <c r="D159" s="7" t="s">
        <v>1070</v>
      </c>
      <c r="E159" s="7" t="s">
        <v>1071</v>
      </c>
      <c r="F159" s="7" t="s">
        <v>1072</v>
      </c>
      <c r="G159" s="7"/>
      <c r="H159" s="46" t="s">
        <v>249</v>
      </c>
      <c r="I159" s="7" t="s">
        <v>160</v>
      </c>
      <c r="J159" s="7" t="s">
        <v>148</v>
      </c>
      <c r="K159" s="7"/>
      <c r="L159" s="7"/>
      <c r="M159" s="7"/>
    </row>
    <row r="160" ht="15.75" customHeight="1">
      <c r="A160" s="7" t="s">
        <v>1073</v>
      </c>
      <c r="B160" s="45" t="s">
        <v>1074</v>
      </c>
      <c r="C160" s="7" t="s">
        <v>1069</v>
      </c>
      <c r="D160" s="7" t="s">
        <v>1075</v>
      </c>
      <c r="E160" s="7" t="s">
        <v>1071</v>
      </c>
      <c r="F160" s="7" t="s">
        <v>1072</v>
      </c>
      <c r="G160" s="7"/>
      <c r="H160" s="46" t="s">
        <v>249</v>
      </c>
      <c r="I160" s="7" t="s">
        <v>160</v>
      </c>
      <c r="J160" s="7" t="s">
        <v>148</v>
      </c>
      <c r="K160" s="7"/>
      <c r="L160" s="7"/>
      <c r="M160" s="7"/>
    </row>
    <row r="161" ht="15.75" customHeight="1">
      <c r="A161" s="7" t="s">
        <v>1076</v>
      </c>
      <c r="B161" s="45" t="s">
        <v>1077</v>
      </c>
      <c r="C161" s="7" t="s">
        <v>1078</v>
      </c>
      <c r="D161" s="7" t="s">
        <v>1079</v>
      </c>
      <c r="E161" s="7" t="s">
        <v>1071</v>
      </c>
      <c r="F161" s="7" t="s">
        <v>1080</v>
      </c>
      <c r="G161" s="7"/>
      <c r="H161" s="46" t="s">
        <v>249</v>
      </c>
      <c r="I161" s="7" t="s">
        <v>160</v>
      </c>
      <c r="J161" s="7" t="s">
        <v>148</v>
      </c>
      <c r="K161" s="7"/>
      <c r="L161" s="7"/>
      <c r="M161" s="7"/>
    </row>
    <row r="162" ht="15.75" customHeight="1">
      <c r="A162" s="7" t="s">
        <v>1081</v>
      </c>
      <c r="B162" s="45" t="s">
        <v>1082</v>
      </c>
      <c r="C162" s="7" t="s">
        <v>1069</v>
      </c>
      <c r="D162" s="7" t="s">
        <v>1083</v>
      </c>
      <c r="E162" s="7" t="s">
        <v>1071</v>
      </c>
      <c r="F162" s="7" t="s">
        <v>1072</v>
      </c>
      <c r="G162" s="7"/>
      <c r="H162" s="46" t="s">
        <v>249</v>
      </c>
      <c r="I162" s="7" t="s">
        <v>160</v>
      </c>
      <c r="J162" s="7" t="s">
        <v>148</v>
      </c>
      <c r="K162" s="7"/>
      <c r="L162" s="7"/>
      <c r="M162" s="7"/>
    </row>
    <row r="163" ht="15.75" customHeight="1">
      <c r="A163" s="7" t="s">
        <v>1084</v>
      </c>
      <c r="B163" s="45" t="s">
        <v>1085</v>
      </c>
      <c r="C163" s="7" t="s">
        <v>1069</v>
      </c>
      <c r="D163" s="7" t="s">
        <v>1086</v>
      </c>
      <c r="E163" s="7" t="s">
        <v>1071</v>
      </c>
      <c r="F163" s="7" t="s">
        <v>1072</v>
      </c>
      <c r="G163" s="7"/>
      <c r="H163" s="46" t="s">
        <v>249</v>
      </c>
      <c r="I163" s="7" t="s">
        <v>160</v>
      </c>
      <c r="J163" s="7" t="s">
        <v>148</v>
      </c>
      <c r="K163" s="7"/>
      <c r="L163" s="7"/>
      <c r="M163" s="7"/>
    </row>
    <row r="164" ht="15.75" customHeight="1">
      <c r="A164" s="7" t="s">
        <v>1087</v>
      </c>
      <c r="B164" s="45" t="s">
        <v>1088</v>
      </c>
      <c r="C164" s="7" t="s">
        <v>1078</v>
      </c>
      <c r="D164" s="7" t="s">
        <v>1089</v>
      </c>
      <c r="E164" s="7" t="s">
        <v>1071</v>
      </c>
      <c r="F164" s="7" t="s">
        <v>1090</v>
      </c>
      <c r="G164" s="7"/>
      <c r="H164" s="46" t="s">
        <v>249</v>
      </c>
      <c r="I164" s="7" t="s">
        <v>160</v>
      </c>
      <c r="J164" s="7" t="s">
        <v>148</v>
      </c>
      <c r="K164" s="7"/>
      <c r="L164" s="7"/>
      <c r="M164" s="7"/>
    </row>
    <row r="165" ht="15.75" customHeight="1">
      <c r="A165" s="7" t="s">
        <v>1091</v>
      </c>
      <c r="B165" s="45" t="s">
        <v>1092</v>
      </c>
      <c r="C165" s="7" t="s">
        <v>1093</v>
      </c>
      <c r="D165" s="7" t="s">
        <v>1083</v>
      </c>
      <c r="E165" s="7" t="s">
        <v>1094</v>
      </c>
      <c r="F165" s="7" t="s">
        <v>1095</v>
      </c>
      <c r="G165" s="7" t="s">
        <v>1096</v>
      </c>
      <c r="H165" s="46" t="s">
        <v>249</v>
      </c>
      <c r="I165" s="7" t="s">
        <v>160</v>
      </c>
      <c r="J165" s="7" t="s">
        <v>148</v>
      </c>
      <c r="K165" s="7"/>
      <c r="L165" s="7"/>
      <c r="M165" s="7"/>
    </row>
    <row r="166" ht="15.75" customHeight="1">
      <c r="A166" s="7" t="s">
        <v>1097</v>
      </c>
      <c r="B166" s="45" t="s">
        <v>1098</v>
      </c>
      <c r="C166" s="7" t="s">
        <v>1078</v>
      </c>
      <c r="D166" s="7" t="s">
        <v>1099</v>
      </c>
      <c r="E166" s="7" t="s">
        <v>1071</v>
      </c>
      <c r="F166" s="7" t="s">
        <v>1080</v>
      </c>
      <c r="G166" s="7"/>
      <c r="H166" s="46" t="s">
        <v>249</v>
      </c>
      <c r="I166" s="7" t="s">
        <v>160</v>
      </c>
      <c r="J166" s="7" t="s">
        <v>148</v>
      </c>
      <c r="K166" s="7"/>
      <c r="L166" s="7"/>
      <c r="M166" s="7"/>
    </row>
    <row r="167" ht="15.75" customHeight="1">
      <c r="A167" s="7" t="s">
        <v>1100</v>
      </c>
      <c r="B167" s="45" t="s">
        <v>1101</v>
      </c>
      <c r="C167" s="7" t="s">
        <v>1102</v>
      </c>
      <c r="D167" s="7" t="s">
        <v>325</v>
      </c>
      <c r="E167" s="7" t="s">
        <v>326</v>
      </c>
      <c r="F167" s="7" t="s">
        <v>327</v>
      </c>
      <c r="G167" s="7" t="s">
        <v>1103</v>
      </c>
      <c r="H167" s="46" t="s">
        <v>249</v>
      </c>
      <c r="I167" s="7" t="s">
        <v>160</v>
      </c>
      <c r="J167" s="7" t="s">
        <v>148</v>
      </c>
      <c r="K167" s="7"/>
      <c r="L167" s="7"/>
      <c r="M167" s="7"/>
    </row>
    <row r="168" ht="15.75" customHeight="1">
      <c r="A168" s="7" t="s">
        <v>1104</v>
      </c>
      <c r="B168" s="45" t="s">
        <v>1105</v>
      </c>
      <c r="C168" s="7" t="s">
        <v>1106</v>
      </c>
      <c r="D168" s="7" t="s">
        <v>1107</v>
      </c>
      <c r="E168" s="7" t="s">
        <v>1108</v>
      </c>
      <c r="F168" s="7" t="s">
        <v>1109</v>
      </c>
      <c r="G168" s="7"/>
      <c r="H168" s="46" t="s">
        <v>249</v>
      </c>
      <c r="I168" s="7" t="s">
        <v>160</v>
      </c>
      <c r="J168" s="7" t="s">
        <v>148</v>
      </c>
      <c r="K168" s="7"/>
      <c r="L168" s="7"/>
      <c r="M168" s="7"/>
    </row>
    <row r="169" ht="15.75" customHeight="1">
      <c r="A169" s="7" t="s">
        <v>1110</v>
      </c>
      <c r="B169" s="45" t="s">
        <v>1111</v>
      </c>
      <c r="C169" s="7" t="s">
        <v>367</v>
      </c>
      <c r="D169" s="7" t="s">
        <v>1112</v>
      </c>
      <c r="E169" s="7" t="s">
        <v>369</v>
      </c>
      <c r="F169" s="7" t="s">
        <v>370</v>
      </c>
      <c r="G169" s="7"/>
      <c r="H169" s="46" t="s">
        <v>249</v>
      </c>
      <c r="I169" s="7" t="s">
        <v>160</v>
      </c>
      <c r="J169" s="7" t="s">
        <v>148</v>
      </c>
      <c r="K169" s="7"/>
      <c r="L169" s="7"/>
      <c r="M169" s="7"/>
    </row>
    <row r="170" ht="15.75" customHeight="1">
      <c r="A170" s="7" t="s">
        <v>1113</v>
      </c>
      <c r="B170" s="45" t="s">
        <v>1114</v>
      </c>
      <c r="C170" s="7" t="s">
        <v>1115</v>
      </c>
      <c r="D170" s="7" t="s">
        <v>1116</v>
      </c>
      <c r="E170" s="7" t="s">
        <v>1117</v>
      </c>
      <c r="F170" s="7" t="s">
        <v>1118</v>
      </c>
      <c r="G170" s="7"/>
      <c r="H170" s="46" t="s">
        <v>249</v>
      </c>
      <c r="I170" s="7" t="s">
        <v>160</v>
      </c>
      <c r="J170" s="7" t="s">
        <v>148</v>
      </c>
      <c r="K170" s="7"/>
      <c r="L170" s="7"/>
      <c r="M170" s="7"/>
    </row>
    <row r="171" ht="15.75" customHeight="1">
      <c r="A171" s="7" t="s">
        <v>1119</v>
      </c>
      <c r="B171" s="45" t="s">
        <v>1120</v>
      </c>
      <c r="C171" s="7" t="s">
        <v>1121</v>
      </c>
      <c r="D171" s="7" t="s">
        <v>1122</v>
      </c>
      <c r="E171" s="7" t="s">
        <v>1123</v>
      </c>
      <c r="F171" s="7" t="s">
        <v>1124</v>
      </c>
      <c r="G171" s="7"/>
      <c r="H171" s="46" t="s">
        <v>249</v>
      </c>
      <c r="I171" s="7" t="s">
        <v>160</v>
      </c>
      <c r="J171" s="7" t="s">
        <v>148</v>
      </c>
      <c r="K171" s="7"/>
      <c r="L171" s="7"/>
      <c r="M171" s="7"/>
    </row>
    <row r="172" ht="15.75" customHeight="1">
      <c r="A172" s="7" t="s">
        <v>1125</v>
      </c>
      <c r="B172" s="45" t="s">
        <v>1126</v>
      </c>
      <c r="C172" s="7" t="s">
        <v>1069</v>
      </c>
      <c r="D172" s="7" t="s">
        <v>1127</v>
      </c>
      <c r="E172" s="7" t="s">
        <v>1071</v>
      </c>
      <c r="F172" s="7" t="s">
        <v>1072</v>
      </c>
      <c r="G172" s="7"/>
      <c r="H172" s="46" t="s">
        <v>249</v>
      </c>
      <c r="I172" s="7" t="s">
        <v>160</v>
      </c>
      <c r="J172" s="7" t="s">
        <v>148</v>
      </c>
      <c r="K172" s="7"/>
      <c r="L172" s="7"/>
      <c r="M172" s="7"/>
    </row>
    <row r="173" ht="15.75" customHeight="1">
      <c r="A173" s="7" t="s">
        <v>1128</v>
      </c>
      <c r="B173" s="45" t="s">
        <v>1129</v>
      </c>
      <c r="C173" s="7" t="s">
        <v>1069</v>
      </c>
      <c r="D173" s="7" t="s">
        <v>1130</v>
      </c>
      <c r="E173" s="7" t="s">
        <v>1071</v>
      </c>
      <c r="F173" s="7" t="s">
        <v>1131</v>
      </c>
      <c r="G173" s="7"/>
      <c r="H173" s="46" t="s">
        <v>249</v>
      </c>
      <c r="I173" s="7" t="s">
        <v>160</v>
      </c>
      <c r="J173" s="7" t="s">
        <v>148</v>
      </c>
      <c r="K173" s="7"/>
      <c r="L173" s="7"/>
      <c r="M173" s="7"/>
    </row>
    <row r="174" ht="15.75" customHeight="1">
      <c r="A174" s="7" t="s">
        <v>1132</v>
      </c>
      <c r="B174" s="45" t="s">
        <v>1133</v>
      </c>
      <c r="C174" s="7" t="s">
        <v>1134</v>
      </c>
      <c r="D174" s="7" t="s">
        <v>1135</v>
      </c>
      <c r="E174" s="7" t="s">
        <v>1136</v>
      </c>
      <c r="F174" s="7" t="s">
        <v>1137</v>
      </c>
      <c r="G174" s="7"/>
      <c r="H174" s="46" t="s">
        <v>249</v>
      </c>
      <c r="I174" s="7" t="s">
        <v>160</v>
      </c>
      <c r="J174" s="7" t="s">
        <v>148</v>
      </c>
      <c r="K174" s="7"/>
      <c r="L174" s="7"/>
      <c r="M174" s="7"/>
    </row>
    <row r="175" ht="15.75" customHeight="1">
      <c r="A175" s="7" t="s">
        <v>1138</v>
      </c>
      <c r="B175" s="45" t="s">
        <v>1139</v>
      </c>
      <c r="C175" s="7" t="s">
        <v>1140</v>
      </c>
      <c r="D175" s="7" t="s">
        <v>1141</v>
      </c>
      <c r="E175" s="7" t="s">
        <v>1142</v>
      </c>
      <c r="F175" s="7" t="s">
        <v>1143</v>
      </c>
      <c r="G175" s="7"/>
      <c r="H175" s="46" t="s">
        <v>249</v>
      </c>
      <c r="I175" s="7" t="s">
        <v>160</v>
      </c>
      <c r="J175" s="7" t="s">
        <v>148</v>
      </c>
      <c r="K175" s="7"/>
      <c r="L175" s="7"/>
      <c r="M175" s="7"/>
    </row>
    <row r="176" ht="15.75" customHeight="1">
      <c r="A176" s="7" t="s">
        <v>1144</v>
      </c>
      <c r="B176" s="45" t="s">
        <v>1145</v>
      </c>
      <c r="C176" s="7" t="s">
        <v>1146</v>
      </c>
      <c r="D176" s="7" t="s">
        <v>1147</v>
      </c>
      <c r="E176" s="7" t="s">
        <v>1148</v>
      </c>
      <c r="F176" s="7" t="s">
        <v>1149</v>
      </c>
      <c r="G176" s="7"/>
      <c r="H176" s="46" t="s">
        <v>249</v>
      </c>
      <c r="I176" s="7" t="s">
        <v>160</v>
      </c>
      <c r="J176" s="7" t="s">
        <v>148</v>
      </c>
      <c r="K176" s="7"/>
      <c r="L176" s="7"/>
      <c r="M176" s="7"/>
    </row>
    <row r="177" ht="15.75" customHeight="1">
      <c r="A177" s="7" t="s">
        <v>1150</v>
      </c>
      <c r="B177" s="45" t="s">
        <v>1151</v>
      </c>
      <c r="C177" s="7" t="s">
        <v>1152</v>
      </c>
      <c r="D177" s="7" t="s">
        <v>1153</v>
      </c>
      <c r="E177" s="7" t="s">
        <v>1154</v>
      </c>
      <c r="F177" s="7" t="s">
        <v>1155</v>
      </c>
      <c r="G177" s="7"/>
      <c r="H177" s="46" t="s">
        <v>249</v>
      </c>
      <c r="I177" s="7" t="s">
        <v>160</v>
      </c>
      <c r="J177" s="7" t="s">
        <v>148</v>
      </c>
      <c r="K177" s="7"/>
      <c r="L177" s="7"/>
      <c r="M177" s="7"/>
    </row>
    <row r="178" ht="15.75" customHeight="1">
      <c r="A178" s="7" t="s">
        <v>1156</v>
      </c>
      <c r="B178" s="45" t="s">
        <v>1157</v>
      </c>
      <c r="C178" s="7" t="s">
        <v>1158</v>
      </c>
      <c r="D178" s="7" t="s">
        <v>1159</v>
      </c>
      <c r="E178" s="7" t="s">
        <v>1160</v>
      </c>
      <c r="F178" s="7" t="s">
        <v>1161</v>
      </c>
      <c r="G178" s="7"/>
      <c r="H178" s="46" t="s">
        <v>249</v>
      </c>
      <c r="I178" s="7" t="s">
        <v>160</v>
      </c>
      <c r="J178" s="7" t="s">
        <v>148</v>
      </c>
      <c r="K178" s="7"/>
      <c r="L178" s="7"/>
      <c r="M178" s="7"/>
    </row>
    <row r="179" ht="15.75" customHeight="1">
      <c r="A179" s="7" t="s">
        <v>1162</v>
      </c>
      <c r="B179" s="45" t="s">
        <v>1163</v>
      </c>
      <c r="C179" s="7" t="s">
        <v>1164</v>
      </c>
      <c r="D179" s="7" t="s">
        <v>1165</v>
      </c>
      <c r="E179" s="7" t="s">
        <v>1166</v>
      </c>
      <c r="F179" s="7" t="s">
        <v>1167</v>
      </c>
      <c r="G179" s="7"/>
      <c r="H179" s="46" t="s">
        <v>249</v>
      </c>
      <c r="I179" s="7" t="s">
        <v>160</v>
      </c>
      <c r="J179" s="7" t="s">
        <v>148</v>
      </c>
      <c r="K179" s="7"/>
      <c r="L179" s="7"/>
      <c r="M179" s="7"/>
    </row>
    <row r="180" ht="15.75" customHeight="1">
      <c r="A180" s="7" t="s">
        <v>1168</v>
      </c>
      <c r="B180" s="45" t="s">
        <v>1169</v>
      </c>
      <c r="C180" s="7" t="s">
        <v>1170</v>
      </c>
      <c r="D180" s="7" t="s">
        <v>1171</v>
      </c>
      <c r="E180" s="7" t="s">
        <v>1172</v>
      </c>
      <c r="F180" s="7" t="s">
        <v>1173</v>
      </c>
      <c r="G180" s="7"/>
      <c r="H180" s="46" t="s">
        <v>249</v>
      </c>
      <c r="I180" s="7" t="s">
        <v>160</v>
      </c>
      <c r="J180" s="7" t="s">
        <v>148</v>
      </c>
      <c r="K180" s="7"/>
      <c r="L180" s="7"/>
      <c r="M180" s="7"/>
    </row>
    <row r="181" ht="15.75" customHeight="1">
      <c r="A181" s="7" t="s">
        <v>1174</v>
      </c>
      <c r="B181" s="45" t="s">
        <v>1175</v>
      </c>
      <c r="C181" s="7" t="s">
        <v>1176</v>
      </c>
      <c r="D181" s="7" t="s">
        <v>1177</v>
      </c>
      <c r="E181" s="7" t="s">
        <v>1178</v>
      </c>
      <c r="F181" s="7" t="s">
        <v>1179</v>
      </c>
      <c r="G181" s="7"/>
      <c r="H181" s="46" t="s">
        <v>249</v>
      </c>
      <c r="I181" s="7" t="s">
        <v>160</v>
      </c>
      <c r="J181" s="7" t="s">
        <v>148</v>
      </c>
      <c r="K181" s="7"/>
      <c r="L181" s="7"/>
      <c r="M181" s="7"/>
    </row>
    <row r="182" ht="15.75" customHeight="1">
      <c r="A182" s="7" t="s">
        <v>1180</v>
      </c>
      <c r="B182" s="45" t="s">
        <v>1181</v>
      </c>
      <c r="C182" s="7" t="s">
        <v>1182</v>
      </c>
      <c r="D182" s="7" t="s">
        <v>1183</v>
      </c>
      <c r="E182" s="7" t="s">
        <v>1184</v>
      </c>
      <c r="F182" s="7" t="s">
        <v>1185</v>
      </c>
      <c r="G182" s="7"/>
      <c r="H182" s="46" t="s">
        <v>249</v>
      </c>
      <c r="I182" s="7" t="s">
        <v>160</v>
      </c>
      <c r="J182" s="7" t="s">
        <v>148</v>
      </c>
      <c r="K182" s="7"/>
      <c r="L182" s="7"/>
      <c r="M182" s="7"/>
    </row>
    <row r="183" ht="15.75" customHeight="1">
      <c r="A183" s="7" t="s">
        <v>1186</v>
      </c>
      <c r="B183" s="45" t="s">
        <v>1187</v>
      </c>
      <c r="C183" s="7" t="s">
        <v>1188</v>
      </c>
      <c r="D183" s="7" t="s">
        <v>1189</v>
      </c>
      <c r="E183" s="7" t="s">
        <v>1190</v>
      </c>
      <c r="F183" s="7" t="s">
        <v>1191</v>
      </c>
      <c r="G183" s="7"/>
      <c r="H183" s="46" t="s">
        <v>249</v>
      </c>
      <c r="I183" s="7" t="s">
        <v>160</v>
      </c>
      <c r="J183" s="7" t="s">
        <v>148</v>
      </c>
      <c r="K183" s="7"/>
      <c r="L183" s="7"/>
      <c r="M183" s="7"/>
    </row>
    <row r="184" ht="15.75" customHeight="1">
      <c r="A184" s="7" t="s">
        <v>1192</v>
      </c>
      <c r="B184" s="45" t="s">
        <v>1193</v>
      </c>
      <c r="C184" s="7" t="s">
        <v>1194</v>
      </c>
      <c r="D184" s="7" t="s">
        <v>1195</v>
      </c>
      <c r="E184" s="7" t="s">
        <v>1196</v>
      </c>
      <c r="F184" s="7" t="s">
        <v>1197</v>
      </c>
      <c r="G184" s="7"/>
      <c r="H184" s="46" t="s">
        <v>249</v>
      </c>
      <c r="I184" s="7" t="s">
        <v>160</v>
      </c>
      <c r="J184" s="7" t="s">
        <v>148</v>
      </c>
      <c r="K184" s="7"/>
      <c r="L184" s="7"/>
      <c r="M184" s="7"/>
    </row>
    <row r="185" ht="15.75" customHeight="1">
      <c r="A185" s="7" t="s">
        <v>1198</v>
      </c>
      <c r="B185" s="45" t="s">
        <v>1199</v>
      </c>
      <c r="C185" s="7" t="s">
        <v>1200</v>
      </c>
      <c r="D185" s="7" t="s">
        <v>1201</v>
      </c>
      <c r="E185" s="7" t="s">
        <v>1202</v>
      </c>
      <c r="F185" s="7" t="s">
        <v>1203</v>
      </c>
      <c r="G185" s="7"/>
      <c r="H185" s="46" t="s">
        <v>249</v>
      </c>
      <c r="I185" s="7" t="s">
        <v>160</v>
      </c>
      <c r="J185" s="7" t="s">
        <v>148</v>
      </c>
      <c r="K185" s="7"/>
      <c r="L185" s="7"/>
      <c r="M185" s="7"/>
    </row>
    <row r="186" ht="15.75" customHeight="1">
      <c r="A186" s="7" t="s">
        <v>1204</v>
      </c>
      <c r="B186" s="45" t="s">
        <v>1205</v>
      </c>
      <c r="C186" s="7" t="s">
        <v>1206</v>
      </c>
      <c r="D186" s="7" t="s">
        <v>1207</v>
      </c>
      <c r="E186" s="7" t="s">
        <v>1208</v>
      </c>
      <c r="F186" s="7" t="s">
        <v>1209</v>
      </c>
      <c r="G186" s="7"/>
      <c r="H186" s="46" t="s">
        <v>249</v>
      </c>
      <c r="I186" s="7" t="s">
        <v>160</v>
      </c>
      <c r="J186" s="7" t="s">
        <v>148</v>
      </c>
      <c r="K186" s="7"/>
      <c r="L186" s="7"/>
      <c r="M186" s="7"/>
    </row>
    <row r="187" ht="15.75" customHeight="1">
      <c r="A187" s="7" t="s">
        <v>1210</v>
      </c>
      <c r="B187" s="45" t="s">
        <v>1211</v>
      </c>
      <c r="C187" s="7" t="s">
        <v>1212</v>
      </c>
      <c r="D187" s="7" t="s">
        <v>1213</v>
      </c>
      <c r="E187" s="7" t="s">
        <v>1214</v>
      </c>
      <c r="F187" s="7" t="s">
        <v>1215</v>
      </c>
      <c r="G187" s="7"/>
      <c r="H187" s="46" t="s">
        <v>249</v>
      </c>
      <c r="I187" s="7" t="s">
        <v>160</v>
      </c>
      <c r="J187" s="7" t="s">
        <v>148</v>
      </c>
      <c r="K187" s="7"/>
      <c r="L187" s="7"/>
      <c r="M187" s="7"/>
    </row>
    <row r="188" ht="15.75" customHeight="1">
      <c r="A188" s="7" t="s">
        <v>1216</v>
      </c>
      <c r="B188" s="45" t="s">
        <v>1217</v>
      </c>
      <c r="C188" s="7" t="s">
        <v>1212</v>
      </c>
      <c r="D188" s="7" t="s">
        <v>1218</v>
      </c>
      <c r="E188" s="7" t="s">
        <v>1214</v>
      </c>
      <c r="F188" s="7" t="s">
        <v>1215</v>
      </c>
      <c r="G188" s="7"/>
      <c r="H188" s="46" t="s">
        <v>249</v>
      </c>
      <c r="I188" s="7" t="s">
        <v>160</v>
      </c>
      <c r="J188" s="7" t="s">
        <v>148</v>
      </c>
      <c r="K188" s="7"/>
      <c r="L188" s="7"/>
      <c r="M188" s="7"/>
    </row>
    <row r="189" ht="15.75" customHeight="1">
      <c r="A189" s="7" t="s">
        <v>1219</v>
      </c>
      <c r="B189" s="45" t="s">
        <v>1220</v>
      </c>
      <c r="C189" s="7" t="s">
        <v>1221</v>
      </c>
      <c r="D189" s="7" t="s">
        <v>1222</v>
      </c>
      <c r="E189" s="7" t="s">
        <v>1214</v>
      </c>
      <c r="F189" s="7" t="s">
        <v>1215</v>
      </c>
      <c r="G189" s="7"/>
      <c r="H189" s="46" t="s">
        <v>249</v>
      </c>
      <c r="I189" s="7" t="s">
        <v>160</v>
      </c>
      <c r="J189" s="7" t="s">
        <v>148</v>
      </c>
      <c r="K189" s="7"/>
      <c r="L189" s="7"/>
      <c r="M189" s="7"/>
    </row>
    <row r="190" ht="15.75" customHeight="1">
      <c r="A190" s="7" t="s">
        <v>1223</v>
      </c>
      <c r="B190" s="45" t="s">
        <v>1224</v>
      </c>
      <c r="C190" s="7" t="s">
        <v>1212</v>
      </c>
      <c r="D190" s="7" t="s">
        <v>1225</v>
      </c>
      <c r="E190" s="7" t="s">
        <v>1214</v>
      </c>
      <c r="F190" s="7" t="s">
        <v>1215</v>
      </c>
      <c r="G190" s="7"/>
      <c r="H190" s="46" t="s">
        <v>249</v>
      </c>
      <c r="I190" s="7" t="s">
        <v>160</v>
      </c>
      <c r="J190" s="7" t="s">
        <v>148</v>
      </c>
      <c r="K190" s="7"/>
      <c r="L190" s="7"/>
      <c r="M190" s="7"/>
    </row>
    <row r="191" ht="15.75" customHeight="1">
      <c r="A191" s="7" t="s">
        <v>1226</v>
      </c>
      <c r="B191" s="45" t="s">
        <v>1227</v>
      </c>
      <c r="C191" s="7" t="s">
        <v>1228</v>
      </c>
      <c r="D191" s="7" t="s">
        <v>1229</v>
      </c>
      <c r="E191" s="7" t="s">
        <v>1214</v>
      </c>
      <c r="F191" s="7" t="s">
        <v>1215</v>
      </c>
      <c r="G191" s="7"/>
      <c r="H191" s="46" t="s">
        <v>249</v>
      </c>
      <c r="I191" s="7" t="s">
        <v>160</v>
      </c>
      <c r="J191" s="7" t="s">
        <v>148</v>
      </c>
      <c r="K191" s="7"/>
      <c r="L191" s="7"/>
      <c r="M191" s="7"/>
    </row>
    <row r="192" ht="15.75" customHeight="1">
      <c r="A192" s="7" t="s">
        <v>1230</v>
      </c>
      <c r="B192" s="45" t="s">
        <v>1231</v>
      </c>
      <c r="C192" s="7" t="s">
        <v>1212</v>
      </c>
      <c r="D192" s="7" t="s">
        <v>1232</v>
      </c>
      <c r="E192" s="7" t="s">
        <v>1214</v>
      </c>
      <c r="F192" s="7" t="s">
        <v>1215</v>
      </c>
      <c r="G192" s="7"/>
      <c r="H192" s="46" t="s">
        <v>249</v>
      </c>
      <c r="I192" s="7" t="s">
        <v>160</v>
      </c>
      <c r="J192" s="7" t="s">
        <v>148</v>
      </c>
      <c r="K192" s="7"/>
      <c r="L192" s="7"/>
      <c r="M192" s="7"/>
    </row>
    <row r="193" ht="15.75" customHeight="1">
      <c r="A193" s="7" t="s">
        <v>1233</v>
      </c>
      <c r="B193" s="45" t="s">
        <v>1234</v>
      </c>
      <c r="C193" s="7" t="s">
        <v>1212</v>
      </c>
      <c r="D193" s="7" t="s">
        <v>1235</v>
      </c>
      <c r="E193" s="7" t="s">
        <v>1214</v>
      </c>
      <c r="F193" s="7" t="s">
        <v>1215</v>
      </c>
      <c r="G193" s="7"/>
      <c r="H193" s="46" t="s">
        <v>249</v>
      </c>
      <c r="I193" s="7" t="s">
        <v>160</v>
      </c>
      <c r="J193" s="7" t="s">
        <v>148</v>
      </c>
      <c r="K193" s="7"/>
      <c r="L193" s="7"/>
      <c r="M193" s="7"/>
    </row>
    <row r="194" ht="15.75" customHeight="1">
      <c r="A194" s="7" t="s">
        <v>1236</v>
      </c>
      <c r="B194" s="45" t="s">
        <v>1237</v>
      </c>
      <c r="C194" s="7" t="s">
        <v>1238</v>
      </c>
      <c r="D194" s="7" t="s">
        <v>1239</v>
      </c>
      <c r="E194" s="7" t="s">
        <v>1214</v>
      </c>
      <c r="F194" s="7" t="s">
        <v>1215</v>
      </c>
      <c r="G194" s="7"/>
      <c r="H194" s="46" t="s">
        <v>249</v>
      </c>
      <c r="I194" s="7" t="s">
        <v>160</v>
      </c>
      <c r="J194" s="7" t="s">
        <v>148</v>
      </c>
      <c r="K194" s="7"/>
      <c r="L194" s="7"/>
      <c r="M194" s="7"/>
    </row>
    <row r="195" ht="15.75" customHeight="1">
      <c r="A195" s="7" t="s">
        <v>1240</v>
      </c>
      <c r="B195" s="45" t="s">
        <v>1241</v>
      </c>
      <c r="C195" s="7" t="s">
        <v>1212</v>
      </c>
      <c r="D195" s="7" t="s">
        <v>1242</v>
      </c>
      <c r="E195" s="7" t="s">
        <v>1214</v>
      </c>
      <c r="F195" s="7" t="s">
        <v>1215</v>
      </c>
      <c r="G195" s="7"/>
      <c r="H195" s="46" t="s">
        <v>249</v>
      </c>
      <c r="I195" s="7" t="s">
        <v>160</v>
      </c>
      <c r="J195" s="7" t="s">
        <v>148</v>
      </c>
      <c r="K195" s="7"/>
      <c r="L195" s="7"/>
      <c r="M195" s="7"/>
    </row>
    <row r="196" ht="15.75" customHeight="1">
      <c r="A196" s="7" t="s">
        <v>1243</v>
      </c>
      <c r="B196" s="45" t="s">
        <v>1244</v>
      </c>
      <c r="C196" s="7" t="s">
        <v>1212</v>
      </c>
      <c r="D196" s="7" t="s">
        <v>1245</v>
      </c>
      <c r="E196" s="7" t="s">
        <v>1214</v>
      </c>
      <c r="F196" s="7" t="s">
        <v>1215</v>
      </c>
      <c r="G196" s="7"/>
      <c r="H196" s="46" t="s">
        <v>249</v>
      </c>
      <c r="I196" s="7" t="s">
        <v>160</v>
      </c>
      <c r="J196" s="7" t="s">
        <v>148</v>
      </c>
      <c r="K196" s="7"/>
      <c r="L196" s="7"/>
      <c r="M196" s="7"/>
    </row>
    <row r="197" ht="15.75" customHeight="1">
      <c r="A197" s="7" t="s">
        <v>1246</v>
      </c>
      <c r="B197" s="45" t="s">
        <v>1247</v>
      </c>
      <c r="C197" s="7" t="s">
        <v>1212</v>
      </c>
      <c r="D197" s="7" t="s">
        <v>1248</v>
      </c>
      <c r="E197" s="7" t="s">
        <v>1214</v>
      </c>
      <c r="F197" s="7" t="s">
        <v>1215</v>
      </c>
      <c r="G197" s="7"/>
      <c r="H197" s="46" t="s">
        <v>249</v>
      </c>
      <c r="I197" s="7" t="s">
        <v>160</v>
      </c>
      <c r="J197" s="7" t="s">
        <v>148</v>
      </c>
      <c r="K197" s="7"/>
      <c r="L197" s="7"/>
      <c r="M197" s="7"/>
    </row>
    <row r="198" ht="15.75" customHeight="1">
      <c r="A198" s="7" t="s">
        <v>1249</v>
      </c>
      <c r="B198" s="45" t="s">
        <v>1250</v>
      </c>
      <c r="C198" s="7" t="s">
        <v>1212</v>
      </c>
      <c r="D198" s="7" t="s">
        <v>1251</v>
      </c>
      <c r="E198" s="7" t="s">
        <v>1214</v>
      </c>
      <c r="F198" s="7" t="s">
        <v>1215</v>
      </c>
      <c r="G198" s="7"/>
      <c r="H198" s="46" t="s">
        <v>249</v>
      </c>
      <c r="I198" s="7" t="s">
        <v>160</v>
      </c>
      <c r="J198" s="7" t="s">
        <v>148</v>
      </c>
      <c r="K198" s="7"/>
      <c r="L198" s="7"/>
      <c r="M198" s="7"/>
    </row>
    <row r="199" ht="15.75" customHeight="1">
      <c r="A199" s="7" t="s">
        <v>1252</v>
      </c>
      <c r="B199" s="45" t="s">
        <v>1253</v>
      </c>
      <c r="C199" s="7" t="s">
        <v>1254</v>
      </c>
      <c r="D199" s="7" t="s">
        <v>1255</v>
      </c>
      <c r="E199" s="7" t="s">
        <v>1256</v>
      </c>
      <c r="F199" s="7" t="s">
        <v>1257</v>
      </c>
      <c r="G199" s="7"/>
      <c r="H199" s="46" t="s">
        <v>249</v>
      </c>
      <c r="I199" s="7" t="s">
        <v>160</v>
      </c>
      <c r="J199" s="7" t="s">
        <v>148</v>
      </c>
      <c r="K199" s="7"/>
      <c r="L199" s="7"/>
      <c r="M199" s="7"/>
    </row>
    <row r="200" ht="15.75" customHeight="1">
      <c r="A200" s="7" t="s">
        <v>1258</v>
      </c>
      <c r="B200" s="45" t="s">
        <v>1259</v>
      </c>
      <c r="C200" s="7" t="s">
        <v>1260</v>
      </c>
      <c r="D200" s="7" t="s">
        <v>1261</v>
      </c>
      <c r="E200" s="7" t="s">
        <v>1262</v>
      </c>
      <c r="F200" s="7" t="s">
        <v>1263</v>
      </c>
      <c r="G200" s="7"/>
      <c r="H200" s="46" t="s">
        <v>249</v>
      </c>
      <c r="I200" s="7" t="s">
        <v>160</v>
      </c>
      <c r="J200" s="7" t="s">
        <v>148</v>
      </c>
      <c r="K200" s="7"/>
      <c r="L200" s="7"/>
      <c r="M200" s="7"/>
    </row>
    <row r="201" ht="15.75" customHeight="1">
      <c r="A201" s="7" t="s">
        <v>1264</v>
      </c>
      <c r="B201" s="45" t="s">
        <v>1265</v>
      </c>
      <c r="C201" s="7" t="s">
        <v>1260</v>
      </c>
      <c r="D201" s="7" t="s">
        <v>1266</v>
      </c>
      <c r="E201" s="7" t="s">
        <v>1267</v>
      </c>
      <c r="F201" s="7" t="s">
        <v>1263</v>
      </c>
      <c r="G201" s="7"/>
      <c r="H201" s="46" t="s">
        <v>249</v>
      </c>
      <c r="I201" s="7" t="s">
        <v>160</v>
      </c>
      <c r="J201" s="7" t="s">
        <v>148</v>
      </c>
      <c r="K201" s="7"/>
      <c r="L201" s="7"/>
      <c r="M201" s="7"/>
    </row>
    <row r="202" ht="15.75" customHeight="1">
      <c r="A202" s="7" t="s">
        <v>1268</v>
      </c>
      <c r="B202" s="45" t="s">
        <v>1269</v>
      </c>
      <c r="C202" s="7" t="s">
        <v>1270</v>
      </c>
      <c r="D202" s="7" t="s">
        <v>1271</v>
      </c>
      <c r="E202" s="7" t="s">
        <v>1272</v>
      </c>
      <c r="F202" s="7" t="s">
        <v>1263</v>
      </c>
      <c r="G202" s="7"/>
      <c r="H202" s="46" t="s">
        <v>249</v>
      </c>
      <c r="I202" s="7" t="s">
        <v>160</v>
      </c>
      <c r="J202" s="7" t="s">
        <v>148</v>
      </c>
      <c r="K202" s="7"/>
      <c r="L202" s="7"/>
      <c r="M202" s="7"/>
    </row>
    <row r="203" ht="15.75" customHeight="1">
      <c r="A203" s="7" t="s">
        <v>1273</v>
      </c>
      <c r="B203" s="45" t="s">
        <v>1274</v>
      </c>
      <c r="C203" s="7" t="s">
        <v>1275</v>
      </c>
      <c r="D203" s="7" t="s">
        <v>1276</v>
      </c>
      <c r="E203" s="7" t="s">
        <v>1277</v>
      </c>
      <c r="F203" s="7" t="s">
        <v>1278</v>
      </c>
      <c r="G203" s="7"/>
      <c r="H203" s="46" t="s">
        <v>249</v>
      </c>
      <c r="I203" s="7" t="s">
        <v>160</v>
      </c>
      <c r="J203" s="7" t="s">
        <v>148</v>
      </c>
      <c r="K203" s="7"/>
      <c r="L203" s="7"/>
      <c r="M203" s="7"/>
    </row>
    <row r="204" ht="15.75" customHeight="1">
      <c r="A204" s="7" t="s">
        <v>1279</v>
      </c>
      <c r="B204" s="45" t="s">
        <v>1280</v>
      </c>
      <c r="C204" s="7" t="s">
        <v>1281</v>
      </c>
      <c r="D204" s="7" t="s">
        <v>1282</v>
      </c>
      <c r="E204" s="7" t="s">
        <v>1283</v>
      </c>
      <c r="F204" s="7" t="s">
        <v>1284</v>
      </c>
      <c r="G204" s="7"/>
      <c r="H204" s="46" t="s">
        <v>249</v>
      </c>
      <c r="I204" s="7" t="s">
        <v>160</v>
      </c>
      <c r="J204" s="7" t="s">
        <v>148</v>
      </c>
      <c r="K204" s="7"/>
      <c r="L204" s="7"/>
      <c r="M204" s="7"/>
    </row>
    <row r="205" ht="15.75" customHeight="1">
      <c r="A205" s="7" t="s">
        <v>1285</v>
      </c>
      <c r="B205" s="45" t="s">
        <v>1286</v>
      </c>
      <c r="C205" s="7" t="s">
        <v>1287</v>
      </c>
      <c r="D205" s="7" t="s">
        <v>1288</v>
      </c>
      <c r="E205" s="7" t="s">
        <v>1289</v>
      </c>
      <c r="F205" s="7" t="s">
        <v>1290</v>
      </c>
      <c r="G205" s="7"/>
      <c r="H205" s="46" t="s">
        <v>249</v>
      </c>
      <c r="I205" s="7" t="s">
        <v>160</v>
      </c>
      <c r="J205" s="7" t="s">
        <v>148</v>
      </c>
      <c r="K205" s="7"/>
      <c r="L205" s="7"/>
      <c r="M205" s="7"/>
    </row>
    <row r="206" ht="15.75" customHeight="1">
      <c r="A206" s="7" t="s">
        <v>1291</v>
      </c>
      <c r="B206" s="45" t="s">
        <v>1292</v>
      </c>
      <c r="C206" s="7" t="s">
        <v>1293</v>
      </c>
      <c r="D206" s="7" t="s">
        <v>1294</v>
      </c>
      <c r="E206" s="7" t="s">
        <v>1295</v>
      </c>
      <c r="F206" s="7" t="s">
        <v>1296</v>
      </c>
      <c r="G206" s="7"/>
      <c r="H206" s="46" t="s">
        <v>249</v>
      </c>
      <c r="I206" s="7" t="s">
        <v>160</v>
      </c>
      <c r="J206" s="7" t="s">
        <v>148</v>
      </c>
      <c r="K206" s="7"/>
      <c r="L206" s="7"/>
      <c r="M206" s="7"/>
    </row>
    <row r="207" ht="15.75" customHeight="1">
      <c r="A207" s="7" t="s">
        <v>1297</v>
      </c>
      <c r="B207" s="45" t="s">
        <v>1298</v>
      </c>
      <c r="C207" s="7" t="s">
        <v>1299</v>
      </c>
      <c r="D207" s="7" t="s">
        <v>1300</v>
      </c>
      <c r="E207" s="7" t="s">
        <v>1301</v>
      </c>
      <c r="F207" s="7" t="s">
        <v>1302</v>
      </c>
      <c r="G207" s="7"/>
      <c r="H207" s="46" t="s">
        <v>249</v>
      </c>
      <c r="I207" s="7" t="s">
        <v>160</v>
      </c>
      <c r="J207" s="7" t="s">
        <v>148</v>
      </c>
      <c r="K207" s="7"/>
      <c r="L207" s="7"/>
      <c r="M207" s="7"/>
    </row>
    <row r="208" ht="15.75" customHeight="1">
      <c r="A208" s="7" t="s">
        <v>1303</v>
      </c>
      <c r="B208" s="45" t="s">
        <v>1304</v>
      </c>
      <c r="C208" s="7" t="s">
        <v>1305</v>
      </c>
      <c r="D208" s="7" t="s">
        <v>1306</v>
      </c>
      <c r="E208" s="7" t="s">
        <v>1307</v>
      </c>
      <c r="F208" s="7" t="s">
        <v>1308</v>
      </c>
      <c r="G208" s="7"/>
      <c r="H208" s="46" t="s">
        <v>249</v>
      </c>
      <c r="I208" s="7" t="s">
        <v>160</v>
      </c>
      <c r="J208" s="7" t="s">
        <v>148</v>
      </c>
      <c r="K208" s="7"/>
      <c r="L208" s="7"/>
      <c r="M208" s="7"/>
    </row>
    <row r="209" ht="15.75" customHeight="1">
      <c r="A209" s="7" t="s">
        <v>1309</v>
      </c>
      <c r="B209" s="45" t="s">
        <v>1310</v>
      </c>
      <c r="C209" s="7" t="s">
        <v>1311</v>
      </c>
      <c r="D209" s="7" t="s">
        <v>1312</v>
      </c>
      <c r="E209" s="7" t="s">
        <v>1313</v>
      </c>
      <c r="F209" s="7" t="s">
        <v>1314</v>
      </c>
      <c r="G209" s="7"/>
      <c r="H209" s="46" t="s">
        <v>249</v>
      </c>
      <c r="I209" s="7" t="s">
        <v>160</v>
      </c>
      <c r="J209" s="7" t="s">
        <v>148</v>
      </c>
      <c r="K209" s="7"/>
      <c r="L209" s="7"/>
      <c r="M209" s="7"/>
    </row>
    <row r="210" ht="15.75" customHeight="1">
      <c r="A210" s="7" t="s">
        <v>1315</v>
      </c>
      <c r="B210" s="45" t="s">
        <v>1316</v>
      </c>
      <c r="C210" s="7" t="s">
        <v>1311</v>
      </c>
      <c r="D210" s="7" t="s">
        <v>1317</v>
      </c>
      <c r="E210" s="7" t="s">
        <v>1313</v>
      </c>
      <c r="F210" s="7" t="s">
        <v>1318</v>
      </c>
      <c r="G210" s="7"/>
      <c r="H210" s="46" t="s">
        <v>249</v>
      </c>
      <c r="I210" s="7" t="s">
        <v>160</v>
      </c>
      <c r="J210" s="7" t="s">
        <v>148</v>
      </c>
      <c r="K210" s="7"/>
      <c r="L210" s="7"/>
      <c r="M210" s="7"/>
    </row>
    <row r="211" ht="15.75" customHeight="1">
      <c r="A211" s="7" t="s">
        <v>1319</v>
      </c>
      <c r="B211" s="45" t="s">
        <v>1320</v>
      </c>
      <c r="C211" s="7" t="s">
        <v>1321</v>
      </c>
      <c r="D211" s="7" t="s">
        <v>1322</v>
      </c>
      <c r="E211" s="7" t="s">
        <v>1323</v>
      </c>
      <c r="F211" s="7" t="s">
        <v>1324</v>
      </c>
      <c r="G211" s="7"/>
      <c r="H211" s="46" t="s">
        <v>249</v>
      </c>
      <c r="I211" s="7" t="s">
        <v>160</v>
      </c>
      <c r="J211" s="7" t="s">
        <v>148</v>
      </c>
      <c r="K211" s="7"/>
      <c r="L211" s="7"/>
      <c r="M211" s="7"/>
    </row>
    <row r="212" ht="15.75" customHeight="1">
      <c r="A212" s="7" t="s">
        <v>1325</v>
      </c>
      <c r="B212" s="45" t="s">
        <v>1326</v>
      </c>
      <c r="C212" s="7" t="s">
        <v>1327</v>
      </c>
      <c r="D212" s="7" t="s">
        <v>1328</v>
      </c>
      <c r="E212" s="7" t="s">
        <v>1323</v>
      </c>
      <c r="F212" s="7" t="s">
        <v>1324</v>
      </c>
      <c r="G212" s="7"/>
      <c r="H212" s="46" t="s">
        <v>249</v>
      </c>
      <c r="I212" s="7" t="s">
        <v>160</v>
      </c>
      <c r="J212" s="7" t="s">
        <v>148</v>
      </c>
      <c r="K212" s="7"/>
      <c r="L212" s="7"/>
      <c r="M212" s="7"/>
    </row>
    <row r="213" ht="15.75" customHeight="1">
      <c r="A213" s="7" t="s">
        <v>1329</v>
      </c>
      <c r="B213" s="45" t="s">
        <v>1330</v>
      </c>
      <c r="C213" s="7" t="s">
        <v>1331</v>
      </c>
      <c r="D213" s="7" t="s">
        <v>1332</v>
      </c>
      <c r="E213" s="7" t="s">
        <v>1333</v>
      </c>
      <c r="F213" s="7" t="s">
        <v>1334</v>
      </c>
      <c r="G213" s="7"/>
      <c r="H213" s="46" t="s">
        <v>249</v>
      </c>
      <c r="I213" s="7" t="s">
        <v>160</v>
      </c>
      <c r="J213" s="7" t="s">
        <v>148</v>
      </c>
      <c r="K213" s="7"/>
      <c r="L213" s="7"/>
      <c r="M213" s="7"/>
    </row>
    <row r="214" ht="15.75" customHeight="1">
      <c r="A214" s="7" t="s">
        <v>1335</v>
      </c>
      <c r="B214" s="45" t="s">
        <v>1336</v>
      </c>
      <c r="C214" s="7" t="s">
        <v>1337</v>
      </c>
      <c r="D214" s="7" t="s">
        <v>1338</v>
      </c>
      <c r="E214" s="7" t="s">
        <v>1339</v>
      </c>
      <c r="F214" s="7" t="s">
        <v>1340</v>
      </c>
      <c r="G214" s="7"/>
      <c r="H214" s="46" t="s">
        <v>249</v>
      </c>
      <c r="I214" s="7" t="s">
        <v>160</v>
      </c>
      <c r="J214" s="7" t="s">
        <v>148</v>
      </c>
      <c r="K214" s="7"/>
      <c r="L214" s="7"/>
      <c r="M214" s="7"/>
    </row>
    <row r="215" ht="15.75" customHeight="1">
      <c r="A215" s="7" t="s">
        <v>1341</v>
      </c>
      <c r="B215" s="45" t="s">
        <v>1342</v>
      </c>
      <c r="C215" s="7" t="s">
        <v>1343</v>
      </c>
      <c r="D215" s="7" t="s">
        <v>1344</v>
      </c>
      <c r="E215" s="7" t="s">
        <v>1333</v>
      </c>
      <c r="F215" s="7" t="s">
        <v>1334</v>
      </c>
      <c r="G215" s="7" t="s">
        <v>1345</v>
      </c>
      <c r="H215" s="46" t="s">
        <v>249</v>
      </c>
      <c r="I215" s="7" t="s">
        <v>160</v>
      </c>
      <c r="J215" s="7" t="s">
        <v>148</v>
      </c>
      <c r="K215" s="7"/>
      <c r="L215" s="7"/>
      <c r="M215" s="7"/>
    </row>
    <row r="216" ht="15.75" customHeight="1">
      <c r="A216" s="7" t="s">
        <v>1346</v>
      </c>
      <c r="B216" s="45" t="s">
        <v>1347</v>
      </c>
      <c r="C216" s="7" t="s">
        <v>1348</v>
      </c>
      <c r="D216" s="7" t="s">
        <v>1349</v>
      </c>
      <c r="E216" s="7" t="s">
        <v>1350</v>
      </c>
      <c r="F216" s="7" t="s">
        <v>1351</v>
      </c>
      <c r="G216" s="7"/>
      <c r="H216" s="46" t="s">
        <v>249</v>
      </c>
      <c r="I216" s="7" t="s">
        <v>160</v>
      </c>
      <c r="J216" s="7" t="s">
        <v>148</v>
      </c>
      <c r="K216" s="7"/>
      <c r="L216" s="7"/>
      <c r="M216" s="7"/>
    </row>
    <row r="217" ht="15.75" customHeight="1">
      <c r="A217" s="7" t="s">
        <v>1352</v>
      </c>
      <c r="B217" s="45" t="s">
        <v>1353</v>
      </c>
      <c r="C217" s="7" t="s">
        <v>1354</v>
      </c>
      <c r="D217" s="7" t="s">
        <v>1355</v>
      </c>
      <c r="E217" s="7" t="s">
        <v>1356</v>
      </c>
      <c r="F217" s="7" t="s">
        <v>1357</v>
      </c>
      <c r="G217" s="7"/>
      <c r="H217" s="46" t="s">
        <v>249</v>
      </c>
      <c r="I217" s="7" t="s">
        <v>160</v>
      </c>
      <c r="J217" s="7" t="s">
        <v>148</v>
      </c>
      <c r="K217" s="7"/>
      <c r="L217" s="7"/>
      <c r="M217" s="7"/>
    </row>
    <row r="218" ht="15.75" customHeight="1">
      <c r="A218" s="7" t="s">
        <v>1358</v>
      </c>
      <c r="B218" s="45" t="s">
        <v>1359</v>
      </c>
      <c r="C218" s="7" t="s">
        <v>1360</v>
      </c>
      <c r="D218" s="7" t="s">
        <v>444</v>
      </c>
      <c r="E218" s="7" t="s">
        <v>1361</v>
      </c>
      <c r="F218" s="7" t="s">
        <v>446</v>
      </c>
      <c r="G218" s="7"/>
      <c r="H218" s="46" t="s">
        <v>249</v>
      </c>
      <c r="I218" s="7" t="s">
        <v>160</v>
      </c>
      <c r="J218" s="7" t="s">
        <v>148</v>
      </c>
      <c r="K218" s="7"/>
      <c r="L218" s="7"/>
      <c r="M218" s="7"/>
    </row>
    <row r="219" ht="15.75" customHeight="1">
      <c r="A219" s="7" t="s">
        <v>1362</v>
      </c>
      <c r="B219" s="45" t="s">
        <v>1363</v>
      </c>
      <c r="C219" s="7" t="s">
        <v>1360</v>
      </c>
      <c r="D219" s="7" t="s">
        <v>1364</v>
      </c>
      <c r="E219" s="7" t="s">
        <v>1365</v>
      </c>
      <c r="F219" s="7" t="s">
        <v>446</v>
      </c>
      <c r="G219" s="7"/>
      <c r="H219" s="46" t="s">
        <v>249</v>
      </c>
      <c r="I219" s="7" t="s">
        <v>160</v>
      </c>
      <c r="J219" s="7" t="s">
        <v>148</v>
      </c>
      <c r="K219" s="7"/>
      <c r="L219" s="7"/>
      <c r="M219" s="7"/>
    </row>
    <row r="220" ht="15.75" customHeight="1">
      <c r="A220" s="7" t="s">
        <v>1366</v>
      </c>
      <c r="B220" s="45" t="s">
        <v>1367</v>
      </c>
      <c r="C220" s="7" t="s">
        <v>1368</v>
      </c>
      <c r="D220" s="7" t="s">
        <v>1369</v>
      </c>
      <c r="E220" s="7" t="s">
        <v>1370</v>
      </c>
      <c r="F220" s="7" t="s">
        <v>1371</v>
      </c>
      <c r="G220" s="7"/>
      <c r="H220" s="46" t="s">
        <v>249</v>
      </c>
      <c r="I220" s="7" t="s">
        <v>160</v>
      </c>
      <c r="J220" s="7" t="s">
        <v>148</v>
      </c>
      <c r="K220" s="7"/>
      <c r="L220" s="7"/>
      <c r="M220" s="7"/>
    </row>
    <row r="221" ht="15.75" customHeight="1">
      <c r="A221" s="7" t="s">
        <v>1372</v>
      </c>
      <c r="B221" s="45" t="s">
        <v>1373</v>
      </c>
      <c r="C221" s="7" t="s">
        <v>1374</v>
      </c>
      <c r="D221" s="7" t="s">
        <v>1375</v>
      </c>
      <c r="E221" s="7" t="s">
        <v>1376</v>
      </c>
      <c r="F221" s="7" t="s">
        <v>1377</v>
      </c>
      <c r="G221" s="7"/>
      <c r="H221" s="46" t="s">
        <v>249</v>
      </c>
      <c r="I221" s="7" t="s">
        <v>160</v>
      </c>
      <c r="J221" s="7" t="s">
        <v>148</v>
      </c>
      <c r="K221" s="7"/>
      <c r="L221" s="7"/>
      <c r="M221" s="7"/>
    </row>
    <row r="222" ht="15.75" customHeight="1">
      <c r="A222" s="7" t="s">
        <v>1378</v>
      </c>
      <c r="B222" s="45" t="s">
        <v>1379</v>
      </c>
      <c r="C222" s="7" t="s">
        <v>1374</v>
      </c>
      <c r="D222" s="7" t="s">
        <v>1380</v>
      </c>
      <c r="E222" s="7" t="s">
        <v>1376</v>
      </c>
      <c r="F222" s="7" t="s">
        <v>1377</v>
      </c>
      <c r="G222" s="7"/>
      <c r="H222" s="46" t="s">
        <v>249</v>
      </c>
      <c r="I222" s="7" t="s">
        <v>160</v>
      </c>
      <c r="J222" s="7" t="s">
        <v>148</v>
      </c>
      <c r="K222" s="7"/>
      <c r="L222" s="7"/>
      <c r="M222" s="7"/>
    </row>
    <row r="223" ht="15.75" customHeight="1">
      <c r="A223" s="7" t="s">
        <v>1381</v>
      </c>
      <c r="B223" s="45" t="s">
        <v>1382</v>
      </c>
      <c r="C223" s="7" t="s">
        <v>1383</v>
      </c>
      <c r="D223" s="7" t="s">
        <v>1384</v>
      </c>
      <c r="E223" s="7" t="s">
        <v>1385</v>
      </c>
      <c r="F223" s="7" t="s">
        <v>1386</v>
      </c>
      <c r="G223" s="7"/>
      <c r="H223" s="46" t="s">
        <v>249</v>
      </c>
      <c r="I223" s="7" t="s">
        <v>160</v>
      </c>
      <c r="J223" s="7" t="s">
        <v>148</v>
      </c>
      <c r="K223" s="7"/>
      <c r="L223" s="7"/>
      <c r="M223" s="7"/>
    </row>
    <row r="224" ht="15.75" customHeight="1">
      <c r="A224" s="7" t="s">
        <v>1387</v>
      </c>
      <c r="B224" s="45" t="s">
        <v>1388</v>
      </c>
      <c r="C224" s="7" t="s">
        <v>1389</v>
      </c>
      <c r="D224" s="7" t="s">
        <v>1390</v>
      </c>
      <c r="E224" s="7" t="s">
        <v>1391</v>
      </c>
      <c r="F224" s="7" t="s">
        <v>1392</v>
      </c>
      <c r="G224" s="7"/>
      <c r="H224" s="46" t="s">
        <v>249</v>
      </c>
      <c r="I224" s="7" t="s">
        <v>160</v>
      </c>
      <c r="J224" s="7" t="s">
        <v>148</v>
      </c>
      <c r="K224" s="7"/>
      <c r="L224" s="7"/>
      <c r="M224" s="7"/>
    </row>
    <row r="225" ht="15.75" customHeight="1">
      <c r="A225" s="7" t="s">
        <v>1393</v>
      </c>
      <c r="B225" s="45" t="s">
        <v>1394</v>
      </c>
      <c r="C225" s="7" t="s">
        <v>1389</v>
      </c>
      <c r="D225" s="7" t="s">
        <v>1395</v>
      </c>
      <c r="E225" s="7" t="s">
        <v>1396</v>
      </c>
      <c r="F225" s="7" t="s">
        <v>1397</v>
      </c>
      <c r="G225" s="7"/>
      <c r="H225" s="46" t="s">
        <v>249</v>
      </c>
      <c r="I225" s="7" t="s">
        <v>160</v>
      </c>
      <c r="J225" s="7" t="s">
        <v>148</v>
      </c>
      <c r="K225" s="7"/>
      <c r="L225" s="7"/>
      <c r="M225" s="7"/>
    </row>
    <row r="226" ht="15.75" customHeight="1">
      <c r="A226" s="7" t="s">
        <v>1398</v>
      </c>
      <c r="B226" s="45" t="s">
        <v>1399</v>
      </c>
      <c r="C226" s="7" t="s">
        <v>1389</v>
      </c>
      <c r="D226" s="7" t="s">
        <v>1400</v>
      </c>
      <c r="E226" s="7" t="s">
        <v>1401</v>
      </c>
      <c r="F226" s="7" t="s">
        <v>1392</v>
      </c>
      <c r="G226" s="7"/>
      <c r="H226" s="46" t="s">
        <v>249</v>
      </c>
      <c r="I226" s="7" t="s">
        <v>160</v>
      </c>
      <c r="J226" s="7" t="s">
        <v>148</v>
      </c>
      <c r="K226" s="7"/>
      <c r="L226" s="7"/>
      <c r="M226" s="7"/>
    </row>
    <row r="227" ht="15.75" customHeight="1">
      <c r="A227" s="7" t="s">
        <v>1402</v>
      </c>
      <c r="B227" s="45" t="s">
        <v>1403</v>
      </c>
      <c r="C227" s="7" t="s">
        <v>1404</v>
      </c>
      <c r="D227" s="7" t="s">
        <v>1405</v>
      </c>
      <c r="E227" s="7" t="s">
        <v>1406</v>
      </c>
      <c r="F227" s="7" t="s">
        <v>1407</v>
      </c>
      <c r="G227" s="7"/>
      <c r="H227" s="46" t="s">
        <v>249</v>
      </c>
      <c r="I227" s="7" t="s">
        <v>160</v>
      </c>
      <c r="J227" s="7" t="s">
        <v>148</v>
      </c>
      <c r="K227" s="7"/>
      <c r="L227" s="7"/>
      <c r="M227" s="7"/>
    </row>
    <row r="228" ht="15.75" customHeight="1">
      <c r="A228" s="7" t="s">
        <v>1408</v>
      </c>
      <c r="B228" s="45" t="s">
        <v>1409</v>
      </c>
      <c r="C228" s="7" t="s">
        <v>1410</v>
      </c>
      <c r="D228" s="7" t="s">
        <v>1411</v>
      </c>
      <c r="E228" s="7" t="s">
        <v>1412</v>
      </c>
      <c r="F228" s="7" t="s">
        <v>1413</v>
      </c>
      <c r="G228" s="7" t="s">
        <v>1414</v>
      </c>
      <c r="H228" s="46" t="s">
        <v>249</v>
      </c>
      <c r="I228" s="7" t="s">
        <v>160</v>
      </c>
      <c r="J228" s="7" t="s">
        <v>148</v>
      </c>
      <c r="K228" s="7"/>
      <c r="L228" s="7"/>
      <c r="M228" s="7"/>
    </row>
    <row r="229" ht="15.75" customHeight="1">
      <c r="A229" s="7" t="s">
        <v>1415</v>
      </c>
      <c r="B229" s="45" t="s">
        <v>1416</v>
      </c>
      <c r="C229" s="7" t="s">
        <v>1417</v>
      </c>
      <c r="D229" s="7" t="s">
        <v>1418</v>
      </c>
      <c r="E229" s="7" t="s">
        <v>1419</v>
      </c>
      <c r="F229" s="7" t="s">
        <v>1420</v>
      </c>
      <c r="G229" s="7"/>
      <c r="H229" s="46" t="s">
        <v>249</v>
      </c>
      <c r="I229" s="7" t="s">
        <v>160</v>
      </c>
      <c r="J229" s="7" t="s">
        <v>148</v>
      </c>
      <c r="K229" s="7"/>
      <c r="L229" s="7"/>
      <c r="M229" s="7"/>
    </row>
    <row r="230" ht="15.75" customHeight="1">
      <c r="A230" s="7" t="s">
        <v>1421</v>
      </c>
      <c r="B230" s="45" t="s">
        <v>1422</v>
      </c>
      <c r="C230" s="7" t="s">
        <v>1423</v>
      </c>
      <c r="D230" s="7" t="s">
        <v>1424</v>
      </c>
      <c r="E230" s="7" t="s">
        <v>1425</v>
      </c>
      <c r="F230" s="7" t="s">
        <v>1426</v>
      </c>
      <c r="G230" s="7"/>
      <c r="H230" s="46" t="s">
        <v>249</v>
      </c>
      <c r="I230" s="7" t="s">
        <v>160</v>
      </c>
      <c r="J230" s="7" t="s">
        <v>148</v>
      </c>
      <c r="K230" s="7"/>
      <c r="L230" s="7"/>
      <c r="M230" s="7"/>
    </row>
    <row r="231" ht="15.75" customHeight="1">
      <c r="A231" s="7" t="s">
        <v>1427</v>
      </c>
      <c r="B231" s="45" t="s">
        <v>1428</v>
      </c>
      <c r="C231" s="7" t="s">
        <v>1423</v>
      </c>
      <c r="D231" s="7" t="s">
        <v>1429</v>
      </c>
      <c r="E231" s="7" t="s">
        <v>1430</v>
      </c>
      <c r="F231" s="7" t="s">
        <v>1426</v>
      </c>
      <c r="G231" s="7"/>
      <c r="H231" s="46" t="s">
        <v>249</v>
      </c>
      <c r="I231" s="7" t="s">
        <v>160</v>
      </c>
      <c r="J231" s="7" t="s">
        <v>148</v>
      </c>
      <c r="K231" s="7"/>
      <c r="L231" s="7"/>
      <c r="M231" s="7"/>
    </row>
    <row r="232" ht="15.75" customHeight="1">
      <c r="A232" s="7" t="s">
        <v>1431</v>
      </c>
      <c r="B232" s="45" t="s">
        <v>1432</v>
      </c>
      <c r="C232" s="7" t="s">
        <v>1423</v>
      </c>
      <c r="D232" s="7" t="s">
        <v>1433</v>
      </c>
      <c r="E232" s="7" t="s">
        <v>1434</v>
      </c>
      <c r="F232" s="7" t="s">
        <v>1426</v>
      </c>
      <c r="G232" s="7"/>
      <c r="H232" s="46" t="s">
        <v>249</v>
      </c>
      <c r="I232" s="7" t="s">
        <v>160</v>
      </c>
      <c r="J232" s="7" t="s">
        <v>148</v>
      </c>
      <c r="K232" s="7"/>
      <c r="L232" s="7"/>
      <c r="M232" s="7"/>
    </row>
    <row r="233" ht="15.75" customHeight="1">
      <c r="A233" s="7" t="s">
        <v>1435</v>
      </c>
      <c r="B233" s="45" t="s">
        <v>1436</v>
      </c>
      <c r="C233" s="7" t="s">
        <v>1437</v>
      </c>
      <c r="D233" s="7" t="s">
        <v>1438</v>
      </c>
      <c r="E233" s="7" t="s">
        <v>1439</v>
      </c>
      <c r="F233" s="7" t="s">
        <v>1440</v>
      </c>
      <c r="G233" s="7"/>
      <c r="H233" s="46" t="s">
        <v>249</v>
      </c>
      <c r="I233" s="7" t="s">
        <v>160</v>
      </c>
      <c r="J233" s="7" t="s">
        <v>148</v>
      </c>
      <c r="K233" s="7"/>
      <c r="L233" s="7"/>
      <c r="M233" s="7"/>
    </row>
    <row r="234" ht="15.75" customHeight="1">
      <c r="A234" s="7" t="s">
        <v>1441</v>
      </c>
      <c r="B234" s="45" t="s">
        <v>1442</v>
      </c>
      <c r="C234" s="7" t="s">
        <v>1443</v>
      </c>
      <c r="D234" s="7" t="s">
        <v>1444</v>
      </c>
      <c r="E234" s="7" t="s">
        <v>1445</v>
      </c>
      <c r="F234" s="7" t="s">
        <v>1446</v>
      </c>
      <c r="G234" s="7"/>
      <c r="H234" s="46" t="s">
        <v>249</v>
      </c>
      <c r="I234" s="7" t="s">
        <v>160</v>
      </c>
      <c r="J234" s="7" t="s">
        <v>148</v>
      </c>
      <c r="K234" s="7"/>
      <c r="L234" s="7"/>
      <c r="M234" s="7"/>
    </row>
    <row r="235" ht="15.75" customHeight="1">
      <c r="A235" s="7" t="s">
        <v>1447</v>
      </c>
      <c r="B235" s="45" t="s">
        <v>1448</v>
      </c>
      <c r="C235" s="7" t="s">
        <v>1449</v>
      </c>
      <c r="D235" s="7" t="s">
        <v>1444</v>
      </c>
      <c r="E235" s="7" t="s">
        <v>1445</v>
      </c>
      <c r="F235" s="7" t="s">
        <v>1446</v>
      </c>
      <c r="G235" s="7"/>
      <c r="H235" s="46" t="s">
        <v>249</v>
      </c>
      <c r="I235" s="7" t="s">
        <v>160</v>
      </c>
      <c r="J235" s="7" t="s">
        <v>148</v>
      </c>
      <c r="K235" s="7"/>
      <c r="L235" s="7"/>
      <c r="M235" s="7"/>
    </row>
    <row r="236" ht="15.75" customHeight="1">
      <c r="A236" s="7" t="s">
        <v>1450</v>
      </c>
      <c r="B236" s="45" t="s">
        <v>1451</v>
      </c>
      <c r="C236" s="7" t="s">
        <v>1452</v>
      </c>
      <c r="D236" s="7" t="s">
        <v>1453</v>
      </c>
      <c r="E236" s="7" t="s">
        <v>1454</v>
      </c>
      <c r="F236" s="7" t="s">
        <v>1455</v>
      </c>
      <c r="G236" s="7"/>
      <c r="H236" s="46" t="s">
        <v>249</v>
      </c>
      <c r="I236" s="7" t="s">
        <v>160</v>
      </c>
      <c r="J236" s="7" t="s">
        <v>148</v>
      </c>
      <c r="K236" s="7"/>
      <c r="L236" s="7"/>
      <c r="M236" s="7"/>
    </row>
    <row r="237" ht="15.75" customHeight="1">
      <c r="A237" s="7" t="s">
        <v>1456</v>
      </c>
      <c r="B237" s="45" t="s">
        <v>1457</v>
      </c>
      <c r="C237" s="7" t="s">
        <v>1458</v>
      </c>
      <c r="D237" s="7" t="s">
        <v>1459</v>
      </c>
      <c r="E237" s="7" t="s">
        <v>1454</v>
      </c>
      <c r="F237" s="7" t="s">
        <v>1455</v>
      </c>
      <c r="G237" s="7"/>
      <c r="H237" s="46" t="s">
        <v>249</v>
      </c>
      <c r="I237" s="7" t="s">
        <v>160</v>
      </c>
      <c r="J237" s="7" t="s">
        <v>148</v>
      </c>
      <c r="K237" s="7"/>
      <c r="L237" s="7"/>
      <c r="M237" s="7"/>
    </row>
    <row r="238" ht="15.75" customHeight="1">
      <c r="A238" s="7" t="s">
        <v>1460</v>
      </c>
      <c r="B238" s="45" t="s">
        <v>1461</v>
      </c>
      <c r="C238" s="7" t="s">
        <v>1452</v>
      </c>
      <c r="D238" s="7" t="s">
        <v>1462</v>
      </c>
      <c r="E238" s="7" t="s">
        <v>1454</v>
      </c>
      <c r="F238" s="7" t="s">
        <v>1455</v>
      </c>
      <c r="G238" s="7"/>
      <c r="H238" s="46" t="s">
        <v>249</v>
      </c>
      <c r="I238" s="7" t="s">
        <v>160</v>
      </c>
      <c r="J238" s="7" t="s">
        <v>148</v>
      </c>
      <c r="K238" s="7"/>
      <c r="L238" s="7"/>
      <c r="M238" s="7"/>
    </row>
    <row r="239" ht="15.75" customHeight="1">
      <c r="A239" s="7" t="s">
        <v>1463</v>
      </c>
      <c r="B239" s="45" t="s">
        <v>1464</v>
      </c>
      <c r="C239" s="7" t="s">
        <v>1452</v>
      </c>
      <c r="D239" s="7" t="s">
        <v>1465</v>
      </c>
      <c r="E239" s="7" t="s">
        <v>1466</v>
      </c>
      <c r="F239" s="7" t="s">
        <v>1455</v>
      </c>
      <c r="G239" s="7"/>
      <c r="H239" s="46" t="s">
        <v>249</v>
      </c>
      <c r="I239" s="7" t="s">
        <v>160</v>
      </c>
      <c r="J239" s="7" t="s">
        <v>148</v>
      </c>
      <c r="K239" s="7"/>
      <c r="L239" s="7"/>
      <c r="M239" s="7"/>
    </row>
    <row r="240" ht="15.75" customHeight="1">
      <c r="A240" s="7" t="s">
        <v>1467</v>
      </c>
      <c r="B240" s="45" t="s">
        <v>1468</v>
      </c>
      <c r="C240" s="7" t="s">
        <v>1469</v>
      </c>
      <c r="D240" s="7" t="s">
        <v>1470</v>
      </c>
      <c r="E240" s="7" t="s">
        <v>1471</v>
      </c>
      <c r="F240" s="7" t="s">
        <v>1455</v>
      </c>
      <c r="G240" s="7"/>
      <c r="H240" s="46" t="s">
        <v>249</v>
      </c>
      <c r="I240" s="7" t="s">
        <v>160</v>
      </c>
      <c r="J240" s="7" t="s">
        <v>148</v>
      </c>
      <c r="K240" s="7"/>
      <c r="L240" s="7"/>
      <c r="M240" s="7"/>
    </row>
    <row r="241" ht="15.75" customHeight="1">
      <c r="A241" s="7" t="s">
        <v>1472</v>
      </c>
      <c r="B241" s="45" t="s">
        <v>1473</v>
      </c>
      <c r="C241" s="7" t="s">
        <v>1474</v>
      </c>
      <c r="D241" s="7" t="s">
        <v>1475</v>
      </c>
      <c r="E241" s="7" t="s">
        <v>1476</v>
      </c>
      <c r="F241" s="7" t="s">
        <v>1477</v>
      </c>
      <c r="G241" s="7"/>
      <c r="H241" s="46" t="s">
        <v>249</v>
      </c>
      <c r="I241" s="7" t="s">
        <v>160</v>
      </c>
      <c r="J241" s="7" t="s">
        <v>148</v>
      </c>
      <c r="K241" s="7"/>
      <c r="L241" s="7"/>
      <c r="M241" s="7"/>
    </row>
    <row r="242" ht="15.75" customHeight="1">
      <c r="A242" s="7" t="s">
        <v>1478</v>
      </c>
      <c r="B242" s="45" t="s">
        <v>1479</v>
      </c>
      <c r="C242" s="7" t="s">
        <v>1480</v>
      </c>
      <c r="D242" s="7" t="s">
        <v>1481</v>
      </c>
      <c r="E242" s="7" t="s">
        <v>1476</v>
      </c>
      <c r="F242" s="7" t="s">
        <v>1477</v>
      </c>
      <c r="G242" s="7"/>
      <c r="H242" s="46" t="s">
        <v>249</v>
      </c>
      <c r="I242" s="7" t="s">
        <v>160</v>
      </c>
      <c r="J242" s="7" t="s">
        <v>148</v>
      </c>
      <c r="K242" s="7"/>
      <c r="L242" s="7"/>
      <c r="M242" s="7"/>
    </row>
    <row r="243" ht="15.75" customHeight="1">
      <c r="A243" s="7" t="s">
        <v>1482</v>
      </c>
      <c r="B243" s="45" t="s">
        <v>1483</v>
      </c>
      <c r="C243" s="7" t="s">
        <v>1484</v>
      </c>
      <c r="D243" s="7" t="s">
        <v>1485</v>
      </c>
      <c r="E243" s="7" t="s">
        <v>1486</v>
      </c>
      <c r="F243" s="7" t="s">
        <v>1487</v>
      </c>
      <c r="G243" s="7"/>
      <c r="H243" s="46" t="s">
        <v>249</v>
      </c>
      <c r="I243" s="7" t="s">
        <v>160</v>
      </c>
      <c r="J243" s="7" t="s">
        <v>148</v>
      </c>
      <c r="K243" s="7"/>
      <c r="L243" s="7"/>
      <c r="M243" s="7"/>
    </row>
    <row r="244" ht="15.75" customHeight="1">
      <c r="A244" s="7" t="s">
        <v>1488</v>
      </c>
      <c r="B244" s="45" t="s">
        <v>1489</v>
      </c>
      <c r="C244" s="7" t="s">
        <v>1490</v>
      </c>
      <c r="D244" s="7" t="s">
        <v>1491</v>
      </c>
      <c r="E244" s="7" t="s">
        <v>1492</v>
      </c>
      <c r="F244" s="7" t="s">
        <v>1493</v>
      </c>
      <c r="G244" s="7"/>
      <c r="H244" s="46" t="s">
        <v>249</v>
      </c>
      <c r="I244" s="7" t="s">
        <v>160</v>
      </c>
      <c r="J244" s="7" t="s">
        <v>148</v>
      </c>
      <c r="K244" s="7"/>
      <c r="L244" s="7"/>
      <c r="M244" s="7"/>
    </row>
    <row r="245" ht="15.75" customHeight="1">
      <c r="A245" s="7" t="s">
        <v>1494</v>
      </c>
      <c r="B245" s="45" t="s">
        <v>1495</v>
      </c>
      <c r="C245" s="7" t="s">
        <v>1496</v>
      </c>
      <c r="D245" s="7" t="s">
        <v>1497</v>
      </c>
      <c r="E245" s="7" t="s">
        <v>1498</v>
      </c>
      <c r="F245" s="7" t="s">
        <v>1499</v>
      </c>
      <c r="G245" s="7"/>
      <c r="H245" s="46" t="s">
        <v>249</v>
      </c>
      <c r="I245" s="7" t="s">
        <v>160</v>
      </c>
      <c r="J245" s="7" t="s">
        <v>148</v>
      </c>
      <c r="K245" s="7"/>
      <c r="L245" s="7"/>
      <c r="M245" s="7"/>
    </row>
    <row r="246" ht="15.75" customHeight="1">
      <c r="A246" s="7" t="s">
        <v>1500</v>
      </c>
      <c r="B246" s="45" t="s">
        <v>1501</v>
      </c>
      <c r="C246" s="7" t="s">
        <v>1502</v>
      </c>
      <c r="D246" s="7" t="s">
        <v>1503</v>
      </c>
      <c r="E246" s="7" t="s">
        <v>1504</v>
      </c>
      <c r="F246" s="7" t="s">
        <v>1505</v>
      </c>
      <c r="G246" s="7"/>
      <c r="H246" s="46" t="s">
        <v>249</v>
      </c>
      <c r="I246" s="7" t="s">
        <v>160</v>
      </c>
      <c r="J246" s="7" t="s">
        <v>148</v>
      </c>
      <c r="K246" s="7"/>
      <c r="L246" s="7"/>
      <c r="M246" s="7"/>
    </row>
    <row r="247" ht="15.75" customHeight="1">
      <c r="A247" s="7" t="s">
        <v>1506</v>
      </c>
      <c r="B247" s="45" t="s">
        <v>1507</v>
      </c>
      <c r="C247" s="7" t="s">
        <v>1389</v>
      </c>
      <c r="D247" s="7" t="s">
        <v>1508</v>
      </c>
      <c r="E247" s="7" t="s">
        <v>1509</v>
      </c>
      <c r="F247" s="7" t="s">
        <v>1392</v>
      </c>
      <c r="G247" s="7"/>
      <c r="H247" s="46" t="s">
        <v>249</v>
      </c>
      <c r="I247" s="7" t="s">
        <v>160</v>
      </c>
      <c r="J247" s="7" t="s">
        <v>148</v>
      </c>
      <c r="K247" s="7"/>
      <c r="L247" s="7"/>
      <c r="M247" s="7"/>
    </row>
    <row r="248" ht="15.75" customHeight="1">
      <c r="A248" s="7" t="s">
        <v>1510</v>
      </c>
      <c r="B248" s="45" t="s">
        <v>1511</v>
      </c>
      <c r="C248" s="7" t="s">
        <v>1512</v>
      </c>
      <c r="D248" s="7" t="s">
        <v>1513</v>
      </c>
      <c r="E248" s="7" t="s">
        <v>1514</v>
      </c>
      <c r="F248" s="7" t="s">
        <v>1515</v>
      </c>
      <c r="G248" s="7"/>
      <c r="H248" s="46" t="s">
        <v>249</v>
      </c>
      <c r="I248" s="7" t="s">
        <v>160</v>
      </c>
      <c r="J248" s="7" t="s">
        <v>148</v>
      </c>
      <c r="K248" s="7"/>
      <c r="L248" s="7"/>
      <c r="M248" s="7"/>
    </row>
    <row r="249" ht="15.75" customHeight="1">
      <c r="A249" s="7" t="s">
        <v>1516</v>
      </c>
      <c r="B249" s="45" t="s">
        <v>1517</v>
      </c>
      <c r="C249" s="7" t="s">
        <v>1518</v>
      </c>
      <c r="D249" s="7" t="s">
        <v>1519</v>
      </c>
      <c r="E249" s="7" t="s">
        <v>1520</v>
      </c>
      <c r="F249" s="7" t="s">
        <v>1521</v>
      </c>
      <c r="G249" s="7" t="s">
        <v>1522</v>
      </c>
      <c r="H249" s="46" t="s">
        <v>249</v>
      </c>
      <c r="I249" s="7" t="s">
        <v>160</v>
      </c>
      <c r="J249" s="7" t="s">
        <v>148</v>
      </c>
      <c r="K249" s="7"/>
      <c r="L249" s="7"/>
      <c r="M249" s="7"/>
    </row>
    <row r="250" ht="15.75" customHeight="1">
      <c r="A250" s="7" t="s">
        <v>1523</v>
      </c>
      <c r="B250" s="45" t="s">
        <v>1524</v>
      </c>
      <c r="C250" s="7" t="s">
        <v>1525</v>
      </c>
      <c r="D250" s="7" t="s">
        <v>1526</v>
      </c>
      <c r="E250" s="7" t="s">
        <v>1527</v>
      </c>
      <c r="F250" s="7" t="s">
        <v>1528</v>
      </c>
      <c r="G250" s="7"/>
      <c r="H250" s="46" t="s">
        <v>249</v>
      </c>
      <c r="I250" s="7" t="s">
        <v>160</v>
      </c>
      <c r="J250" s="7" t="s">
        <v>148</v>
      </c>
      <c r="K250" s="7"/>
      <c r="L250" s="7"/>
      <c r="M250" s="7"/>
    </row>
    <row r="251" ht="15.75" customHeight="1">
      <c r="A251" s="7" t="s">
        <v>1529</v>
      </c>
      <c r="B251" s="45" t="s">
        <v>1530</v>
      </c>
      <c r="C251" s="7" t="s">
        <v>1525</v>
      </c>
      <c r="D251" s="7" t="s">
        <v>1531</v>
      </c>
      <c r="E251" s="7" t="s">
        <v>1527</v>
      </c>
      <c r="F251" s="7" t="s">
        <v>1528</v>
      </c>
      <c r="G251" s="7"/>
      <c r="H251" s="46" t="s">
        <v>249</v>
      </c>
      <c r="I251" s="7" t="s">
        <v>160</v>
      </c>
      <c r="J251" s="7" t="s">
        <v>148</v>
      </c>
      <c r="K251" s="7"/>
      <c r="L251" s="7"/>
      <c r="M251" s="7"/>
    </row>
    <row r="252" ht="15.75" customHeight="1">
      <c r="A252" s="7" t="s">
        <v>1532</v>
      </c>
      <c r="B252" s="45" t="s">
        <v>1533</v>
      </c>
      <c r="C252" s="7" t="s">
        <v>1534</v>
      </c>
      <c r="D252" s="7" t="s">
        <v>1535</v>
      </c>
      <c r="E252" s="7" t="s">
        <v>1527</v>
      </c>
      <c r="F252" s="7" t="s">
        <v>1528</v>
      </c>
      <c r="G252" s="7" t="s">
        <v>1536</v>
      </c>
      <c r="H252" s="46" t="s">
        <v>249</v>
      </c>
      <c r="I252" s="7" t="s">
        <v>160</v>
      </c>
      <c r="J252" s="7" t="s">
        <v>148</v>
      </c>
      <c r="K252" s="7"/>
      <c r="L252" s="7"/>
      <c r="M252" s="7"/>
    </row>
    <row r="253" ht="15.75" customHeight="1">
      <c r="A253" s="7" t="s">
        <v>1537</v>
      </c>
      <c r="B253" s="45" t="s">
        <v>1538</v>
      </c>
      <c r="C253" s="7" t="s">
        <v>1525</v>
      </c>
      <c r="D253" s="7" t="s">
        <v>1539</v>
      </c>
      <c r="E253" s="7" t="s">
        <v>1527</v>
      </c>
      <c r="F253" s="7" t="s">
        <v>1528</v>
      </c>
      <c r="G253" s="7"/>
      <c r="H253" s="46" t="s">
        <v>249</v>
      </c>
      <c r="I253" s="7" t="s">
        <v>160</v>
      </c>
      <c r="J253" s="7" t="s">
        <v>148</v>
      </c>
      <c r="K253" s="7"/>
      <c r="L253" s="7"/>
      <c r="M253" s="7"/>
    </row>
    <row r="254" ht="15.75" customHeight="1">
      <c r="A254" s="7" t="s">
        <v>1540</v>
      </c>
      <c r="B254" s="45" t="s">
        <v>1541</v>
      </c>
      <c r="C254" s="7" t="s">
        <v>1542</v>
      </c>
      <c r="D254" s="7" t="s">
        <v>1543</v>
      </c>
      <c r="E254" s="7" t="s">
        <v>1544</v>
      </c>
      <c r="F254" s="7" t="s">
        <v>1545</v>
      </c>
      <c r="G254" s="7"/>
      <c r="H254" s="46" t="s">
        <v>249</v>
      </c>
      <c r="I254" s="7" t="s">
        <v>160</v>
      </c>
      <c r="J254" s="7" t="s">
        <v>148</v>
      </c>
      <c r="K254" s="7"/>
      <c r="L254" s="7"/>
      <c r="M254" s="7"/>
    </row>
    <row r="255" ht="15.75" customHeight="1">
      <c r="A255" s="7" t="s">
        <v>1546</v>
      </c>
      <c r="B255" s="45" t="s">
        <v>1547</v>
      </c>
      <c r="C255" s="7" t="s">
        <v>1548</v>
      </c>
      <c r="D255" s="7" t="s">
        <v>1549</v>
      </c>
      <c r="E255" s="7" t="s">
        <v>1550</v>
      </c>
      <c r="F255" s="7" t="s">
        <v>1551</v>
      </c>
      <c r="G255" s="7"/>
      <c r="H255" s="46" t="s">
        <v>249</v>
      </c>
      <c r="I255" s="7" t="s">
        <v>160</v>
      </c>
      <c r="J255" s="7" t="s">
        <v>148</v>
      </c>
      <c r="K255" s="7"/>
      <c r="L255" s="7"/>
      <c r="M255" s="7"/>
    </row>
    <row r="256" ht="15.75" customHeight="1">
      <c r="A256" s="7" t="s">
        <v>1552</v>
      </c>
      <c r="B256" s="45" t="s">
        <v>1553</v>
      </c>
      <c r="C256" s="7" t="s">
        <v>1554</v>
      </c>
      <c r="D256" s="7" t="s">
        <v>1555</v>
      </c>
      <c r="E256" s="7" t="s">
        <v>1556</v>
      </c>
      <c r="F256" s="7" t="s">
        <v>1557</v>
      </c>
      <c r="G256" s="7"/>
      <c r="H256" s="46" t="s">
        <v>249</v>
      </c>
      <c r="I256" s="7" t="s">
        <v>160</v>
      </c>
      <c r="J256" s="7" t="s">
        <v>148</v>
      </c>
      <c r="K256" s="7"/>
      <c r="L256" s="7"/>
      <c r="M256" s="7"/>
    </row>
    <row r="257" ht="15.75" customHeight="1">
      <c r="A257" s="7" t="s">
        <v>1558</v>
      </c>
      <c r="B257" s="45" t="s">
        <v>1559</v>
      </c>
      <c r="C257" s="7" t="s">
        <v>1560</v>
      </c>
      <c r="D257" s="7" t="s">
        <v>1561</v>
      </c>
      <c r="E257" s="7" t="s">
        <v>1562</v>
      </c>
      <c r="F257" s="7" t="s">
        <v>1563</v>
      </c>
      <c r="G257" s="7"/>
      <c r="H257" s="46" t="s">
        <v>249</v>
      </c>
      <c r="I257" s="7" t="s">
        <v>160</v>
      </c>
      <c r="J257" s="7" t="s">
        <v>148</v>
      </c>
      <c r="K257" s="7"/>
      <c r="L257" s="7"/>
      <c r="M257" s="7"/>
    </row>
    <row r="258" ht="15.75" customHeight="1">
      <c r="A258" s="7" t="s">
        <v>1564</v>
      </c>
      <c r="B258" s="45" t="s">
        <v>1565</v>
      </c>
      <c r="C258" s="7" t="s">
        <v>1566</v>
      </c>
      <c r="D258" s="7" t="s">
        <v>1567</v>
      </c>
      <c r="E258" s="7" t="s">
        <v>1568</v>
      </c>
      <c r="F258" s="7" t="s">
        <v>1569</v>
      </c>
      <c r="G258" s="7"/>
      <c r="H258" s="46" t="s">
        <v>249</v>
      </c>
      <c r="I258" s="7" t="s">
        <v>160</v>
      </c>
      <c r="J258" s="7" t="s">
        <v>148</v>
      </c>
      <c r="K258" s="7"/>
      <c r="L258" s="7"/>
      <c r="M258" s="7"/>
    </row>
    <row r="259" ht="15.75" customHeight="1">
      <c r="A259" s="7" t="s">
        <v>1570</v>
      </c>
      <c r="B259" s="45" t="s">
        <v>1571</v>
      </c>
      <c r="C259" s="7" t="s">
        <v>1572</v>
      </c>
      <c r="D259" s="7" t="s">
        <v>1573</v>
      </c>
      <c r="E259" s="7" t="s">
        <v>1574</v>
      </c>
      <c r="F259" s="7" t="s">
        <v>1575</v>
      </c>
      <c r="G259" s="7"/>
      <c r="H259" s="46" t="s">
        <v>249</v>
      </c>
      <c r="I259" s="7" t="s">
        <v>160</v>
      </c>
      <c r="J259" s="7" t="s">
        <v>148</v>
      </c>
      <c r="K259" s="7"/>
      <c r="L259" s="7"/>
      <c r="M259" s="7"/>
    </row>
    <row r="260" ht="15.75" customHeight="1">
      <c r="A260" s="7" t="s">
        <v>1576</v>
      </c>
      <c r="B260" s="45" t="s">
        <v>1577</v>
      </c>
      <c r="C260" s="7" t="s">
        <v>1578</v>
      </c>
      <c r="D260" s="7" t="s">
        <v>1579</v>
      </c>
      <c r="E260" s="7" t="s">
        <v>1580</v>
      </c>
      <c r="F260" s="7" t="s">
        <v>1581</v>
      </c>
      <c r="G260" s="7"/>
      <c r="H260" s="46" t="s">
        <v>249</v>
      </c>
      <c r="I260" s="7" t="s">
        <v>160</v>
      </c>
      <c r="J260" s="7" t="s">
        <v>148</v>
      </c>
      <c r="K260" s="7"/>
      <c r="L260" s="7"/>
      <c r="M260" s="7"/>
    </row>
    <row r="261" ht="15.75" customHeight="1">
      <c r="A261" s="7" t="s">
        <v>1582</v>
      </c>
      <c r="B261" s="45" t="s">
        <v>1583</v>
      </c>
      <c r="C261" s="7" t="s">
        <v>1584</v>
      </c>
      <c r="D261" s="7" t="s">
        <v>1585</v>
      </c>
      <c r="E261" s="7" t="s">
        <v>1586</v>
      </c>
      <c r="F261" s="7" t="s">
        <v>1587</v>
      </c>
      <c r="G261" s="7"/>
      <c r="H261" s="46" t="s">
        <v>249</v>
      </c>
      <c r="I261" s="7" t="s">
        <v>160</v>
      </c>
      <c r="J261" s="7" t="s">
        <v>148</v>
      </c>
      <c r="K261" s="7"/>
      <c r="L261" s="7"/>
      <c r="M261" s="7"/>
    </row>
    <row r="262" ht="15.75" customHeight="1">
      <c r="A262" s="7" t="s">
        <v>1588</v>
      </c>
      <c r="B262" s="45" t="s">
        <v>1589</v>
      </c>
      <c r="C262" s="7" t="s">
        <v>1590</v>
      </c>
      <c r="D262" s="7" t="s">
        <v>1591</v>
      </c>
      <c r="E262" s="7" t="s">
        <v>1592</v>
      </c>
      <c r="F262" s="7" t="s">
        <v>1593</v>
      </c>
      <c r="G262" s="7"/>
      <c r="H262" s="46" t="s">
        <v>249</v>
      </c>
      <c r="I262" s="7" t="s">
        <v>160</v>
      </c>
      <c r="J262" s="7" t="s">
        <v>148</v>
      </c>
      <c r="K262" s="7"/>
      <c r="L262" s="7"/>
      <c r="M262" s="7"/>
    </row>
    <row r="263" ht="15.75" customHeight="1">
      <c r="A263" s="7" t="s">
        <v>1594</v>
      </c>
      <c r="B263" s="45" t="s">
        <v>1595</v>
      </c>
      <c r="C263" s="7" t="s">
        <v>1596</v>
      </c>
      <c r="D263" s="7" t="s">
        <v>1597</v>
      </c>
      <c r="E263" s="7" t="s">
        <v>1184</v>
      </c>
      <c r="F263" s="7" t="s">
        <v>1598</v>
      </c>
      <c r="G263" s="7"/>
      <c r="H263" s="46" t="s">
        <v>249</v>
      </c>
      <c r="I263" s="7" t="s">
        <v>160</v>
      </c>
      <c r="J263" s="7" t="s">
        <v>148</v>
      </c>
      <c r="K263" s="7"/>
      <c r="L263" s="7"/>
      <c r="M263" s="7"/>
    </row>
    <row r="264" ht="15.75" customHeight="1">
      <c r="A264" s="7" t="s">
        <v>1599</v>
      </c>
      <c r="B264" s="45" t="s">
        <v>1600</v>
      </c>
      <c r="C264" s="7" t="s">
        <v>1601</v>
      </c>
      <c r="D264" s="7" t="s">
        <v>1602</v>
      </c>
      <c r="E264" s="7" t="s">
        <v>1603</v>
      </c>
      <c r="F264" s="7" t="s">
        <v>1598</v>
      </c>
      <c r="G264" s="7"/>
      <c r="H264" s="46" t="s">
        <v>249</v>
      </c>
      <c r="I264" s="7" t="s">
        <v>160</v>
      </c>
      <c r="J264" s="7" t="s">
        <v>148</v>
      </c>
      <c r="K264" s="7"/>
      <c r="L264" s="7"/>
      <c r="M264" s="7"/>
    </row>
    <row r="265" ht="15.75" customHeight="1">
      <c r="A265" s="7" t="s">
        <v>1604</v>
      </c>
      <c r="B265" s="45" t="s">
        <v>1605</v>
      </c>
      <c r="C265" s="7" t="s">
        <v>1606</v>
      </c>
      <c r="D265" s="7" t="s">
        <v>1607</v>
      </c>
      <c r="E265" s="7" t="s">
        <v>1608</v>
      </c>
      <c r="F265" s="7" t="s">
        <v>1609</v>
      </c>
      <c r="G265" s="7"/>
      <c r="H265" s="46" t="s">
        <v>249</v>
      </c>
      <c r="I265" s="7" t="s">
        <v>160</v>
      </c>
      <c r="J265" s="7" t="s">
        <v>148</v>
      </c>
      <c r="K265" s="7"/>
      <c r="L265" s="7"/>
      <c r="M265" s="7"/>
    </row>
    <row r="266" ht="15.75" customHeight="1">
      <c r="A266" s="7" t="s">
        <v>1610</v>
      </c>
      <c r="B266" s="45" t="s">
        <v>1611</v>
      </c>
      <c r="C266" s="7" t="s">
        <v>1606</v>
      </c>
      <c r="D266" s="7" t="s">
        <v>1607</v>
      </c>
      <c r="E266" s="7" t="s">
        <v>1608</v>
      </c>
      <c r="F266" s="7" t="s">
        <v>1609</v>
      </c>
      <c r="G266" s="7"/>
      <c r="H266" s="46" t="s">
        <v>249</v>
      </c>
      <c r="I266" s="7" t="s">
        <v>160</v>
      </c>
      <c r="J266" s="7" t="s">
        <v>148</v>
      </c>
      <c r="K266" s="7"/>
      <c r="L266" s="7"/>
      <c r="M266" s="7"/>
    </row>
    <row r="267" ht="15.75" customHeight="1">
      <c r="A267" s="7" t="s">
        <v>1612</v>
      </c>
      <c r="B267" s="45" t="s">
        <v>1613</v>
      </c>
      <c r="C267" s="7" t="s">
        <v>1614</v>
      </c>
      <c r="D267" s="7" t="s">
        <v>1615</v>
      </c>
      <c r="E267" s="7" t="s">
        <v>1616</v>
      </c>
      <c r="F267" s="7" t="s">
        <v>1617</v>
      </c>
      <c r="G267" s="7" t="s">
        <v>1618</v>
      </c>
      <c r="H267" s="46" t="s">
        <v>249</v>
      </c>
      <c r="I267" s="7" t="s">
        <v>160</v>
      </c>
      <c r="J267" s="7" t="s">
        <v>148</v>
      </c>
      <c r="K267" s="7"/>
      <c r="L267" s="7"/>
      <c r="M267" s="7"/>
    </row>
    <row r="268" ht="15.75" customHeight="1">
      <c r="A268" s="7" t="s">
        <v>1619</v>
      </c>
      <c r="B268" s="45" t="s">
        <v>1620</v>
      </c>
      <c r="C268" s="7" t="s">
        <v>1614</v>
      </c>
      <c r="D268" s="7" t="s">
        <v>1615</v>
      </c>
      <c r="E268" s="7" t="s">
        <v>1616</v>
      </c>
      <c r="F268" s="7" t="s">
        <v>1617</v>
      </c>
      <c r="G268" s="7"/>
      <c r="H268" s="46" t="s">
        <v>249</v>
      </c>
      <c r="I268" s="7" t="s">
        <v>160</v>
      </c>
      <c r="J268" s="7" t="s">
        <v>148</v>
      </c>
      <c r="K268" s="7"/>
      <c r="L268" s="7"/>
      <c r="M268" s="7"/>
    </row>
    <row r="269" ht="15.75" customHeight="1">
      <c r="A269" s="7" t="s">
        <v>1621</v>
      </c>
      <c r="B269" s="45" t="s">
        <v>1622</v>
      </c>
      <c r="C269" s="7" t="s">
        <v>1623</v>
      </c>
      <c r="D269" s="7" t="s">
        <v>1624</v>
      </c>
      <c r="E269" s="7" t="s">
        <v>1625</v>
      </c>
      <c r="F269" s="7" t="s">
        <v>1626</v>
      </c>
      <c r="G269" s="7"/>
      <c r="H269" s="46" t="s">
        <v>249</v>
      </c>
      <c r="I269" s="7" t="s">
        <v>160</v>
      </c>
      <c r="J269" s="7" t="s">
        <v>148</v>
      </c>
      <c r="K269" s="7"/>
      <c r="L269" s="7"/>
      <c r="M269" s="7"/>
    </row>
    <row r="270" ht="15.75" customHeight="1">
      <c r="A270" s="7" t="s">
        <v>1627</v>
      </c>
      <c r="B270" s="45" t="s">
        <v>1628</v>
      </c>
      <c r="C270" s="7" t="s">
        <v>1629</v>
      </c>
      <c r="D270" s="7" t="s">
        <v>1630</v>
      </c>
      <c r="E270" s="7" t="s">
        <v>1631</v>
      </c>
      <c r="F270" s="7" t="s">
        <v>1632</v>
      </c>
      <c r="G270" s="7"/>
      <c r="H270" s="46" t="s">
        <v>249</v>
      </c>
      <c r="I270" s="7" t="s">
        <v>160</v>
      </c>
      <c r="J270" s="7" t="s">
        <v>148</v>
      </c>
      <c r="K270" s="7"/>
      <c r="L270" s="7"/>
      <c r="M270" s="7"/>
    </row>
    <row r="271" ht="15.75" customHeight="1">
      <c r="A271" s="7" t="s">
        <v>1633</v>
      </c>
      <c r="B271" s="45" t="s">
        <v>1634</v>
      </c>
      <c r="C271" s="7" t="s">
        <v>1635</v>
      </c>
      <c r="D271" s="7" t="s">
        <v>1636</v>
      </c>
      <c r="E271" s="7" t="s">
        <v>1637</v>
      </c>
      <c r="F271" s="7" t="s">
        <v>1638</v>
      </c>
      <c r="G271" s="7"/>
      <c r="H271" s="46" t="s">
        <v>249</v>
      </c>
      <c r="I271" s="7" t="s">
        <v>160</v>
      </c>
      <c r="J271" s="7" t="s">
        <v>148</v>
      </c>
      <c r="K271" s="7"/>
      <c r="L271" s="7"/>
      <c r="M271" s="7"/>
    </row>
    <row r="272" ht="15.75" customHeight="1">
      <c r="A272" s="7" t="s">
        <v>1639</v>
      </c>
      <c r="B272" s="45" t="s">
        <v>1640</v>
      </c>
      <c r="C272" s="7" t="s">
        <v>1641</v>
      </c>
      <c r="D272" s="7" t="s">
        <v>1642</v>
      </c>
      <c r="E272" s="7" t="s">
        <v>1643</v>
      </c>
      <c r="F272" s="7" t="s">
        <v>1644</v>
      </c>
      <c r="G272" s="7"/>
      <c r="H272" s="46" t="s">
        <v>249</v>
      </c>
      <c r="I272" s="7" t="s">
        <v>160</v>
      </c>
      <c r="J272" s="7" t="s">
        <v>148</v>
      </c>
      <c r="K272" s="7"/>
      <c r="L272" s="7"/>
      <c r="M272" s="7"/>
    </row>
    <row r="273" ht="15.75" customHeight="1">
      <c r="A273" s="7" t="s">
        <v>1645</v>
      </c>
      <c r="B273" s="45" t="s">
        <v>1646</v>
      </c>
      <c r="C273" s="7" t="s">
        <v>1647</v>
      </c>
      <c r="D273" s="7" t="s">
        <v>1648</v>
      </c>
      <c r="E273" s="7" t="s">
        <v>1649</v>
      </c>
      <c r="F273" s="7" t="s">
        <v>1650</v>
      </c>
      <c r="G273" s="7"/>
      <c r="H273" s="46" t="s">
        <v>249</v>
      </c>
      <c r="I273" s="7" t="s">
        <v>160</v>
      </c>
      <c r="J273" s="7" t="s">
        <v>148</v>
      </c>
      <c r="K273" s="7"/>
      <c r="L273" s="7"/>
      <c r="M273" s="7"/>
    </row>
    <row r="274" ht="15.75" customHeight="1">
      <c r="A274" s="7" t="s">
        <v>1651</v>
      </c>
      <c r="B274" s="45" t="s">
        <v>1652</v>
      </c>
      <c r="C274" s="7" t="s">
        <v>1653</v>
      </c>
      <c r="D274" s="7" t="s">
        <v>1654</v>
      </c>
      <c r="E274" s="7" t="s">
        <v>1655</v>
      </c>
      <c r="F274" s="7" t="s">
        <v>1656</v>
      </c>
      <c r="G274" s="7"/>
      <c r="H274" s="46" t="s">
        <v>249</v>
      </c>
      <c r="I274" s="7" t="s">
        <v>160</v>
      </c>
      <c r="J274" s="7" t="s">
        <v>148</v>
      </c>
      <c r="K274" s="7"/>
      <c r="L274" s="7"/>
      <c r="M274" s="7"/>
    </row>
    <row r="275" ht="15.75" customHeight="1">
      <c r="A275" s="7" t="s">
        <v>1657</v>
      </c>
      <c r="B275" s="45" t="s">
        <v>1658</v>
      </c>
      <c r="C275" s="7" t="s">
        <v>1659</v>
      </c>
      <c r="D275" s="7" t="s">
        <v>1660</v>
      </c>
      <c r="E275" s="7" t="s">
        <v>1661</v>
      </c>
      <c r="F275" s="7" t="s">
        <v>1662</v>
      </c>
      <c r="G275" s="7"/>
      <c r="H275" s="46" t="s">
        <v>249</v>
      </c>
      <c r="I275" s="7" t="s">
        <v>160</v>
      </c>
      <c r="J275" s="7" t="s">
        <v>148</v>
      </c>
      <c r="K275" s="7"/>
      <c r="L275" s="7"/>
      <c r="M275" s="7"/>
    </row>
    <row r="276" ht="15.75" customHeight="1">
      <c r="A276" s="7" t="s">
        <v>1663</v>
      </c>
      <c r="B276" s="45" t="s">
        <v>1664</v>
      </c>
      <c r="C276" s="7" t="s">
        <v>1665</v>
      </c>
      <c r="D276" s="7" t="s">
        <v>1666</v>
      </c>
      <c r="E276" s="7" t="s">
        <v>1667</v>
      </c>
      <c r="F276" s="7" t="s">
        <v>1668</v>
      </c>
      <c r="G276" s="7"/>
      <c r="H276" s="46" t="s">
        <v>249</v>
      </c>
      <c r="I276" s="7" t="s">
        <v>160</v>
      </c>
      <c r="J276" s="7" t="s">
        <v>148</v>
      </c>
      <c r="K276" s="7"/>
      <c r="L276" s="7"/>
      <c r="M276" s="7"/>
    </row>
    <row r="277" ht="15.75" customHeight="1">
      <c r="A277" s="7" t="s">
        <v>1669</v>
      </c>
      <c r="B277" s="45" t="s">
        <v>1670</v>
      </c>
      <c r="C277" s="7" t="s">
        <v>1566</v>
      </c>
      <c r="D277" s="7" t="s">
        <v>1671</v>
      </c>
      <c r="E277" s="7" t="s">
        <v>1568</v>
      </c>
      <c r="F277" s="7" t="s">
        <v>1569</v>
      </c>
      <c r="G277" s="7"/>
      <c r="H277" s="46" t="s">
        <v>249</v>
      </c>
      <c r="I277" s="7" t="s">
        <v>160</v>
      </c>
      <c r="J277" s="7" t="s">
        <v>148</v>
      </c>
      <c r="K277" s="7"/>
      <c r="L277" s="7"/>
      <c r="M277" s="7"/>
    </row>
    <row r="278" ht="15.75" customHeight="1">
      <c r="A278" s="7" t="s">
        <v>1672</v>
      </c>
      <c r="B278" s="45" t="s">
        <v>1673</v>
      </c>
      <c r="C278" s="7" t="s">
        <v>1674</v>
      </c>
      <c r="D278" s="7" t="s">
        <v>1675</v>
      </c>
      <c r="E278" s="7" t="s">
        <v>1676</v>
      </c>
      <c r="F278" s="7" t="s">
        <v>1677</v>
      </c>
      <c r="G278" s="7"/>
      <c r="H278" s="46" t="s">
        <v>249</v>
      </c>
      <c r="I278" s="7" t="s">
        <v>160</v>
      </c>
      <c r="J278" s="7" t="s">
        <v>148</v>
      </c>
      <c r="K278" s="7"/>
      <c r="L278" s="7"/>
      <c r="M278" s="7"/>
    </row>
    <row r="279" ht="15.75" customHeight="1">
      <c r="A279" s="7" t="s">
        <v>1678</v>
      </c>
      <c r="B279" s="45" t="s">
        <v>1679</v>
      </c>
      <c r="C279" s="7" t="s">
        <v>1680</v>
      </c>
      <c r="D279" s="7" t="s">
        <v>1681</v>
      </c>
      <c r="E279" s="7" t="s">
        <v>1682</v>
      </c>
      <c r="F279" s="7" t="s">
        <v>1683</v>
      </c>
      <c r="G279" s="7"/>
      <c r="H279" s="46" t="s">
        <v>249</v>
      </c>
      <c r="I279" s="7" t="s">
        <v>160</v>
      </c>
      <c r="J279" s="7" t="s">
        <v>148</v>
      </c>
      <c r="K279" s="7"/>
      <c r="L279" s="7"/>
      <c r="M279" s="7"/>
    </row>
    <row r="280" ht="15.75" customHeight="1">
      <c r="A280" s="7" t="s">
        <v>1684</v>
      </c>
      <c r="B280" s="45" t="s">
        <v>1685</v>
      </c>
      <c r="C280" s="7" t="s">
        <v>1680</v>
      </c>
      <c r="D280" s="7" t="s">
        <v>1686</v>
      </c>
      <c r="E280" s="7" t="s">
        <v>1682</v>
      </c>
      <c r="F280" s="7" t="s">
        <v>1683</v>
      </c>
      <c r="G280" s="7"/>
      <c r="H280" s="46" t="s">
        <v>249</v>
      </c>
      <c r="I280" s="7" t="s">
        <v>160</v>
      </c>
      <c r="J280" s="7" t="s">
        <v>148</v>
      </c>
      <c r="K280" s="7"/>
      <c r="L280" s="7"/>
      <c r="M280" s="7"/>
    </row>
    <row r="281" ht="15.75" customHeight="1">
      <c r="A281" s="7" t="s">
        <v>1687</v>
      </c>
      <c r="B281" s="45" t="s">
        <v>1688</v>
      </c>
      <c r="C281" s="7" t="s">
        <v>1680</v>
      </c>
      <c r="D281" s="7" t="s">
        <v>1689</v>
      </c>
      <c r="E281" s="7" t="s">
        <v>1682</v>
      </c>
      <c r="F281" s="7" t="s">
        <v>1683</v>
      </c>
      <c r="G281" s="7"/>
      <c r="H281" s="46" t="s">
        <v>249</v>
      </c>
      <c r="I281" s="7" t="s">
        <v>160</v>
      </c>
      <c r="J281" s="7" t="s">
        <v>148</v>
      </c>
      <c r="K281" s="7"/>
      <c r="L281" s="7"/>
      <c r="M281" s="7"/>
    </row>
    <row r="282" ht="15.75" customHeight="1">
      <c r="A282" s="7" t="s">
        <v>1690</v>
      </c>
      <c r="B282" s="45" t="s">
        <v>1691</v>
      </c>
      <c r="C282" s="7" t="s">
        <v>1692</v>
      </c>
      <c r="D282" s="7" t="s">
        <v>1693</v>
      </c>
      <c r="E282" s="7" t="s">
        <v>1694</v>
      </c>
      <c r="F282" s="7" t="s">
        <v>1695</v>
      </c>
      <c r="G282" s="7"/>
      <c r="H282" s="46" t="s">
        <v>249</v>
      </c>
      <c r="I282" s="7" t="s">
        <v>160</v>
      </c>
      <c r="J282" s="7" t="s">
        <v>148</v>
      </c>
      <c r="K282" s="7"/>
      <c r="L282" s="7"/>
      <c r="M282" s="7"/>
    </row>
    <row r="283" ht="15.75" customHeight="1">
      <c r="A283" s="7" t="s">
        <v>1696</v>
      </c>
      <c r="B283" s="45" t="s">
        <v>1697</v>
      </c>
      <c r="C283" s="7" t="s">
        <v>284</v>
      </c>
      <c r="D283" s="7" t="s">
        <v>1698</v>
      </c>
      <c r="E283" s="7" t="s">
        <v>286</v>
      </c>
      <c r="F283" s="7" t="s">
        <v>287</v>
      </c>
      <c r="G283" s="7"/>
      <c r="H283" s="46" t="s">
        <v>249</v>
      </c>
      <c r="I283" s="7" t="s">
        <v>160</v>
      </c>
      <c r="J283" s="7" t="s">
        <v>148</v>
      </c>
      <c r="K283" s="7"/>
      <c r="L283" s="7"/>
      <c r="M283" s="7"/>
    </row>
    <row r="284" ht="15.75" customHeight="1">
      <c r="A284" s="7" t="s">
        <v>1699</v>
      </c>
      <c r="B284" s="45" t="s">
        <v>1700</v>
      </c>
      <c r="C284" s="7" t="s">
        <v>1701</v>
      </c>
      <c r="D284" s="7" t="s">
        <v>1702</v>
      </c>
      <c r="E284" s="7"/>
      <c r="F284" s="7" t="s">
        <v>1703</v>
      </c>
      <c r="G284" s="7"/>
      <c r="H284" s="46" t="s">
        <v>249</v>
      </c>
      <c r="I284" s="7" t="s">
        <v>160</v>
      </c>
      <c r="J284" s="7" t="s">
        <v>148</v>
      </c>
      <c r="K284" s="7"/>
      <c r="L284" s="7"/>
      <c r="M284" s="7"/>
    </row>
    <row r="285" ht="15.75" customHeight="1">
      <c r="A285" s="7" t="s">
        <v>1704</v>
      </c>
      <c r="B285" s="45" t="s">
        <v>1705</v>
      </c>
      <c r="C285" s="7" t="s">
        <v>1706</v>
      </c>
      <c r="D285" s="7" t="s">
        <v>1707</v>
      </c>
      <c r="E285" s="7" t="s">
        <v>1708</v>
      </c>
      <c r="F285" s="7" t="s">
        <v>1709</v>
      </c>
      <c r="G285" s="7"/>
      <c r="H285" s="46" t="s">
        <v>249</v>
      </c>
      <c r="I285" s="7" t="s">
        <v>160</v>
      </c>
      <c r="J285" s="7" t="s">
        <v>148</v>
      </c>
      <c r="K285" s="7"/>
      <c r="L285" s="7"/>
      <c r="M285" s="7"/>
    </row>
    <row r="286" ht="15.75" customHeight="1">
      <c r="A286" s="7" t="s">
        <v>1710</v>
      </c>
      <c r="B286" s="45" t="s">
        <v>1711</v>
      </c>
      <c r="C286" s="7" t="s">
        <v>1712</v>
      </c>
      <c r="D286" s="7" t="s">
        <v>1713</v>
      </c>
      <c r="E286" s="7" t="s">
        <v>1714</v>
      </c>
      <c r="F286" s="7" t="s">
        <v>1715</v>
      </c>
      <c r="G286" s="7"/>
      <c r="H286" s="46" t="s">
        <v>249</v>
      </c>
      <c r="I286" s="7" t="s">
        <v>160</v>
      </c>
      <c r="J286" s="7" t="s">
        <v>148</v>
      </c>
      <c r="K286" s="7"/>
      <c r="L286" s="7"/>
      <c r="M286" s="7"/>
    </row>
    <row r="287" ht="15.75" customHeight="1">
      <c r="A287" s="7" t="s">
        <v>1716</v>
      </c>
      <c r="B287" s="45" t="s">
        <v>1717</v>
      </c>
      <c r="C287" s="7" t="s">
        <v>1718</v>
      </c>
      <c r="D287" s="7" t="s">
        <v>1719</v>
      </c>
      <c r="E287" s="7" t="s">
        <v>1720</v>
      </c>
      <c r="F287" s="7" t="s">
        <v>1721</v>
      </c>
      <c r="G287" s="7"/>
      <c r="H287" s="46" t="s">
        <v>249</v>
      </c>
      <c r="I287" s="7" t="s">
        <v>160</v>
      </c>
      <c r="J287" s="7" t="s">
        <v>148</v>
      </c>
      <c r="K287" s="7"/>
      <c r="L287" s="7"/>
      <c r="M287" s="7"/>
    </row>
    <row r="288" ht="15.75" customHeight="1">
      <c r="A288" s="7" t="s">
        <v>1722</v>
      </c>
      <c r="B288" s="45" t="s">
        <v>1723</v>
      </c>
      <c r="C288" s="7" t="s">
        <v>1724</v>
      </c>
      <c r="D288" s="7" t="s">
        <v>1725</v>
      </c>
      <c r="E288" s="7" t="s">
        <v>1726</v>
      </c>
      <c r="F288" s="7" t="s">
        <v>1727</v>
      </c>
      <c r="G288" s="7"/>
      <c r="H288" s="46" t="s">
        <v>249</v>
      </c>
      <c r="I288" s="7" t="s">
        <v>160</v>
      </c>
      <c r="J288" s="7" t="s">
        <v>148</v>
      </c>
      <c r="K288" s="7"/>
      <c r="L288" s="7"/>
      <c r="M288" s="7"/>
    </row>
    <row r="289" ht="15.75" customHeight="1">
      <c r="A289" s="7" t="s">
        <v>1728</v>
      </c>
      <c r="B289" s="45" t="s">
        <v>1729</v>
      </c>
      <c r="C289" s="7" t="s">
        <v>1730</v>
      </c>
      <c r="D289" s="7" t="s">
        <v>1731</v>
      </c>
      <c r="E289" s="7" t="s">
        <v>1732</v>
      </c>
      <c r="F289" s="7" t="s">
        <v>1733</v>
      </c>
      <c r="G289" s="7"/>
      <c r="H289" s="46" t="s">
        <v>249</v>
      </c>
      <c r="I289" s="7" t="s">
        <v>160</v>
      </c>
      <c r="J289" s="7" t="s">
        <v>148</v>
      </c>
      <c r="K289" s="7"/>
      <c r="L289" s="7"/>
      <c r="M289" s="7"/>
    </row>
    <row r="290" ht="15.75" customHeight="1">
      <c r="A290" s="7" t="s">
        <v>1734</v>
      </c>
      <c r="B290" s="45" t="s">
        <v>1735</v>
      </c>
      <c r="C290" s="7" t="s">
        <v>1730</v>
      </c>
      <c r="D290" s="7" t="s">
        <v>1736</v>
      </c>
      <c r="E290" s="7" t="s">
        <v>1732</v>
      </c>
      <c r="F290" s="7" t="s">
        <v>1733</v>
      </c>
      <c r="G290" s="7"/>
      <c r="H290" s="46" t="s">
        <v>249</v>
      </c>
      <c r="I290" s="7" t="s">
        <v>160</v>
      </c>
      <c r="J290" s="7" t="s">
        <v>148</v>
      </c>
      <c r="K290" s="7"/>
      <c r="L290" s="7"/>
      <c r="M290" s="7"/>
    </row>
    <row r="291" ht="15.75" customHeight="1">
      <c r="A291" s="7" t="s">
        <v>1737</v>
      </c>
      <c r="B291" s="45" t="s">
        <v>1738</v>
      </c>
      <c r="C291" s="7" t="s">
        <v>1739</v>
      </c>
      <c r="D291" s="7" t="s">
        <v>1740</v>
      </c>
      <c r="E291" s="7" t="s">
        <v>1741</v>
      </c>
      <c r="F291" s="7" t="s">
        <v>1742</v>
      </c>
      <c r="G291" s="7"/>
      <c r="H291" s="46" t="s">
        <v>249</v>
      </c>
      <c r="I291" s="7" t="s">
        <v>160</v>
      </c>
      <c r="J291" s="7" t="s">
        <v>148</v>
      </c>
      <c r="K291" s="7"/>
      <c r="L291" s="7"/>
      <c r="M291" s="7"/>
    </row>
    <row r="292" ht="15.75" customHeight="1">
      <c r="A292" s="7" t="s">
        <v>1743</v>
      </c>
      <c r="B292" s="45" t="s">
        <v>1744</v>
      </c>
      <c r="C292" s="7" t="s">
        <v>1745</v>
      </c>
      <c r="D292" s="7" t="s">
        <v>1746</v>
      </c>
      <c r="E292" s="7" t="s">
        <v>1747</v>
      </c>
      <c r="F292" s="7" t="s">
        <v>1748</v>
      </c>
      <c r="G292" s="7"/>
      <c r="H292" s="46" t="s">
        <v>249</v>
      </c>
      <c r="I292" s="7" t="s">
        <v>160</v>
      </c>
      <c r="J292" s="7" t="s">
        <v>148</v>
      </c>
      <c r="K292" s="7"/>
      <c r="L292" s="7"/>
      <c r="M292" s="7"/>
    </row>
    <row r="293" ht="15.75" customHeight="1">
      <c r="A293" s="7" t="s">
        <v>1749</v>
      </c>
      <c r="B293" s="45" t="s">
        <v>1750</v>
      </c>
      <c r="C293" s="7" t="s">
        <v>1751</v>
      </c>
      <c r="D293" s="7" t="s">
        <v>1752</v>
      </c>
      <c r="E293" s="7" t="s">
        <v>1753</v>
      </c>
      <c r="F293" s="7" t="s">
        <v>1754</v>
      </c>
      <c r="G293" s="7"/>
      <c r="H293" s="46" t="s">
        <v>249</v>
      </c>
      <c r="I293" s="7" t="s">
        <v>160</v>
      </c>
      <c r="J293" s="7" t="s">
        <v>148</v>
      </c>
      <c r="K293" s="7"/>
      <c r="L293" s="7"/>
      <c r="M293" s="7"/>
    </row>
    <row r="294" ht="15.75" customHeight="1">
      <c r="A294" s="7" t="s">
        <v>1755</v>
      </c>
      <c r="B294" s="45" t="s">
        <v>1756</v>
      </c>
      <c r="C294" s="7" t="s">
        <v>1757</v>
      </c>
      <c r="D294" s="7" t="s">
        <v>1758</v>
      </c>
      <c r="E294" s="7" t="s">
        <v>1759</v>
      </c>
      <c r="F294" s="7" t="s">
        <v>1754</v>
      </c>
      <c r="G294" s="7"/>
      <c r="H294" s="46" t="s">
        <v>249</v>
      </c>
      <c r="I294" s="7" t="s">
        <v>160</v>
      </c>
      <c r="J294" s="7" t="s">
        <v>148</v>
      </c>
      <c r="K294" s="7"/>
      <c r="L294" s="7"/>
      <c r="M294" s="7"/>
    </row>
    <row r="295" ht="15.75" customHeight="1">
      <c r="A295" s="7" t="s">
        <v>1760</v>
      </c>
      <c r="B295" s="45" t="s">
        <v>1761</v>
      </c>
      <c r="C295" s="7" t="s">
        <v>1762</v>
      </c>
      <c r="D295" s="7" t="s">
        <v>1763</v>
      </c>
      <c r="E295" s="7" t="s">
        <v>1764</v>
      </c>
      <c r="F295" s="7" t="s">
        <v>1754</v>
      </c>
      <c r="G295" s="7"/>
      <c r="H295" s="46" t="s">
        <v>249</v>
      </c>
      <c r="I295" s="7" t="s">
        <v>160</v>
      </c>
      <c r="J295" s="7" t="s">
        <v>148</v>
      </c>
      <c r="K295" s="7"/>
      <c r="L295" s="7"/>
      <c r="M295" s="7"/>
    </row>
    <row r="296" ht="15.75" customHeight="1">
      <c r="A296" s="7" t="s">
        <v>1765</v>
      </c>
      <c r="B296" s="45" t="s">
        <v>1766</v>
      </c>
      <c r="C296" s="7" t="s">
        <v>1751</v>
      </c>
      <c r="D296" s="7" t="s">
        <v>1767</v>
      </c>
      <c r="E296" s="7" t="s">
        <v>1768</v>
      </c>
      <c r="F296" s="7" t="s">
        <v>1769</v>
      </c>
      <c r="G296" s="7"/>
      <c r="H296" s="46" t="s">
        <v>249</v>
      </c>
      <c r="I296" s="7" t="s">
        <v>160</v>
      </c>
      <c r="J296" s="7" t="s">
        <v>148</v>
      </c>
      <c r="K296" s="7"/>
      <c r="L296" s="7"/>
      <c r="M296" s="7"/>
    </row>
    <row r="297" ht="15.75" customHeight="1">
      <c r="A297" s="7" t="s">
        <v>1770</v>
      </c>
      <c r="B297" s="45" t="s">
        <v>1771</v>
      </c>
      <c r="C297" s="7" t="s">
        <v>1751</v>
      </c>
      <c r="D297" s="7" t="s">
        <v>1772</v>
      </c>
      <c r="E297" s="7" t="s">
        <v>1768</v>
      </c>
      <c r="F297" s="7" t="s">
        <v>1754</v>
      </c>
      <c r="G297" s="7"/>
      <c r="H297" s="46" t="s">
        <v>249</v>
      </c>
      <c r="I297" s="7" t="s">
        <v>160</v>
      </c>
      <c r="J297" s="7" t="s">
        <v>148</v>
      </c>
      <c r="K297" s="7"/>
      <c r="L297" s="7"/>
      <c r="M297" s="7"/>
    </row>
    <row r="298" ht="15.75" customHeight="1">
      <c r="A298" s="7" t="s">
        <v>1773</v>
      </c>
      <c r="B298" s="45" t="s">
        <v>1774</v>
      </c>
      <c r="C298" s="7" t="s">
        <v>1751</v>
      </c>
      <c r="D298" s="7" t="s">
        <v>1775</v>
      </c>
      <c r="E298" s="7" t="s">
        <v>1768</v>
      </c>
      <c r="F298" s="7" t="s">
        <v>1754</v>
      </c>
      <c r="G298" s="7"/>
      <c r="H298" s="46" t="s">
        <v>249</v>
      </c>
      <c r="I298" s="7" t="s">
        <v>160</v>
      </c>
      <c r="J298" s="7" t="s">
        <v>148</v>
      </c>
      <c r="K298" s="7"/>
      <c r="L298" s="7"/>
      <c r="M298" s="7"/>
    </row>
    <row r="299" ht="15.75" customHeight="1">
      <c r="A299" s="7" t="s">
        <v>1776</v>
      </c>
      <c r="B299" s="45" t="s">
        <v>1777</v>
      </c>
      <c r="C299" s="7" t="s">
        <v>1751</v>
      </c>
      <c r="D299" s="7" t="s">
        <v>1778</v>
      </c>
      <c r="E299" s="7" t="s">
        <v>1768</v>
      </c>
      <c r="F299" s="7" t="s">
        <v>1754</v>
      </c>
      <c r="G299" s="7"/>
      <c r="H299" s="46" t="s">
        <v>249</v>
      </c>
      <c r="I299" s="7" t="s">
        <v>160</v>
      </c>
      <c r="J299" s="7" t="s">
        <v>148</v>
      </c>
      <c r="K299" s="7"/>
      <c r="L299" s="7"/>
      <c r="M299" s="7"/>
    </row>
    <row r="300" ht="15.75" customHeight="1">
      <c r="A300" s="7" t="s">
        <v>1779</v>
      </c>
      <c r="B300" s="45" t="s">
        <v>1780</v>
      </c>
      <c r="C300" s="7" t="s">
        <v>1751</v>
      </c>
      <c r="D300" s="7" t="s">
        <v>1781</v>
      </c>
      <c r="E300" s="7" t="s">
        <v>1768</v>
      </c>
      <c r="F300" s="7" t="s">
        <v>1754</v>
      </c>
      <c r="G300" s="7"/>
      <c r="H300" s="46" t="s">
        <v>249</v>
      </c>
      <c r="I300" s="7" t="s">
        <v>160</v>
      </c>
      <c r="J300" s="7" t="s">
        <v>148</v>
      </c>
      <c r="K300" s="7"/>
      <c r="L300" s="7"/>
      <c r="M300" s="7"/>
    </row>
    <row r="301" ht="15.75" customHeight="1">
      <c r="A301" s="7" t="s">
        <v>1782</v>
      </c>
      <c r="B301" s="45" t="s">
        <v>1783</v>
      </c>
      <c r="C301" s="7" t="s">
        <v>1784</v>
      </c>
      <c r="D301" s="7" t="s">
        <v>1785</v>
      </c>
      <c r="E301" s="7" t="s">
        <v>1768</v>
      </c>
      <c r="F301" s="7" t="s">
        <v>1754</v>
      </c>
      <c r="G301" s="7"/>
      <c r="H301" s="46" t="s">
        <v>249</v>
      </c>
      <c r="I301" s="7" t="s">
        <v>160</v>
      </c>
      <c r="J301" s="7" t="s">
        <v>148</v>
      </c>
      <c r="K301" s="7"/>
      <c r="L301" s="7"/>
      <c r="M301" s="7"/>
    </row>
    <row r="302" ht="15.75" customHeight="1">
      <c r="A302" s="7" t="s">
        <v>1786</v>
      </c>
      <c r="B302" s="45" t="s">
        <v>1787</v>
      </c>
      <c r="C302" s="7" t="s">
        <v>1788</v>
      </c>
      <c r="D302" s="7" t="s">
        <v>1789</v>
      </c>
      <c r="E302" s="7" t="s">
        <v>1768</v>
      </c>
      <c r="F302" s="7" t="s">
        <v>1754</v>
      </c>
      <c r="G302" s="7"/>
      <c r="H302" s="46" t="s">
        <v>249</v>
      </c>
      <c r="I302" s="7" t="s">
        <v>160</v>
      </c>
      <c r="J302" s="7" t="s">
        <v>148</v>
      </c>
      <c r="K302" s="7"/>
      <c r="L302" s="7"/>
      <c r="M302" s="7"/>
    </row>
    <row r="303" ht="15.75" customHeight="1">
      <c r="A303" s="7" t="s">
        <v>1790</v>
      </c>
      <c r="B303" s="45" t="s">
        <v>1791</v>
      </c>
      <c r="C303" s="7" t="s">
        <v>1792</v>
      </c>
      <c r="D303" s="7" t="s">
        <v>1793</v>
      </c>
      <c r="E303" s="7" t="s">
        <v>1794</v>
      </c>
      <c r="F303" s="7" t="s">
        <v>1795</v>
      </c>
      <c r="G303" s="7"/>
      <c r="H303" s="46" t="s">
        <v>249</v>
      </c>
      <c r="I303" s="7" t="s">
        <v>160</v>
      </c>
      <c r="J303" s="7" t="s">
        <v>148</v>
      </c>
      <c r="K303" s="7"/>
      <c r="L303" s="7"/>
      <c r="M303" s="7"/>
    </row>
    <row r="304" ht="15.75" customHeight="1">
      <c r="A304" s="7" t="s">
        <v>1796</v>
      </c>
      <c r="B304" s="45" t="s">
        <v>1797</v>
      </c>
      <c r="C304" s="7" t="s">
        <v>1798</v>
      </c>
      <c r="D304" s="7" t="s">
        <v>1799</v>
      </c>
      <c r="E304" s="7" t="s">
        <v>1800</v>
      </c>
      <c r="F304" s="7" t="s">
        <v>1801</v>
      </c>
      <c r="G304" s="7"/>
      <c r="H304" s="46" t="s">
        <v>249</v>
      </c>
      <c r="I304" s="7" t="s">
        <v>160</v>
      </c>
      <c r="J304" s="7" t="s">
        <v>148</v>
      </c>
      <c r="K304" s="7"/>
      <c r="L304" s="7"/>
      <c r="M304" s="7"/>
    </row>
    <row r="305" ht="15.75" customHeight="1">
      <c r="A305" s="7" t="s">
        <v>1802</v>
      </c>
      <c r="B305" s="45" t="s">
        <v>1803</v>
      </c>
      <c r="C305" s="7" t="s">
        <v>1804</v>
      </c>
      <c r="D305" s="7" t="s">
        <v>1805</v>
      </c>
      <c r="E305" s="7" t="s">
        <v>1806</v>
      </c>
      <c r="F305" s="7" t="s">
        <v>1807</v>
      </c>
      <c r="G305" s="7"/>
      <c r="H305" s="46" t="s">
        <v>249</v>
      </c>
      <c r="I305" s="7" t="s">
        <v>160</v>
      </c>
      <c r="J305" s="7" t="s">
        <v>148</v>
      </c>
      <c r="K305" s="7"/>
      <c r="L305" s="7"/>
      <c r="M305" s="7"/>
    </row>
    <row r="306" ht="15.75" customHeight="1">
      <c r="A306" s="7" t="s">
        <v>1808</v>
      </c>
      <c r="B306" s="45" t="s">
        <v>1809</v>
      </c>
      <c r="C306" s="7" t="s">
        <v>1525</v>
      </c>
      <c r="D306" s="7" t="s">
        <v>1810</v>
      </c>
      <c r="E306" s="7" t="s">
        <v>1527</v>
      </c>
      <c r="F306" s="7" t="s">
        <v>1528</v>
      </c>
      <c r="G306" s="7"/>
      <c r="H306" s="46" t="s">
        <v>249</v>
      </c>
      <c r="I306" s="7" t="s">
        <v>160</v>
      </c>
      <c r="J306" s="7" t="s">
        <v>148</v>
      </c>
      <c r="K306" s="7"/>
      <c r="L306" s="7"/>
      <c r="M306" s="7"/>
    </row>
    <row r="307" ht="15.75" customHeight="1">
      <c r="A307" s="7" t="s">
        <v>1811</v>
      </c>
      <c r="B307" s="45" t="s">
        <v>1812</v>
      </c>
      <c r="C307" s="7" t="s">
        <v>1813</v>
      </c>
      <c r="D307" s="7" t="s">
        <v>1814</v>
      </c>
      <c r="E307" s="7" t="s">
        <v>1815</v>
      </c>
      <c r="F307" s="7" t="s">
        <v>1816</v>
      </c>
      <c r="G307" s="7"/>
      <c r="H307" s="46" t="s">
        <v>249</v>
      </c>
      <c r="I307" s="7" t="s">
        <v>160</v>
      </c>
      <c r="J307" s="7" t="s">
        <v>148</v>
      </c>
      <c r="K307" s="7"/>
      <c r="L307" s="7"/>
      <c r="M307" s="7"/>
    </row>
    <row r="308" ht="15.75" customHeight="1">
      <c r="A308" s="7" t="s">
        <v>1817</v>
      </c>
      <c r="B308" s="45" t="s">
        <v>1818</v>
      </c>
      <c r="C308" s="7" t="s">
        <v>1819</v>
      </c>
      <c r="D308" s="7" t="s">
        <v>1820</v>
      </c>
      <c r="E308" s="7" t="s">
        <v>1821</v>
      </c>
      <c r="F308" s="7" t="s">
        <v>1822</v>
      </c>
      <c r="G308" s="7"/>
      <c r="H308" s="46" t="s">
        <v>249</v>
      </c>
      <c r="I308" s="7" t="s">
        <v>160</v>
      </c>
      <c r="J308" s="7" t="s">
        <v>148</v>
      </c>
      <c r="K308" s="7"/>
      <c r="L308" s="7"/>
      <c r="M308" s="7"/>
    </row>
    <row r="309" ht="15.75" customHeight="1">
      <c r="A309" s="7" t="s">
        <v>1823</v>
      </c>
      <c r="B309" s="45" t="s">
        <v>1824</v>
      </c>
      <c r="C309" s="7" t="s">
        <v>1825</v>
      </c>
      <c r="D309" s="7" t="s">
        <v>1826</v>
      </c>
      <c r="E309" s="7" t="s">
        <v>1827</v>
      </c>
      <c r="F309" s="7" t="s">
        <v>1828</v>
      </c>
      <c r="G309" s="7"/>
      <c r="H309" s="46" t="s">
        <v>249</v>
      </c>
      <c r="I309" s="7" t="s">
        <v>160</v>
      </c>
      <c r="J309" s="7" t="s">
        <v>148</v>
      </c>
      <c r="K309" s="7"/>
      <c r="L309" s="7"/>
      <c r="M309" s="7"/>
    </row>
    <row r="310" ht="15.75" customHeight="1">
      <c r="A310" s="7" t="s">
        <v>1829</v>
      </c>
      <c r="B310" s="45" t="s">
        <v>1830</v>
      </c>
      <c r="C310" s="7" t="s">
        <v>1831</v>
      </c>
      <c r="D310" s="7" t="s">
        <v>1832</v>
      </c>
      <c r="E310" s="7" t="s">
        <v>1833</v>
      </c>
      <c r="F310" s="7" t="s">
        <v>1834</v>
      </c>
      <c r="G310" s="7"/>
      <c r="H310" s="46" t="s">
        <v>249</v>
      </c>
      <c r="I310" s="7" t="s">
        <v>160</v>
      </c>
      <c r="J310" s="7" t="s">
        <v>148</v>
      </c>
      <c r="K310" s="7"/>
      <c r="L310" s="7"/>
      <c r="M310" s="7"/>
    </row>
    <row r="311" ht="15.75" customHeight="1">
      <c r="A311" s="7" t="s">
        <v>1835</v>
      </c>
      <c r="B311" s="45" t="s">
        <v>1836</v>
      </c>
      <c r="C311" s="7" t="s">
        <v>1837</v>
      </c>
      <c r="D311" s="7" t="s">
        <v>1838</v>
      </c>
      <c r="E311" s="7" t="s">
        <v>1839</v>
      </c>
      <c r="F311" s="7" t="s">
        <v>1840</v>
      </c>
      <c r="G311" s="7"/>
      <c r="H311" s="46" t="s">
        <v>249</v>
      </c>
      <c r="I311" s="7" t="s">
        <v>160</v>
      </c>
      <c r="J311" s="7" t="s">
        <v>148</v>
      </c>
      <c r="K311" s="7"/>
      <c r="L311" s="7"/>
      <c r="M311" s="7"/>
    </row>
    <row r="312" ht="15.75" customHeight="1">
      <c r="A312" s="7" t="s">
        <v>1841</v>
      </c>
      <c r="B312" s="45" t="s">
        <v>1842</v>
      </c>
      <c r="C312" s="7" t="s">
        <v>1843</v>
      </c>
      <c r="D312" s="7" t="s">
        <v>1844</v>
      </c>
      <c r="E312" s="7" t="s">
        <v>1845</v>
      </c>
      <c r="F312" s="7" t="s">
        <v>1840</v>
      </c>
      <c r="G312" s="7"/>
      <c r="H312" s="46" t="s">
        <v>249</v>
      </c>
      <c r="I312" s="7" t="s">
        <v>160</v>
      </c>
      <c r="J312" s="7" t="s">
        <v>148</v>
      </c>
      <c r="K312" s="7"/>
      <c r="L312" s="7"/>
      <c r="M312" s="7"/>
    </row>
    <row r="313" ht="15.75" customHeight="1">
      <c r="A313" s="7" t="s">
        <v>1846</v>
      </c>
      <c r="B313" s="45" t="s">
        <v>1847</v>
      </c>
      <c r="C313" s="7" t="s">
        <v>1843</v>
      </c>
      <c r="D313" s="7" t="s">
        <v>1848</v>
      </c>
      <c r="E313" s="7" t="s">
        <v>1849</v>
      </c>
      <c r="F313" s="7" t="s">
        <v>1840</v>
      </c>
      <c r="G313" s="7"/>
      <c r="H313" s="46" t="s">
        <v>249</v>
      </c>
      <c r="I313" s="7" t="s">
        <v>160</v>
      </c>
      <c r="J313" s="7" t="s">
        <v>148</v>
      </c>
      <c r="K313" s="7"/>
      <c r="L313" s="7"/>
      <c r="M313" s="7"/>
    </row>
    <row r="314" ht="15.75" customHeight="1">
      <c r="A314" s="7" t="s">
        <v>1850</v>
      </c>
      <c r="B314" s="45" t="s">
        <v>1851</v>
      </c>
      <c r="C314" s="7" t="s">
        <v>1852</v>
      </c>
      <c r="D314" s="7" t="s">
        <v>1853</v>
      </c>
      <c r="E314" s="7" t="s">
        <v>1854</v>
      </c>
      <c r="F314" s="7" t="s">
        <v>1855</v>
      </c>
      <c r="G314" s="7"/>
      <c r="H314" s="46" t="s">
        <v>249</v>
      </c>
      <c r="I314" s="7" t="s">
        <v>160</v>
      </c>
      <c r="J314" s="7" t="s">
        <v>148</v>
      </c>
      <c r="K314" s="7"/>
      <c r="L314" s="7"/>
      <c r="M314" s="7"/>
    </row>
    <row r="315" ht="15.75" customHeight="1">
      <c r="A315" s="7" t="s">
        <v>1856</v>
      </c>
      <c r="B315" s="45" t="s">
        <v>1857</v>
      </c>
      <c r="C315" s="7" t="s">
        <v>1858</v>
      </c>
      <c r="D315" s="7" t="s">
        <v>1859</v>
      </c>
      <c r="E315" s="7" t="s">
        <v>1860</v>
      </c>
      <c r="F315" s="7" t="s">
        <v>1861</v>
      </c>
      <c r="G315" s="7"/>
      <c r="H315" s="46" t="s">
        <v>249</v>
      </c>
      <c r="I315" s="7" t="s">
        <v>160</v>
      </c>
      <c r="J315" s="7" t="s">
        <v>148</v>
      </c>
      <c r="K315" s="7"/>
      <c r="L315" s="7"/>
      <c r="M315" s="7"/>
    </row>
    <row r="316" ht="15.75" customHeight="1">
      <c r="A316" s="7" t="s">
        <v>1862</v>
      </c>
      <c r="B316" s="45" t="s">
        <v>1863</v>
      </c>
      <c r="C316" s="7" t="s">
        <v>1864</v>
      </c>
      <c r="D316" s="7" t="s">
        <v>1865</v>
      </c>
      <c r="E316" s="7" t="s">
        <v>1866</v>
      </c>
      <c r="F316" s="7" t="s">
        <v>1867</v>
      </c>
      <c r="G316" s="7"/>
      <c r="H316" s="46" t="s">
        <v>249</v>
      </c>
      <c r="I316" s="7" t="s">
        <v>160</v>
      </c>
      <c r="J316" s="7" t="s">
        <v>148</v>
      </c>
      <c r="K316" s="7"/>
      <c r="L316" s="7"/>
      <c r="M316" s="7"/>
    </row>
    <row r="317" ht="15.75" customHeight="1">
      <c r="A317" s="7" t="s">
        <v>1868</v>
      </c>
      <c r="B317" s="45" t="s">
        <v>1869</v>
      </c>
      <c r="C317" s="7" t="s">
        <v>1870</v>
      </c>
      <c r="D317" s="7" t="s">
        <v>1871</v>
      </c>
      <c r="E317" s="7" t="s">
        <v>1872</v>
      </c>
      <c r="F317" s="7" t="s">
        <v>1873</v>
      </c>
      <c r="G317" s="7"/>
      <c r="H317" s="46" t="s">
        <v>249</v>
      </c>
      <c r="I317" s="7" t="s">
        <v>160</v>
      </c>
      <c r="J317" s="7" t="s">
        <v>148</v>
      </c>
      <c r="K317" s="7"/>
      <c r="L317" s="7"/>
      <c r="M317" s="7"/>
    </row>
    <row r="318" ht="15.75" customHeight="1">
      <c r="A318" s="7" t="s">
        <v>1874</v>
      </c>
      <c r="B318" s="45" t="s">
        <v>1875</v>
      </c>
      <c r="C318" s="7" t="s">
        <v>1876</v>
      </c>
      <c r="D318" s="7" t="s">
        <v>1877</v>
      </c>
      <c r="E318" s="7" t="s">
        <v>1872</v>
      </c>
      <c r="F318" s="7" t="s">
        <v>1873</v>
      </c>
      <c r="G318" s="7"/>
      <c r="H318" s="46" t="s">
        <v>249</v>
      </c>
      <c r="I318" s="7" t="s">
        <v>160</v>
      </c>
      <c r="J318" s="7" t="s">
        <v>148</v>
      </c>
      <c r="K318" s="7"/>
      <c r="L318" s="7"/>
      <c r="M318" s="7"/>
    </row>
    <row r="319" ht="15.75" customHeight="1">
      <c r="A319" s="7" t="s">
        <v>1878</v>
      </c>
      <c r="B319" s="45" t="s">
        <v>1879</v>
      </c>
      <c r="C319" s="7" t="s">
        <v>1880</v>
      </c>
      <c r="D319" s="7" t="s">
        <v>1881</v>
      </c>
      <c r="E319" s="7" t="s">
        <v>1882</v>
      </c>
      <c r="F319" s="7" t="s">
        <v>1883</v>
      </c>
      <c r="G319" s="7"/>
      <c r="H319" s="46" t="s">
        <v>249</v>
      </c>
      <c r="I319" s="7" t="s">
        <v>160</v>
      </c>
      <c r="J319" s="7" t="s">
        <v>148</v>
      </c>
      <c r="K319" s="7"/>
      <c r="L319" s="7"/>
      <c r="M319" s="7"/>
    </row>
    <row r="320" ht="15.75" customHeight="1">
      <c r="A320" s="7" t="s">
        <v>1884</v>
      </c>
      <c r="B320" s="45" t="s">
        <v>1885</v>
      </c>
      <c r="C320" s="7" t="s">
        <v>1525</v>
      </c>
      <c r="D320" s="7" t="s">
        <v>1886</v>
      </c>
      <c r="E320" s="7" t="s">
        <v>1527</v>
      </c>
      <c r="F320" s="7" t="s">
        <v>1528</v>
      </c>
      <c r="G320" s="7"/>
      <c r="H320" s="46" t="s">
        <v>249</v>
      </c>
      <c r="I320" s="7" t="s">
        <v>160</v>
      </c>
      <c r="J320" s="7" t="s">
        <v>148</v>
      </c>
      <c r="K320" s="7"/>
      <c r="L320" s="7"/>
      <c r="M320" s="7"/>
    </row>
    <row r="321" ht="15.75" customHeight="1">
      <c r="A321" s="7" t="s">
        <v>1887</v>
      </c>
      <c r="B321" s="45" t="s">
        <v>1888</v>
      </c>
      <c r="C321" s="7" t="s">
        <v>1889</v>
      </c>
      <c r="D321" s="7" t="s">
        <v>1890</v>
      </c>
      <c r="E321" s="7" t="s">
        <v>1891</v>
      </c>
      <c r="F321" s="7" t="s">
        <v>1892</v>
      </c>
      <c r="G321" s="7"/>
      <c r="H321" s="46" t="s">
        <v>249</v>
      </c>
      <c r="I321" s="7" t="s">
        <v>160</v>
      </c>
      <c r="J321" s="7" t="s">
        <v>148</v>
      </c>
      <c r="K321" s="7"/>
      <c r="L321" s="7"/>
      <c r="M321" s="7"/>
    </row>
    <row r="322" ht="15.75" customHeight="1">
      <c r="A322" s="7" t="s">
        <v>1893</v>
      </c>
      <c r="B322" s="45" t="s">
        <v>1894</v>
      </c>
      <c r="C322" s="7" t="s">
        <v>1889</v>
      </c>
      <c r="D322" s="7" t="s">
        <v>1895</v>
      </c>
      <c r="E322" s="7" t="s">
        <v>1896</v>
      </c>
      <c r="F322" s="7" t="s">
        <v>1892</v>
      </c>
      <c r="G322" s="7"/>
      <c r="H322" s="46" t="s">
        <v>249</v>
      </c>
      <c r="I322" s="7" t="s">
        <v>160</v>
      </c>
      <c r="J322" s="7" t="s">
        <v>148</v>
      </c>
      <c r="K322" s="7"/>
      <c r="L322" s="7"/>
      <c r="M322" s="7"/>
    </row>
    <row r="323" ht="15.75" customHeight="1">
      <c r="A323" s="7" t="s">
        <v>1897</v>
      </c>
      <c r="B323" s="45" t="s">
        <v>1898</v>
      </c>
      <c r="C323" s="7" t="s">
        <v>1899</v>
      </c>
      <c r="D323" s="7" t="s">
        <v>1900</v>
      </c>
      <c r="E323" s="7" t="s">
        <v>1901</v>
      </c>
      <c r="F323" s="7" t="s">
        <v>1902</v>
      </c>
      <c r="G323" s="7"/>
      <c r="H323" s="46" t="s">
        <v>249</v>
      </c>
      <c r="I323" s="7" t="s">
        <v>160</v>
      </c>
      <c r="J323" s="7" t="s">
        <v>148</v>
      </c>
      <c r="K323" s="7"/>
      <c r="L323" s="7"/>
      <c r="M323" s="7"/>
    </row>
    <row r="324" ht="15.75" customHeight="1">
      <c r="A324" s="7" t="s">
        <v>1903</v>
      </c>
      <c r="B324" s="45" t="s">
        <v>1904</v>
      </c>
      <c r="C324" s="7" t="s">
        <v>1905</v>
      </c>
      <c r="D324" s="7" t="s">
        <v>1906</v>
      </c>
      <c r="E324" s="7" t="s">
        <v>1907</v>
      </c>
      <c r="F324" s="7" t="s">
        <v>1908</v>
      </c>
      <c r="G324" s="7"/>
      <c r="H324" s="46" t="s">
        <v>249</v>
      </c>
      <c r="I324" s="7" t="s">
        <v>160</v>
      </c>
      <c r="J324" s="7" t="s">
        <v>148</v>
      </c>
      <c r="K324" s="7"/>
      <c r="L324" s="7"/>
      <c r="M324" s="7"/>
    </row>
    <row r="325" ht="15.75" customHeight="1">
      <c r="A325" s="7" t="s">
        <v>1909</v>
      </c>
      <c r="B325" s="45" t="s">
        <v>1910</v>
      </c>
      <c r="C325" s="7" t="s">
        <v>1911</v>
      </c>
      <c r="D325" s="7" t="s">
        <v>1912</v>
      </c>
      <c r="E325" s="7" t="s">
        <v>1913</v>
      </c>
      <c r="F325" s="7" t="s">
        <v>1914</v>
      </c>
      <c r="G325" s="7" t="s">
        <v>1915</v>
      </c>
      <c r="H325" s="46" t="s">
        <v>249</v>
      </c>
      <c r="I325" s="7" t="s">
        <v>160</v>
      </c>
      <c r="J325" s="7" t="s">
        <v>148</v>
      </c>
      <c r="K325" s="7"/>
      <c r="L325" s="7"/>
      <c r="M325" s="7"/>
    </row>
    <row r="326" ht="15.75" customHeight="1">
      <c r="A326" s="7" t="s">
        <v>1916</v>
      </c>
      <c r="B326" s="45" t="s">
        <v>1917</v>
      </c>
      <c r="C326" s="7" t="s">
        <v>1918</v>
      </c>
      <c r="D326" s="7" t="s">
        <v>1912</v>
      </c>
      <c r="E326" s="7" t="s">
        <v>1919</v>
      </c>
      <c r="F326" s="7" t="s">
        <v>1914</v>
      </c>
      <c r="G326" s="7"/>
      <c r="H326" s="46" t="s">
        <v>249</v>
      </c>
      <c r="I326" s="7" t="s">
        <v>160</v>
      </c>
      <c r="J326" s="7" t="s">
        <v>148</v>
      </c>
      <c r="K326" s="7"/>
      <c r="L326" s="7"/>
      <c r="M326" s="7"/>
    </row>
    <row r="327" ht="15.75" customHeight="1">
      <c r="A327" s="7" t="s">
        <v>1920</v>
      </c>
      <c r="B327" s="45" t="s">
        <v>1921</v>
      </c>
      <c r="C327" s="7" t="s">
        <v>1922</v>
      </c>
      <c r="D327" s="7" t="s">
        <v>1923</v>
      </c>
      <c r="E327" s="7" t="s">
        <v>1924</v>
      </c>
      <c r="F327" s="7" t="s">
        <v>1925</v>
      </c>
      <c r="G327" s="7"/>
      <c r="H327" s="46" t="s">
        <v>249</v>
      </c>
      <c r="I327" s="7" t="s">
        <v>160</v>
      </c>
      <c r="J327" s="7" t="s">
        <v>148</v>
      </c>
      <c r="K327" s="7"/>
      <c r="L327" s="7"/>
      <c r="M327" s="7"/>
    </row>
    <row r="328" ht="15.75" customHeight="1">
      <c r="A328" s="7" t="s">
        <v>1926</v>
      </c>
      <c r="B328" s="45" t="s">
        <v>1927</v>
      </c>
      <c r="C328" s="7" t="s">
        <v>1905</v>
      </c>
      <c r="D328" s="7" t="s">
        <v>1906</v>
      </c>
      <c r="E328" s="7" t="s">
        <v>1928</v>
      </c>
      <c r="F328" s="7" t="s">
        <v>1908</v>
      </c>
      <c r="G328" s="7"/>
      <c r="H328" s="46" t="s">
        <v>249</v>
      </c>
      <c r="I328" s="7" t="s">
        <v>160</v>
      </c>
      <c r="J328" s="7" t="s">
        <v>148</v>
      </c>
      <c r="K328" s="7"/>
      <c r="L328" s="7"/>
      <c r="M328" s="7"/>
    </row>
    <row r="329" ht="15.75" customHeight="1">
      <c r="A329" s="7" t="s">
        <v>1929</v>
      </c>
      <c r="B329" s="45" t="s">
        <v>1930</v>
      </c>
      <c r="C329" s="7" t="s">
        <v>1931</v>
      </c>
      <c r="D329" s="7" t="s">
        <v>1932</v>
      </c>
      <c r="E329" s="7" t="s">
        <v>1933</v>
      </c>
      <c r="F329" s="7" t="s">
        <v>1934</v>
      </c>
      <c r="G329" s="7"/>
      <c r="H329" s="46" t="s">
        <v>249</v>
      </c>
      <c r="I329" s="7" t="s">
        <v>160</v>
      </c>
      <c r="J329" s="7" t="s">
        <v>148</v>
      </c>
      <c r="K329" s="7"/>
      <c r="L329" s="7"/>
      <c r="M329" s="7"/>
    </row>
    <row r="330" ht="15.75" customHeight="1">
      <c r="A330" s="7" t="s">
        <v>1935</v>
      </c>
      <c r="B330" s="45" t="s">
        <v>1936</v>
      </c>
      <c r="C330" s="7" t="s">
        <v>1937</v>
      </c>
      <c r="D330" s="7" t="s">
        <v>1938</v>
      </c>
      <c r="E330" s="7" t="s">
        <v>1939</v>
      </c>
      <c r="F330" s="7" t="s">
        <v>1940</v>
      </c>
      <c r="G330" s="7"/>
      <c r="H330" s="46" t="s">
        <v>249</v>
      </c>
      <c r="I330" s="7" t="s">
        <v>160</v>
      </c>
      <c r="J330" s="7" t="s">
        <v>148</v>
      </c>
      <c r="K330" s="7"/>
      <c r="L330" s="7"/>
      <c r="M330" s="7"/>
    </row>
    <row r="331" ht="15.75" customHeight="1">
      <c r="A331" s="7" t="s">
        <v>1941</v>
      </c>
      <c r="B331" s="45" t="s">
        <v>1942</v>
      </c>
      <c r="C331" s="7" t="s">
        <v>1943</v>
      </c>
      <c r="D331" s="7" t="s">
        <v>1944</v>
      </c>
      <c r="E331" s="7" t="s">
        <v>1945</v>
      </c>
      <c r="F331" s="7" t="s">
        <v>1946</v>
      </c>
      <c r="G331" s="7"/>
      <c r="H331" s="46" t="s">
        <v>249</v>
      </c>
      <c r="I331" s="7" t="s">
        <v>160</v>
      </c>
      <c r="J331" s="7" t="s">
        <v>148</v>
      </c>
      <c r="K331" s="7"/>
      <c r="L331" s="7"/>
      <c r="M331" s="7"/>
    </row>
    <row r="332" ht="15.75" customHeight="1">
      <c r="A332" s="7" t="s">
        <v>1947</v>
      </c>
      <c r="B332" s="45" t="s">
        <v>1948</v>
      </c>
      <c r="C332" s="7" t="s">
        <v>1525</v>
      </c>
      <c r="D332" s="7" t="s">
        <v>1949</v>
      </c>
      <c r="E332" s="7" t="s">
        <v>1527</v>
      </c>
      <c r="F332" s="7" t="s">
        <v>1528</v>
      </c>
      <c r="G332" s="7"/>
      <c r="H332" s="46" t="s">
        <v>249</v>
      </c>
      <c r="I332" s="7" t="s">
        <v>160</v>
      </c>
      <c r="J332" s="7" t="s">
        <v>148</v>
      </c>
      <c r="K332" s="7"/>
      <c r="L332" s="7"/>
      <c r="M332" s="7"/>
    </row>
    <row r="333" ht="15.75" customHeight="1">
      <c r="A333" s="7" t="s">
        <v>1950</v>
      </c>
      <c r="B333" s="45" t="s">
        <v>1951</v>
      </c>
      <c r="C333" s="7" t="s">
        <v>1525</v>
      </c>
      <c r="D333" s="7" t="s">
        <v>1952</v>
      </c>
      <c r="E333" s="7" t="s">
        <v>1527</v>
      </c>
      <c r="F333" s="7" t="s">
        <v>1528</v>
      </c>
      <c r="G333" s="7"/>
      <c r="H333" s="46" t="s">
        <v>249</v>
      </c>
      <c r="I333" s="7" t="s">
        <v>160</v>
      </c>
      <c r="J333" s="7" t="s">
        <v>148</v>
      </c>
      <c r="K333" s="7"/>
      <c r="L333" s="7"/>
      <c r="M333" s="7"/>
    </row>
    <row r="334" ht="15.75" customHeight="1">
      <c r="A334" s="7" t="s">
        <v>1953</v>
      </c>
      <c r="B334" s="45" t="s">
        <v>1954</v>
      </c>
      <c r="C334" s="7" t="s">
        <v>1955</v>
      </c>
      <c r="D334" s="7" t="s">
        <v>1956</v>
      </c>
      <c r="E334" s="7" t="s">
        <v>1957</v>
      </c>
      <c r="F334" s="7" t="s">
        <v>1958</v>
      </c>
      <c r="G334" s="7"/>
      <c r="H334" s="46" t="s">
        <v>249</v>
      </c>
      <c r="I334" s="7" t="s">
        <v>160</v>
      </c>
      <c r="J334" s="7" t="s">
        <v>148</v>
      </c>
      <c r="K334" s="7"/>
      <c r="L334" s="7"/>
      <c r="M334" s="7"/>
    </row>
    <row r="335" ht="15.75" customHeight="1">
      <c r="A335" s="7" t="s">
        <v>1959</v>
      </c>
      <c r="B335" s="45" t="s">
        <v>1960</v>
      </c>
      <c r="C335" s="7" t="s">
        <v>1961</v>
      </c>
      <c r="D335" s="7" t="s">
        <v>1962</v>
      </c>
      <c r="E335" s="7" t="s">
        <v>1963</v>
      </c>
      <c r="F335" s="7" t="s">
        <v>1964</v>
      </c>
      <c r="G335" s="7"/>
      <c r="H335" s="46" t="s">
        <v>249</v>
      </c>
      <c r="I335" s="7" t="s">
        <v>160</v>
      </c>
      <c r="J335" s="7" t="s">
        <v>148</v>
      </c>
      <c r="K335" s="7"/>
      <c r="L335" s="7"/>
      <c r="M335" s="7"/>
    </row>
    <row r="336" ht="15.75" customHeight="1">
      <c r="A336" s="7" t="s">
        <v>1965</v>
      </c>
      <c r="B336" s="45" t="s">
        <v>1966</v>
      </c>
      <c r="C336" s="7" t="s">
        <v>1967</v>
      </c>
      <c r="D336" s="7" t="s">
        <v>1968</v>
      </c>
      <c r="E336" s="7" t="s">
        <v>1969</v>
      </c>
      <c r="F336" s="7" t="s">
        <v>1970</v>
      </c>
      <c r="G336" s="7"/>
      <c r="H336" s="46" t="s">
        <v>249</v>
      </c>
      <c r="I336" s="7" t="s">
        <v>160</v>
      </c>
      <c r="J336" s="7" t="s">
        <v>148</v>
      </c>
      <c r="K336" s="7"/>
      <c r="L336" s="7"/>
      <c r="M336" s="7"/>
    </row>
    <row r="337" ht="15.75" customHeight="1">
      <c r="A337" s="7" t="s">
        <v>1971</v>
      </c>
      <c r="B337" s="45" t="s">
        <v>1972</v>
      </c>
      <c r="C337" s="7" t="s">
        <v>1973</v>
      </c>
      <c r="D337" s="7" t="s">
        <v>1974</v>
      </c>
      <c r="E337" s="7" t="s">
        <v>1975</v>
      </c>
      <c r="F337" s="7" t="s">
        <v>1883</v>
      </c>
      <c r="G337" s="7"/>
      <c r="H337" s="46" t="s">
        <v>249</v>
      </c>
      <c r="I337" s="7" t="s">
        <v>160</v>
      </c>
      <c r="J337" s="7" t="s">
        <v>148</v>
      </c>
      <c r="K337" s="7"/>
      <c r="L337" s="7"/>
      <c r="M337" s="7"/>
    </row>
    <row r="338" ht="15.75" customHeight="1">
      <c r="A338" s="7" t="s">
        <v>1976</v>
      </c>
      <c r="B338" s="45" t="s">
        <v>1977</v>
      </c>
      <c r="C338" s="7" t="s">
        <v>1973</v>
      </c>
      <c r="D338" s="7" t="s">
        <v>1978</v>
      </c>
      <c r="E338" s="7" t="s">
        <v>1979</v>
      </c>
      <c r="F338" s="7" t="s">
        <v>1980</v>
      </c>
      <c r="G338" s="7" t="s">
        <v>1981</v>
      </c>
      <c r="H338" s="46" t="s">
        <v>249</v>
      </c>
      <c r="I338" s="7" t="s">
        <v>160</v>
      </c>
      <c r="J338" s="7" t="s">
        <v>148</v>
      </c>
      <c r="K338" s="7"/>
      <c r="L338" s="7"/>
      <c r="M338" s="7"/>
    </row>
    <row r="339" ht="15.75" customHeight="1">
      <c r="A339" s="7" t="s">
        <v>1982</v>
      </c>
      <c r="B339" s="45" t="s">
        <v>1983</v>
      </c>
      <c r="C339" s="7" t="s">
        <v>1984</v>
      </c>
      <c r="D339" s="7" t="s">
        <v>1985</v>
      </c>
      <c r="E339" s="7" t="s">
        <v>852</v>
      </c>
      <c r="F339" s="7" t="s">
        <v>853</v>
      </c>
      <c r="G339" s="7"/>
      <c r="H339" s="46" t="s">
        <v>249</v>
      </c>
      <c r="I339" s="7" t="s">
        <v>160</v>
      </c>
      <c r="J339" s="7" t="s">
        <v>148</v>
      </c>
      <c r="K339" s="7"/>
      <c r="L339" s="7"/>
      <c r="M339" s="7"/>
    </row>
    <row r="340" ht="15.75" customHeight="1">
      <c r="A340" s="7" t="s">
        <v>1986</v>
      </c>
      <c r="B340" s="45" t="s">
        <v>1987</v>
      </c>
      <c r="C340" s="7" t="s">
        <v>1988</v>
      </c>
      <c r="D340" s="7" t="s">
        <v>1989</v>
      </c>
      <c r="E340" s="7" t="s">
        <v>1990</v>
      </c>
      <c r="F340" s="7" t="s">
        <v>1991</v>
      </c>
      <c r="G340" s="7"/>
      <c r="H340" s="46" t="s">
        <v>249</v>
      </c>
      <c r="I340" s="7" t="s">
        <v>160</v>
      </c>
      <c r="J340" s="7" t="s">
        <v>148</v>
      </c>
      <c r="K340" s="7"/>
      <c r="L340" s="7"/>
      <c r="M340" s="7"/>
    </row>
    <row r="341" ht="15.75" customHeight="1">
      <c r="A341" s="7" t="s">
        <v>1992</v>
      </c>
      <c r="B341" s="45" t="s">
        <v>1993</v>
      </c>
      <c r="C341" s="7" t="s">
        <v>1994</v>
      </c>
      <c r="D341" s="7" t="s">
        <v>1995</v>
      </c>
      <c r="E341" s="7" t="s">
        <v>1996</v>
      </c>
      <c r="F341" s="7" t="s">
        <v>1997</v>
      </c>
      <c r="G341" s="7"/>
      <c r="H341" s="46" t="s">
        <v>249</v>
      </c>
      <c r="I341" s="7" t="s">
        <v>160</v>
      </c>
      <c r="J341" s="7" t="s">
        <v>148</v>
      </c>
      <c r="K341" s="7"/>
      <c r="L341" s="7"/>
      <c r="M341" s="7"/>
    </row>
    <row r="342" ht="15.75" customHeight="1">
      <c r="A342" s="7" t="s">
        <v>1998</v>
      </c>
      <c r="B342" s="45" t="s">
        <v>1999</v>
      </c>
      <c r="C342" s="7" t="s">
        <v>2000</v>
      </c>
      <c r="D342" s="7" t="s">
        <v>2001</v>
      </c>
      <c r="E342" s="7" t="s">
        <v>2002</v>
      </c>
      <c r="F342" s="7" t="s">
        <v>2003</v>
      </c>
      <c r="G342" s="7"/>
      <c r="H342" s="46" t="s">
        <v>249</v>
      </c>
      <c r="I342" s="7" t="s">
        <v>160</v>
      </c>
      <c r="J342" s="7" t="s">
        <v>148</v>
      </c>
      <c r="K342" s="7"/>
      <c r="L342" s="7"/>
      <c r="M342" s="7"/>
    </row>
    <row r="343" ht="15.75" customHeight="1">
      <c r="A343" s="7" t="s">
        <v>2004</v>
      </c>
      <c r="B343" s="45" t="s">
        <v>2005</v>
      </c>
      <c r="C343" s="7" t="s">
        <v>2006</v>
      </c>
      <c r="D343" s="7" t="s">
        <v>2007</v>
      </c>
      <c r="E343" s="7" t="s">
        <v>2008</v>
      </c>
      <c r="F343" s="7" t="s">
        <v>2009</v>
      </c>
      <c r="G343" s="7"/>
      <c r="H343" s="46" t="s">
        <v>249</v>
      </c>
      <c r="I343" s="7" t="s">
        <v>160</v>
      </c>
      <c r="J343" s="7" t="s">
        <v>148</v>
      </c>
      <c r="K343" s="7"/>
      <c r="L343" s="7"/>
      <c r="M343" s="7"/>
    </row>
    <row r="344" ht="15.75" customHeight="1">
      <c r="A344" s="7" t="s">
        <v>2010</v>
      </c>
      <c r="B344" s="45" t="s">
        <v>2011</v>
      </c>
      <c r="C344" s="7" t="s">
        <v>2006</v>
      </c>
      <c r="D344" s="7" t="s">
        <v>2012</v>
      </c>
      <c r="E344" s="7" t="s">
        <v>2008</v>
      </c>
      <c r="F344" s="7" t="s">
        <v>2009</v>
      </c>
      <c r="G344" s="7"/>
      <c r="H344" s="46" t="s">
        <v>249</v>
      </c>
      <c r="I344" s="7" t="s">
        <v>160</v>
      </c>
      <c r="J344" s="7" t="s">
        <v>148</v>
      </c>
      <c r="K344" s="7"/>
      <c r="L344" s="7"/>
      <c r="M344" s="7"/>
    </row>
    <row r="345" ht="15.75" customHeight="1">
      <c r="A345" s="7" t="s">
        <v>2013</v>
      </c>
      <c r="B345" s="45" t="s">
        <v>2014</v>
      </c>
      <c r="C345" s="7" t="s">
        <v>2006</v>
      </c>
      <c r="D345" s="7" t="s">
        <v>2015</v>
      </c>
      <c r="E345" s="7" t="s">
        <v>2008</v>
      </c>
      <c r="F345" s="7" t="s">
        <v>2009</v>
      </c>
      <c r="G345" s="7"/>
      <c r="H345" s="46" t="s">
        <v>249</v>
      </c>
      <c r="I345" s="7" t="s">
        <v>160</v>
      </c>
      <c r="J345" s="7" t="s">
        <v>148</v>
      </c>
      <c r="K345" s="7"/>
      <c r="L345" s="7"/>
      <c r="M345" s="7"/>
    </row>
    <row r="346" ht="15.75" customHeight="1">
      <c r="A346" s="7" t="s">
        <v>2016</v>
      </c>
      <c r="B346" s="45" t="s">
        <v>2017</v>
      </c>
      <c r="C346" s="7" t="s">
        <v>2018</v>
      </c>
      <c r="D346" s="7" t="s">
        <v>2019</v>
      </c>
      <c r="E346" s="7" t="s">
        <v>2020</v>
      </c>
      <c r="F346" s="7" t="s">
        <v>2021</v>
      </c>
      <c r="G346" s="7"/>
      <c r="H346" s="46" t="s">
        <v>249</v>
      </c>
      <c r="I346" s="7" t="s">
        <v>160</v>
      </c>
      <c r="J346" s="7" t="s">
        <v>148</v>
      </c>
      <c r="K346" s="7"/>
      <c r="L346" s="7"/>
      <c r="M346" s="7"/>
    </row>
    <row r="347" ht="15.75" customHeight="1">
      <c r="A347" s="7" t="s">
        <v>2022</v>
      </c>
      <c r="B347" s="45" t="s">
        <v>2023</v>
      </c>
      <c r="C347" s="7" t="s">
        <v>2024</v>
      </c>
      <c r="D347" s="7" t="s">
        <v>2025</v>
      </c>
      <c r="E347" s="7" t="s">
        <v>2026</v>
      </c>
      <c r="F347" s="7" t="s">
        <v>2027</v>
      </c>
      <c r="G347" s="7"/>
      <c r="H347" s="46" t="s">
        <v>249</v>
      </c>
      <c r="I347" s="7" t="s">
        <v>160</v>
      </c>
      <c r="J347" s="7" t="s">
        <v>148</v>
      </c>
      <c r="K347" s="7"/>
      <c r="L347" s="7"/>
      <c r="M347" s="7"/>
    </row>
    <row r="348" ht="15.75" customHeight="1">
      <c r="A348" s="7" t="s">
        <v>2028</v>
      </c>
      <c r="B348" s="45" t="s">
        <v>2029</v>
      </c>
      <c r="C348" s="7" t="s">
        <v>2030</v>
      </c>
      <c r="D348" s="7" t="s">
        <v>2031</v>
      </c>
      <c r="E348" s="7" t="s">
        <v>2032</v>
      </c>
      <c r="F348" s="7" t="s">
        <v>2033</v>
      </c>
      <c r="G348" s="7"/>
      <c r="H348" s="46" t="s">
        <v>249</v>
      </c>
      <c r="I348" s="7" t="s">
        <v>160</v>
      </c>
      <c r="J348" s="7" t="s">
        <v>148</v>
      </c>
      <c r="K348" s="7"/>
      <c r="L348" s="7"/>
      <c r="M348" s="7"/>
    </row>
    <row r="349" ht="15.75" customHeight="1">
      <c r="A349" s="7" t="s">
        <v>2034</v>
      </c>
      <c r="B349" s="45" t="s">
        <v>2035</v>
      </c>
      <c r="C349" s="7" t="s">
        <v>2036</v>
      </c>
      <c r="D349" s="7" t="s">
        <v>2037</v>
      </c>
      <c r="E349" s="7" t="s">
        <v>1768</v>
      </c>
      <c r="F349" s="7" t="s">
        <v>1754</v>
      </c>
      <c r="G349" s="7" t="s">
        <v>2038</v>
      </c>
      <c r="H349" s="46" t="s">
        <v>249</v>
      </c>
      <c r="I349" s="7" t="s">
        <v>160</v>
      </c>
      <c r="J349" s="7" t="s">
        <v>148</v>
      </c>
      <c r="K349" s="7"/>
      <c r="L349" s="7"/>
      <c r="M349" s="7"/>
    </row>
    <row r="350" ht="15.75" customHeight="1">
      <c r="A350" s="7" t="s">
        <v>2039</v>
      </c>
      <c r="B350" s="45" t="s">
        <v>2040</v>
      </c>
      <c r="C350" s="7" t="s">
        <v>2041</v>
      </c>
      <c r="D350" s="7" t="s">
        <v>2042</v>
      </c>
      <c r="E350" s="7" t="s">
        <v>2043</v>
      </c>
      <c r="F350" s="7" t="s">
        <v>2044</v>
      </c>
      <c r="G350" s="7"/>
      <c r="H350" s="46" t="s">
        <v>249</v>
      </c>
      <c r="I350" s="7" t="s">
        <v>160</v>
      </c>
      <c r="J350" s="7" t="s">
        <v>148</v>
      </c>
      <c r="K350" s="7"/>
      <c r="L350" s="7"/>
      <c r="M350" s="7"/>
    </row>
    <row r="351" ht="15.75" customHeight="1">
      <c r="A351" s="7" t="s">
        <v>2045</v>
      </c>
      <c r="B351" s="45" t="s">
        <v>2046</v>
      </c>
      <c r="C351" s="7" t="s">
        <v>2047</v>
      </c>
      <c r="D351" s="7" t="s">
        <v>2048</v>
      </c>
      <c r="E351" s="7" t="s">
        <v>2049</v>
      </c>
      <c r="F351" s="7" t="s">
        <v>2050</v>
      </c>
      <c r="G351" s="7"/>
      <c r="H351" s="46" t="s">
        <v>249</v>
      </c>
      <c r="I351" s="7" t="s">
        <v>160</v>
      </c>
      <c r="J351" s="7" t="s">
        <v>148</v>
      </c>
      <c r="K351" s="7"/>
      <c r="L351" s="7"/>
      <c r="M351" s="7"/>
    </row>
    <row r="352" ht="15.75" customHeight="1">
      <c r="A352" s="7" t="s">
        <v>2051</v>
      </c>
      <c r="B352" s="45" t="s">
        <v>2052</v>
      </c>
      <c r="C352" s="7" t="s">
        <v>2053</v>
      </c>
      <c r="D352" s="7" t="s">
        <v>2054</v>
      </c>
      <c r="E352" s="7" t="s">
        <v>2055</v>
      </c>
      <c r="F352" s="7" t="s">
        <v>2056</v>
      </c>
      <c r="G352" s="7"/>
      <c r="H352" s="46" t="s">
        <v>249</v>
      </c>
      <c r="I352" s="7" t="s">
        <v>160</v>
      </c>
      <c r="J352" s="7" t="s">
        <v>148</v>
      </c>
      <c r="K352" s="7"/>
      <c r="L352" s="7"/>
      <c r="M352" s="7"/>
    </row>
    <row r="353" ht="15.75" customHeight="1">
      <c r="A353" s="7" t="s">
        <v>2057</v>
      </c>
      <c r="B353" s="45" t="s">
        <v>2058</v>
      </c>
      <c r="C353" s="7" t="s">
        <v>2059</v>
      </c>
      <c r="D353" s="7" t="s">
        <v>2060</v>
      </c>
      <c r="E353" s="7" t="s">
        <v>2061</v>
      </c>
      <c r="F353" s="7" t="s">
        <v>2062</v>
      </c>
      <c r="G353" s="7" t="s">
        <v>2063</v>
      </c>
      <c r="H353" s="46" t="s">
        <v>249</v>
      </c>
      <c r="I353" s="7" t="s">
        <v>160</v>
      </c>
      <c r="J353" s="7" t="s">
        <v>148</v>
      </c>
      <c r="K353" s="7"/>
      <c r="L353" s="7"/>
      <c r="M353" s="7"/>
    </row>
    <row r="354" ht="15.75" customHeight="1">
      <c r="A354" s="7" t="s">
        <v>2064</v>
      </c>
      <c r="B354" s="45" t="s">
        <v>2065</v>
      </c>
      <c r="C354" s="7" t="s">
        <v>2066</v>
      </c>
      <c r="D354" s="7" t="s">
        <v>1702</v>
      </c>
      <c r="E354" s="7" t="s">
        <v>2067</v>
      </c>
      <c r="F354" s="7" t="s">
        <v>2068</v>
      </c>
      <c r="G354" s="7"/>
      <c r="H354" s="46" t="s">
        <v>249</v>
      </c>
      <c r="I354" s="7" t="s">
        <v>160</v>
      </c>
      <c r="J354" s="7" t="s">
        <v>148</v>
      </c>
      <c r="K354" s="7"/>
      <c r="L354" s="7"/>
      <c r="M354" s="7"/>
    </row>
    <row r="355" ht="15.75" customHeight="1">
      <c r="A355" s="7" t="s">
        <v>2069</v>
      </c>
      <c r="B355" s="45" t="s">
        <v>2070</v>
      </c>
      <c r="C355" s="7" t="s">
        <v>2071</v>
      </c>
      <c r="D355" s="7" t="s">
        <v>2072</v>
      </c>
      <c r="E355" s="7" t="s">
        <v>2073</v>
      </c>
      <c r="F355" s="7" t="s">
        <v>2074</v>
      </c>
      <c r="G355" s="7"/>
      <c r="H355" s="46" t="s">
        <v>249</v>
      </c>
      <c r="I355" s="7" t="s">
        <v>160</v>
      </c>
      <c r="J355" s="7" t="s">
        <v>148</v>
      </c>
      <c r="K355" s="7"/>
      <c r="L355" s="7"/>
      <c r="M355" s="7"/>
    </row>
    <row r="356" ht="15.75" customHeight="1">
      <c r="A356" s="7" t="s">
        <v>2075</v>
      </c>
      <c r="B356" s="45" t="s">
        <v>2076</v>
      </c>
      <c r="C356" s="7" t="s">
        <v>2077</v>
      </c>
      <c r="D356" s="7" t="s">
        <v>2078</v>
      </c>
      <c r="E356" s="7" t="s">
        <v>2079</v>
      </c>
      <c r="F356" s="7" t="s">
        <v>2080</v>
      </c>
      <c r="G356" s="7"/>
      <c r="H356" s="46" t="s">
        <v>249</v>
      </c>
      <c r="I356" s="7" t="s">
        <v>160</v>
      </c>
      <c r="J356" s="7" t="s">
        <v>148</v>
      </c>
      <c r="K356" s="7"/>
      <c r="L356" s="7"/>
      <c r="M356" s="7"/>
    </row>
    <row r="357" ht="15.75" customHeight="1">
      <c r="A357" s="7" t="s">
        <v>2081</v>
      </c>
      <c r="B357" s="45" t="s">
        <v>2082</v>
      </c>
      <c r="C357" s="7" t="s">
        <v>2083</v>
      </c>
      <c r="D357" s="7" t="s">
        <v>2084</v>
      </c>
      <c r="E357" s="7" t="s">
        <v>2085</v>
      </c>
      <c r="F357" s="7" t="s">
        <v>2086</v>
      </c>
      <c r="G357" s="7" t="s">
        <v>2086</v>
      </c>
      <c r="H357" s="46" t="s">
        <v>249</v>
      </c>
      <c r="I357" s="7" t="s">
        <v>160</v>
      </c>
      <c r="J357" s="7" t="s">
        <v>148</v>
      </c>
      <c r="K357" s="7"/>
      <c r="L357" s="7"/>
      <c r="M357" s="7"/>
    </row>
    <row r="358" ht="15.75" customHeight="1">
      <c r="A358" s="7" t="s">
        <v>2087</v>
      </c>
      <c r="B358" s="45" t="s">
        <v>2088</v>
      </c>
      <c r="C358" s="7" t="s">
        <v>2089</v>
      </c>
      <c r="D358" s="7" t="s">
        <v>2090</v>
      </c>
      <c r="E358" s="7" t="s">
        <v>2091</v>
      </c>
      <c r="F358" s="7" t="s">
        <v>2092</v>
      </c>
      <c r="G358" s="7"/>
      <c r="H358" s="46" t="s">
        <v>249</v>
      </c>
      <c r="I358" s="7" t="s">
        <v>160</v>
      </c>
      <c r="J358" s="7" t="s">
        <v>148</v>
      </c>
      <c r="K358" s="7"/>
      <c r="L358" s="7"/>
      <c r="M358" s="7"/>
    </row>
    <row r="359" ht="15.75" customHeight="1">
      <c r="A359" s="7" t="s">
        <v>2093</v>
      </c>
      <c r="B359" s="45" t="s">
        <v>2094</v>
      </c>
      <c r="C359" s="7" t="s">
        <v>2095</v>
      </c>
      <c r="D359" s="7" t="s">
        <v>2096</v>
      </c>
      <c r="E359" s="7" t="s">
        <v>2097</v>
      </c>
      <c r="F359" s="7" t="s">
        <v>2098</v>
      </c>
      <c r="G359" s="7"/>
      <c r="H359" s="46" t="s">
        <v>249</v>
      </c>
      <c r="I359" s="7" t="s">
        <v>160</v>
      </c>
      <c r="J359" s="7" t="s">
        <v>148</v>
      </c>
      <c r="K359" s="7"/>
      <c r="L359" s="7"/>
      <c r="M359" s="7"/>
    </row>
    <row r="360" ht="15.75" customHeight="1">
      <c r="A360" s="7" t="s">
        <v>2099</v>
      </c>
      <c r="B360" s="45" t="s">
        <v>2100</v>
      </c>
      <c r="C360" s="7" t="s">
        <v>2101</v>
      </c>
      <c r="D360" s="7" t="s">
        <v>2102</v>
      </c>
      <c r="E360" s="7" t="s">
        <v>2103</v>
      </c>
      <c r="F360" s="7" t="s">
        <v>2092</v>
      </c>
      <c r="G360" s="7"/>
      <c r="H360" s="46" t="s">
        <v>249</v>
      </c>
      <c r="I360" s="7" t="s">
        <v>160</v>
      </c>
      <c r="J360" s="7" t="s">
        <v>148</v>
      </c>
      <c r="K360" s="7"/>
      <c r="L360" s="7"/>
      <c r="M360" s="7"/>
    </row>
    <row r="361" ht="15.75" customHeight="1">
      <c r="A361" s="7" t="s">
        <v>2104</v>
      </c>
      <c r="B361" s="45" t="s">
        <v>2105</v>
      </c>
      <c r="C361" s="7" t="s">
        <v>2106</v>
      </c>
      <c r="D361" s="7" t="s">
        <v>2107</v>
      </c>
      <c r="E361" s="7" t="s">
        <v>2108</v>
      </c>
      <c r="F361" s="7" t="s">
        <v>2109</v>
      </c>
      <c r="G361" s="7"/>
      <c r="H361" s="46" t="s">
        <v>249</v>
      </c>
      <c r="I361" s="7" t="s">
        <v>160</v>
      </c>
      <c r="J361" s="7" t="s">
        <v>148</v>
      </c>
      <c r="K361" s="7"/>
      <c r="L361" s="7"/>
      <c r="M361" s="7"/>
    </row>
    <row r="362" ht="15.75" customHeight="1">
      <c r="A362" s="7" t="s">
        <v>2110</v>
      </c>
      <c r="B362" s="45" t="s">
        <v>2111</v>
      </c>
      <c r="C362" s="7" t="s">
        <v>2112</v>
      </c>
      <c r="D362" s="7" t="s">
        <v>2113</v>
      </c>
      <c r="E362" s="7" t="s">
        <v>2114</v>
      </c>
      <c r="F362" s="7" t="s">
        <v>2115</v>
      </c>
      <c r="G362" s="7"/>
      <c r="H362" s="46" t="s">
        <v>249</v>
      </c>
      <c r="I362" s="7" t="s">
        <v>160</v>
      </c>
      <c r="J362" s="7" t="s">
        <v>148</v>
      </c>
      <c r="K362" s="7"/>
      <c r="L362" s="7"/>
      <c r="M362" s="7"/>
    </row>
    <row r="363" ht="15.75" customHeight="1">
      <c r="A363" s="7" t="s">
        <v>2116</v>
      </c>
      <c r="B363" s="45" t="s">
        <v>2117</v>
      </c>
      <c r="C363" s="7" t="s">
        <v>2118</v>
      </c>
      <c r="D363" s="7" t="s">
        <v>2119</v>
      </c>
      <c r="E363" s="7" t="s">
        <v>2120</v>
      </c>
      <c r="F363" s="7" t="s">
        <v>2121</v>
      </c>
      <c r="G363" s="7"/>
      <c r="H363" s="46" t="s">
        <v>249</v>
      </c>
      <c r="I363" s="7" t="s">
        <v>160</v>
      </c>
      <c r="J363" s="7" t="s">
        <v>148</v>
      </c>
      <c r="K363" s="7"/>
      <c r="L363" s="7"/>
      <c r="M363" s="7"/>
    </row>
    <row r="364" ht="15.75" customHeight="1">
      <c r="A364" s="7" t="s">
        <v>2122</v>
      </c>
      <c r="B364" s="45" t="s">
        <v>2123</v>
      </c>
      <c r="C364" s="7" t="s">
        <v>2124</v>
      </c>
      <c r="D364" s="7" t="s">
        <v>2125</v>
      </c>
      <c r="E364" s="7" t="s">
        <v>2126</v>
      </c>
      <c r="F364" s="7" t="s">
        <v>2121</v>
      </c>
      <c r="G364" s="7"/>
      <c r="H364" s="46" t="s">
        <v>249</v>
      </c>
      <c r="I364" s="7" t="s">
        <v>160</v>
      </c>
      <c r="J364" s="7" t="s">
        <v>148</v>
      </c>
      <c r="K364" s="7"/>
      <c r="L364" s="7"/>
      <c r="M364" s="7"/>
    </row>
    <row r="365" ht="15.75" customHeight="1">
      <c r="A365" s="7" t="s">
        <v>2127</v>
      </c>
      <c r="B365" s="45" t="s">
        <v>2128</v>
      </c>
      <c r="C365" s="7" t="s">
        <v>2124</v>
      </c>
      <c r="D365" s="7" t="s">
        <v>2129</v>
      </c>
      <c r="E365" s="7" t="s">
        <v>2126</v>
      </c>
      <c r="F365" s="7" t="s">
        <v>2121</v>
      </c>
      <c r="G365" s="7"/>
      <c r="H365" s="46" t="s">
        <v>249</v>
      </c>
      <c r="I365" s="7" t="s">
        <v>160</v>
      </c>
      <c r="J365" s="7" t="s">
        <v>148</v>
      </c>
      <c r="K365" s="7"/>
      <c r="L365" s="7"/>
      <c r="M365" s="7"/>
    </row>
    <row r="366" ht="15.75" customHeight="1">
      <c r="A366" s="7" t="s">
        <v>2130</v>
      </c>
      <c r="B366" s="45" t="s">
        <v>2131</v>
      </c>
      <c r="C366" s="7" t="s">
        <v>2132</v>
      </c>
      <c r="D366" s="7" t="s">
        <v>2133</v>
      </c>
      <c r="E366" s="7" t="s">
        <v>2134</v>
      </c>
      <c r="F366" s="7" t="s">
        <v>2121</v>
      </c>
      <c r="G366" s="7" t="s">
        <v>2135</v>
      </c>
      <c r="H366" s="46" t="s">
        <v>249</v>
      </c>
      <c r="I366" s="7" t="s">
        <v>160</v>
      </c>
      <c r="J366" s="7" t="s">
        <v>148</v>
      </c>
      <c r="K366" s="7"/>
      <c r="L366" s="7"/>
      <c r="M366" s="7"/>
    </row>
    <row r="367" ht="15.75" customHeight="1">
      <c r="A367" s="7" t="s">
        <v>2136</v>
      </c>
      <c r="B367" s="45" t="s">
        <v>2137</v>
      </c>
      <c r="C367" s="7" t="s">
        <v>2138</v>
      </c>
      <c r="D367" s="7" t="s">
        <v>2139</v>
      </c>
      <c r="E367" s="7" t="s">
        <v>2140</v>
      </c>
      <c r="F367" s="7" t="s">
        <v>2141</v>
      </c>
      <c r="G367" s="7"/>
      <c r="H367" s="46" t="s">
        <v>249</v>
      </c>
      <c r="I367" s="7" t="s">
        <v>160</v>
      </c>
      <c r="J367" s="7" t="s">
        <v>148</v>
      </c>
      <c r="K367" s="7"/>
      <c r="L367" s="7"/>
      <c r="M367" s="7"/>
    </row>
    <row r="368" ht="15.75" customHeight="1">
      <c r="A368" s="7" t="s">
        <v>2142</v>
      </c>
      <c r="B368" s="45" t="s">
        <v>2143</v>
      </c>
      <c r="C368" s="7" t="s">
        <v>2144</v>
      </c>
      <c r="D368" s="7" t="s">
        <v>2145</v>
      </c>
      <c r="E368" s="7" t="s">
        <v>2146</v>
      </c>
      <c r="F368" s="7" t="s">
        <v>2147</v>
      </c>
      <c r="G368" s="7" t="s">
        <v>2148</v>
      </c>
      <c r="H368" s="46" t="s">
        <v>249</v>
      </c>
      <c r="I368" s="7" t="s">
        <v>160</v>
      </c>
      <c r="J368" s="7" t="s">
        <v>148</v>
      </c>
      <c r="K368" s="7"/>
      <c r="L368" s="7"/>
      <c r="M368" s="7"/>
    </row>
    <row r="369" ht="15.75" customHeight="1">
      <c r="A369" s="7" t="s">
        <v>2149</v>
      </c>
      <c r="B369" s="45" t="s">
        <v>2150</v>
      </c>
      <c r="C369" s="7" t="s">
        <v>2151</v>
      </c>
      <c r="D369" s="7" t="s">
        <v>2152</v>
      </c>
      <c r="E369" s="7" t="s">
        <v>2153</v>
      </c>
      <c r="F369" s="7" t="s">
        <v>2154</v>
      </c>
      <c r="G369" s="7"/>
      <c r="H369" s="46" t="s">
        <v>249</v>
      </c>
      <c r="I369" s="7" t="s">
        <v>160</v>
      </c>
      <c r="J369" s="7" t="s">
        <v>148</v>
      </c>
      <c r="K369" s="7"/>
      <c r="L369" s="7"/>
      <c r="M369" s="7"/>
    </row>
    <row r="370" ht="15.75" customHeight="1">
      <c r="A370" s="7" t="s">
        <v>2155</v>
      </c>
      <c r="B370" s="45" t="s">
        <v>2156</v>
      </c>
      <c r="C370" s="7" t="s">
        <v>2151</v>
      </c>
      <c r="D370" s="7" t="s">
        <v>2157</v>
      </c>
      <c r="E370" s="7" t="s">
        <v>2158</v>
      </c>
      <c r="F370" s="7" t="s">
        <v>2154</v>
      </c>
      <c r="G370" s="7"/>
      <c r="H370" s="46" t="s">
        <v>249</v>
      </c>
      <c r="I370" s="7" t="s">
        <v>160</v>
      </c>
      <c r="J370" s="7" t="s">
        <v>148</v>
      </c>
      <c r="K370" s="7"/>
      <c r="L370" s="7"/>
      <c r="M370" s="7"/>
    </row>
    <row r="371" ht="15.75" customHeight="1">
      <c r="A371" s="7" t="s">
        <v>2159</v>
      </c>
      <c r="B371" s="45" t="s">
        <v>2160</v>
      </c>
      <c r="C371" s="7" t="s">
        <v>2151</v>
      </c>
      <c r="D371" s="7" t="s">
        <v>2161</v>
      </c>
      <c r="E371" s="7" t="s">
        <v>2158</v>
      </c>
      <c r="F371" s="7" t="s">
        <v>2154</v>
      </c>
      <c r="G371" s="7"/>
      <c r="H371" s="46" t="s">
        <v>249</v>
      </c>
      <c r="I371" s="7" t="s">
        <v>160</v>
      </c>
      <c r="J371" s="7" t="s">
        <v>148</v>
      </c>
      <c r="K371" s="7"/>
      <c r="L371" s="7"/>
      <c r="M371" s="7"/>
    </row>
    <row r="372" ht="15.75" customHeight="1">
      <c r="A372" s="7" t="s">
        <v>2162</v>
      </c>
      <c r="B372" s="45" t="s">
        <v>2163</v>
      </c>
      <c r="C372" s="7" t="s">
        <v>2164</v>
      </c>
      <c r="D372" s="7" t="s">
        <v>2165</v>
      </c>
      <c r="E372" s="7" t="s">
        <v>2166</v>
      </c>
      <c r="F372" s="7" t="s">
        <v>2167</v>
      </c>
      <c r="G372" s="7"/>
      <c r="H372" s="46" t="s">
        <v>249</v>
      </c>
      <c r="I372" s="7" t="s">
        <v>160</v>
      </c>
      <c r="J372" s="7" t="s">
        <v>148</v>
      </c>
      <c r="K372" s="7"/>
      <c r="L372" s="7"/>
      <c r="M372" s="7"/>
    </row>
    <row r="373" ht="15.75" customHeight="1">
      <c r="A373" s="7" t="s">
        <v>2168</v>
      </c>
      <c r="B373" s="45" t="s">
        <v>2169</v>
      </c>
      <c r="C373" s="7" t="s">
        <v>2170</v>
      </c>
      <c r="D373" s="7" t="s">
        <v>2171</v>
      </c>
      <c r="E373" s="7" t="s">
        <v>2172</v>
      </c>
      <c r="F373" s="7" t="s">
        <v>2173</v>
      </c>
      <c r="G373" s="7"/>
      <c r="H373" s="46" t="s">
        <v>249</v>
      </c>
      <c r="I373" s="7" t="s">
        <v>160</v>
      </c>
      <c r="J373" s="7" t="s">
        <v>148</v>
      </c>
      <c r="K373" s="7"/>
      <c r="L373" s="7"/>
      <c r="M373" s="7"/>
    </row>
    <row r="374" ht="15.75" customHeight="1">
      <c r="A374" s="7" t="s">
        <v>2174</v>
      </c>
      <c r="B374" s="45" t="s">
        <v>2175</v>
      </c>
      <c r="C374" s="7" t="s">
        <v>2176</v>
      </c>
      <c r="D374" s="7" t="s">
        <v>2177</v>
      </c>
      <c r="E374" s="7" t="s">
        <v>2178</v>
      </c>
      <c r="F374" s="7" t="s">
        <v>2179</v>
      </c>
      <c r="G374" s="7"/>
      <c r="H374" s="46" t="s">
        <v>249</v>
      </c>
      <c r="I374" s="7" t="s">
        <v>160</v>
      </c>
      <c r="J374" s="7" t="s">
        <v>148</v>
      </c>
      <c r="K374" s="7"/>
      <c r="L374" s="7"/>
      <c r="M374" s="7"/>
    </row>
    <row r="375" ht="15.75" customHeight="1">
      <c r="A375" s="7" t="s">
        <v>2180</v>
      </c>
      <c r="B375" s="45" t="s">
        <v>2181</v>
      </c>
      <c r="C375" s="7" t="s">
        <v>2182</v>
      </c>
      <c r="D375" s="7" t="s">
        <v>2183</v>
      </c>
      <c r="E375" s="7" t="s">
        <v>2184</v>
      </c>
      <c r="F375" s="7" t="s">
        <v>2185</v>
      </c>
      <c r="G375" s="7"/>
      <c r="H375" s="46" t="s">
        <v>249</v>
      </c>
      <c r="I375" s="7" t="s">
        <v>160</v>
      </c>
      <c r="J375" s="7" t="s">
        <v>148</v>
      </c>
      <c r="K375" s="7"/>
      <c r="L375" s="7"/>
      <c r="M375" s="7"/>
    </row>
    <row r="376" ht="15.75" customHeight="1">
      <c r="A376" s="7" t="s">
        <v>2186</v>
      </c>
      <c r="B376" s="45" t="s">
        <v>2187</v>
      </c>
      <c r="C376" s="7" t="s">
        <v>330</v>
      </c>
      <c r="D376" s="7" t="s">
        <v>2188</v>
      </c>
      <c r="E376" s="7" t="s">
        <v>338</v>
      </c>
      <c r="F376" s="7" t="s">
        <v>339</v>
      </c>
      <c r="G376" s="7"/>
      <c r="H376" s="46" t="s">
        <v>249</v>
      </c>
      <c r="I376" s="7" t="s">
        <v>160</v>
      </c>
      <c r="J376" s="7" t="s">
        <v>148</v>
      </c>
      <c r="K376" s="7"/>
      <c r="L376" s="7"/>
      <c r="M376" s="7"/>
    </row>
    <row r="377" ht="15.75" customHeight="1">
      <c r="A377" s="7" t="s">
        <v>2189</v>
      </c>
      <c r="B377" s="45" t="s">
        <v>2190</v>
      </c>
      <c r="C377" s="7" t="s">
        <v>2191</v>
      </c>
      <c r="D377" s="7" t="s">
        <v>2192</v>
      </c>
      <c r="E377" s="7" t="s">
        <v>2193</v>
      </c>
      <c r="F377" s="7" t="s">
        <v>2194</v>
      </c>
      <c r="G377" s="7"/>
      <c r="H377" s="46" t="s">
        <v>249</v>
      </c>
      <c r="I377" s="7" t="s">
        <v>160</v>
      </c>
      <c r="J377" s="7" t="s">
        <v>148</v>
      </c>
      <c r="K377" s="7"/>
      <c r="L377" s="7"/>
      <c r="M377" s="7"/>
    </row>
    <row r="378" ht="15.75" customHeight="1">
      <c r="A378" s="7" t="s">
        <v>2195</v>
      </c>
      <c r="B378" s="45" t="s">
        <v>2196</v>
      </c>
      <c r="C378" s="7" t="s">
        <v>2197</v>
      </c>
      <c r="D378" s="7" t="s">
        <v>2198</v>
      </c>
      <c r="E378" s="7" t="s">
        <v>2199</v>
      </c>
      <c r="F378" s="7" t="s">
        <v>2200</v>
      </c>
      <c r="G378" s="7"/>
      <c r="H378" s="46" t="s">
        <v>249</v>
      </c>
      <c r="I378" s="7" t="s">
        <v>160</v>
      </c>
      <c r="J378" s="7" t="s">
        <v>148</v>
      </c>
      <c r="K378" s="7"/>
      <c r="L378" s="7"/>
      <c r="M378" s="7"/>
    </row>
    <row r="379" ht="15.75" customHeight="1">
      <c r="A379" s="7" t="s">
        <v>2201</v>
      </c>
      <c r="B379" s="45" t="s">
        <v>2202</v>
      </c>
      <c r="C379" s="7" t="s">
        <v>2203</v>
      </c>
      <c r="D379" s="7" t="s">
        <v>2204</v>
      </c>
      <c r="E379" s="7" t="s">
        <v>2205</v>
      </c>
      <c r="F379" s="7" t="s">
        <v>2206</v>
      </c>
      <c r="G379" s="7"/>
      <c r="H379" s="46" t="s">
        <v>249</v>
      </c>
      <c r="I379" s="7" t="s">
        <v>160</v>
      </c>
      <c r="J379" s="7" t="s">
        <v>148</v>
      </c>
      <c r="K379" s="7"/>
      <c r="L379" s="7"/>
      <c r="M379" s="7"/>
    </row>
    <row r="380" ht="15.75" customHeight="1">
      <c r="A380" s="7" t="s">
        <v>2207</v>
      </c>
      <c r="B380" s="45" t="s">
        <v>2208</v>
      </c>
      <c r="C380" s="7" t="s">
        <v>2209</v>
      </c>
      <c r="D380" s="7" t="s">
        <v>2210</v>
      </c>
      <c r="E380" s="7" t="s">
        <v>2211</v>
      </c>
      <c r="F380" s="7" t="s">
        <v>2212</v>
      </c>
      <c r="G380" s="7"/>
      <c r="H380" s="46" t="s">
        <v>249</v>
      </c>
      <c r="I380" s="7" t="s">
        <v>160</v>
      </c>
      <c r="J380" s="7" t="s">
        <v>148</v>
      </c>
      <c r="K380" s="7"/>
      <c r="L380" s="7"/>
      <c r="M380" s="7"/>
    </row>
    <row r="381" ht="15.75" customHeight="1">
      <c r="A381" s="7" t="s">
        <v>2213</v>
      </c>
      <c r="B381" s="45" t="s">
        <v>2214</v>
      </c>
      <c r="C381" s="7" t="s">
        <v>2215</v>
      </c>
      <c r="D381" s="7" t="s">
        <v>2216</v>
      </c>
      <c r="E381" s="7" t="s">
        <v>2217</v>
      </c>
      <c r="F381" s="7" t="s">
        <v>2218</v>
      </c>
      <c r="G381" s="7"/>
      <c r="H381" s="46" t="s">
        <v>249</v>
      </c>
      <c r="I381" s="7" t="s">
        <v>160</v>
      </c>
      <c r="J381" s="7" t="s">
        <v>148</v>
      </c>
      <c r="K381" s="7"/>
      <c r="L381" s="7"/>
      <c r="M381" s="7"/>
    </row>
    <row r="382" ht="15.75" customHeight="1">
      <c r="A382" s="7" t="s">
        <v>2219</v>
      </c>
      <c r="B382" s="45" t="s">
        <v>2220</v>
      </c>
      <c r="C382" s="7" t="s">
        <v>2221</v>
      </c>
      <c r="D382" s="7" t="s">
        <v>2222</v>
      </c>
      <c r="E382" s="7" t="s">
        <v>2223</v>
      </c>
      <c r="F382" s="7" t="s">
        <v>2224</v>
      </c>
      <c r="G382" s="7"/>
      <c r="H382" s="46" t="s">
        <v>249</v>
      </c>
      <c r="I382" s="7" t="s">
        <v>160</v>
      </c>
      <c r="J382" s="7" t="s">
        <v>148</v>
      </c>
      <c r="K382" s="7"/>
      <c r="L382" s="7"/>
      <c r="M382" s="7"/>
    </row>
    <row r="383" ht="15.75" customHeight="1">
      <c r="A383" s="7" t="s">
        <v>2225</v>
      </c>
      <c r="B383" s="45" t="s">
        <v>2226</v>
      </c>
      <c r="C383" s="7" t="s">
        <v>2227</v>
      </c>
      <c r="D383" s="7" t="s">
        <v>2228</v>
      </c>
      <c r="E383" s="7" t="s">
        <v>2229</v>
      </c>
      <c r="F383" s="7" t="s">
        <v>2230</v>
      </c>
      <c r="G383" s="7"/>
      <c r="H383" s="46" t="s">
        <v>249</v>
      </c>
      <c r="I383" s="7" t="s">
        <v>160</v>
      </c>
      <c r="J383" s="7" t="s">
        <v>148</v>
      </c>
      <c r="K383" s="7"/>
      <c r="L383" s="7"/>
      <c r="M383" s="7"/>
    </row>
    <row r="384" ht="15.75" customHeight="1">
      <c r="A384" s="7" t="s">
        <v>2231</v>
      </c>
      <c r="B384" s="45" t="s">
        <v>2232</v>
      </c>
      <c r="C384" s="7" t="s">
        <v>2233</v>
      </c>
      <c r="D384" s="7" t="s">
        <v>2234</v>
      </c>
      <c r="E384" s="7" t="s">
        <v>2235</v>
      </c>
      <c r="F384" s="7" t="s">
        <v>2236</v>
      </c>
      <c r="G384" s="7" t="s">
        <v>2237</v>
      </c>
      <c r="H384" s="46" t="s">
        <v>249</v>
      </c>
      <c r="I384" s="7" t="s">
        <v>160</v>
      </c>
      <c r="J384" s="7" t="s">
        <v>148</v>
      </c>
      <c r="K384" s="7"/>
      <c r="L384" s="7"/>
      <c r="M384" s="7"/>
    </row>
    <row r="385" ht="15.75" customHeight="1">
      <c r="A385" s="7" t="s">
        <v>2238</v>
      </c>
      <c r="B385" s="45" t="s">
        <v>2239</v>
      </c>
      <c r="C385" s="7" t="s">
        <v>2240</v>
      </c>
      <c r="D385" s="7" t="s">
        <v>2241</v>
      </c>
      <c r="E385" s="7" t="s">
        <v>2242</v>
      </c>
      <c r="F385" s="7" t="s">
        <v>2243</v>
      </c>
      <c r="G385" s="7"/>
      <c r="H385" s="46" t="s">
        <v>249</v>
      </c>
      <c r="I385" s="7" t="s">
        <v>160</v>
      </c>
      <c r="J385" s="7" t="s">
        <v>148</v>
      </c>
      <c r="K385" s="7"/>
      <c r="L385" s="7"/>
      <c r="M385" s="7"/>
    </row>
    <row r="386" ht="15.75" customHeight="1">
      <c r="A386" s="7" t="s">
        <v>2244</v>
      </c>
      <c r="B386" s="45" t="s">
        <v>2245</v>
      </c>
      <c r="C386" s="7" t="s">
        <v>330</v>
      </c>
      <c r="D386" s="7" t="s">
        <v>2246</v>
      </c>
      <c r="E386" s="7" t="s">
        <v>332</v>
      </c>
      <c r="F386" s="7" t="s">
        <v>333</v>
      </c>
      <c r="G386" s="7"/>
      <c r="H386" s="46" t="s">
        <v>249</v>
      </c>
      <c r="I386" s="7" t="s">
        <v>160</v>
      </c>
      <c r="J386" s="7" t="s">
        <v>148</v>
      </c>
      <c r="K386" s="7"/>
      <c r="L386" s="7"/>
      <c r="M386" s="7"/>
    </row>
    <row r="387" ht="15.75" customHeight="1">
      <c r="A387" s="7" t="s">
        <v>2247</v>
      </c>
      <c r="B387" s="45" t="s">
        <v>2248</v>
      </c>
      <c r="C387" s="7" t="s">
        <v>330</v>
      </c>
      <c r="D387" s="7" t="s">
        <v>2249</v>
      </c>
      <c r="E387" s="7" t="s">
        <v>338</v>
      </c>
      <c r="F387" s="7" t="s">
        <v>339</v>
      </c>
      <c r="G387" s="7"/>
      <c r="H387" s="46" t="s">
        <v>249</v>
      </c>
      <c r="I387" s="7" t="s">
        <v>160</v>
      </c>
      <c r="J387" s="7" t="s">
        <v>148</v>
      </c>
      <c r="K387" s="7"/>
      <c r="L387" s="7"/>
      <c r="M387" s="7"/>
    </row>
    <row r="388" ht="15.75" customHeight="1">
      <c r="A388" s="7" t="s">
        <v>2250</v>
      </c>
      <c r="B388" s="45" t="s">
        <v>2251</v>
      </c>
      <c r="C388" s="7" t="s">
        <v>2252</v>
      </c>
      <c r="D388" s="7" t="s">
        <v>2253</v>
      </c>
      <c r="E388" s="7" t="s">
        <v>2254</v>
      </c>
      <c r="F388" s="7" t="s">
        <v>2255</v>
      </c>
      <c r="G388" s="7"/>
      <c r="H388" s="46" t="s">
        <v>249</v>
      </c>
      <c r="I388" s="7" t="s">
        <v>160</v>
      </c>
      <c r="J388" s="7" t="s">
        <v>148</v>
      </c>
      <c r="K388" s="7"/>
      <c r="L388" s="7"/>
      <c r="M388" s="7"/>
    </row>
    <row r="389" ht="15.75" customHeight="1">
      <c r="A389" s="7" t="s">
        <v>2256</v>
      </c>
      <c r="B389" s="45" t="s">
        <v>2257</v>
      </c>
      <c r="C389" s="7" t="s">
        <v>2258</v>
      </c>
      <c r="D389" s="7" t="s">
        <v>2259</v>
      </c>
      <c r="E389" s="7" t="s">
        <v>2260</v>
      </c>
      <c r="F389" s="7" t="s">
        <v>2261</v>
      </c>
      <c r="G389" s="7"/>
      <c r="H389" s="46" t="s">
        <v>249</v>
      </c>
      <c r="I389" s="7" t="s">
        <v>160</v>
      </c>
      <c r="J389" s="7" t="s">
        <v>148</v>
      </c>
      <c r="K389" s="7"/>
      <c r="L389" s="7"/>
      <c r="M389" s="7"/>
    </row>
    <row r="390" ht="15.75" customHeight="1">
      <c r="A390" s="7" t="s">
        <v>2262</v>
      </c>
      <c r="B390" s="45" t="s">
        <v>2263</v>
      </c>
      <c r="C390" s="7" t="s">
        <v>2264</v>
      </c>
      <c r="D390" s="7" t="s">
        <v>2265</v>
      </c>
      <c r="E390" s="7" t="s">
        <v>2266</v>
      </c>
      <c r="F390" s="7" t="s">
        <v>2267</v>
      </c>
      <c r="G390" s="7"/>
      <c r="H390" s="46" t="s">
        <v>249</v>
      </c>
      <c r="I390" s="7" t="s">
        <v>160</v>
      </c>
      <c r="J390" s="7" t="s">
        <v>148</v>
      </c>
      <c r="K390" s="7"/>
      <c r="L390" s="7"/>
      <c r="M390" s="7"/>
    </row>
    <row r="391" ht="15.75" customHeight="1">
      <c r="A391" s="7" t="s">
        <v>2268</v>
      </c>
      <c r="B391" s="45" t="s">
        <v>2269</v>
      </c>
      <c r="C391" s="7" t="s">
        <v>2270</v>
      </c>
      <c r="D391" s="7" t="s">
        <v>2271</v>
      </c>
      <c r="E391" s="7" t="s">
        <v>2272</v>
      </c>
      <c r="F391" s="7" t="s">
        <v>2273</v>
      </c>
      <c r="G391" s="7"/>
      <c r="H391" s="46" t="s">
        <v>249</v>
      </c>
      <c r="I391" s="7" t="s">
        <v>160</v>
      </c>
      <c r="J391" s="7" t="s">
        <v>148</v>
      </c>
      <c r="K391" s="7"/>
      <c r="L391" s="7"/>
      <c r="M391" s="7"/>
    </row>
    <row r="392" ht="15.75" customHeight="1">
      <c r="A392" s="7" t="s">
        <v>2274</v>
      </c>
      <c r="B392" s="45" t="s">
        <v>2275</v>
      </c>
      <c r="C392" s="7" t="s">
        <v>2270</v>
      </c>
      <c r="D392" s="7" t="s">
        <v>2271</v>
      </c>
      <c r="E392" s="7" t="s">
        <v>2272</v>
      </c>
      <c r="F392" s="7" t="s">
        <v>2273</v>
      </c>
      <c r="G392" s="7" t="s">
        <v>2276</v>
      </c>
      <c r="H392" s="46" t="s">
        <v>249</v>
      </c>
      <c r="I392" s="7" t="s">
        <v>160</v>
      </c>
      <c r="J392" s="7" t="s">
        <v>148</v>
      </c>
      <c r="K392" s="7"/>
      <c r="L392" s="7"/>
      <c r="M392" s="7"/>
    </row>
    <row r="393" ht="15.75" customHeight="1">
      <c r="A393" s="7" t="s">
        <v>2277</v>
      </c>
      <c r="B393" s="45" t="s">
        <v>2278</v>
      </c>
      <c r="C393" s="7" t="s">
        <v>2279</v>
      </c>
      <c r="D393" s="7" t="s">
        <v>2280</v>
      </c>
      <c r="E393" s="7" t="s">
        <v>2281</v>
      </c>
      <c r="F393" s="7" t="s">
        <v>2282</v>
      </c>
      <c r="G393" s="7" t="s">
        <v>2283</v>
      </c>
      <c r="H393" s="46" t="s">
        <v>249</v>
      </c>
      <c r="I393" s="7" t="s">
        <v>160</v>
      </c>
      <c r="J393" s="7" t="s">
        <v>148</v>
      </c>
      <c r="K393" s="7"/>
      <c r="L393" s="7"/>
      <c r="M393" s="7"/>
    </row>
    <row r="394" ht="15.75" customHeight="1">
      <c r="A394" s="7" t="s">
        <v>2284</v>
      </c>
      <c r="B394" s="45" t="s">
        <v>2285</v>
      </c>
      <c r="C394" s="7" t="s">
        <v>2286</v>
      </c>
      <c r="D394" s="7" t="s">
        <v>2287</v>
      </c>
      <c r="E394" s="7" t="s">
        <v>2288</v>
      </c>
      <c r="F394" s="7" t="s">
        <v>2289</v>
      </c>
      <c r="G394" s="7"/>
      <c r="H394" s="46" t="s">
        <v>249</v>
      </c>
      <c r="I394" s="7" t="s">
        <v>160</v>
      </c>
      <c r="J394" s="7" t="s">
        <v>148</v>
      </c>
      <c r="K394" s="7"/>
      <c r="L394" s="7"/>
      <c r="M394" s="7"/>
    </row>
    <row r="395" ht="15.75" customHeight="1">
      <c r="A395" s="7" t="s">
        <v>2290</v>
      </c>
      <c r="B395" s="45" t="s">
        <v>2291</v>
      </c>
      <c r="C395" s="7" t="s">
        <v>2292</v>
      </c>
      <c r="D395" s="7" t="s">
        <v>2293</v>
      </c>
      <c r="E395" s="7" t="s">
        <v>2294</v>
      </c>
      <c r="F395" s="7" t="s">
        <v>2295</v>
      </c>
      <c r="G395" s="7"/>
      <c r="H395" s="46" t="s">
        <v>249</v>
      </c>
      <c r="I395" s="7" t="s">
        <v>160</v>
      </c>
      <c r="J395" s="7" t="s">
        <v>148</v>
      </c>
      <c r="K395" s="7"/>
      <c r="L395" s="7"/>
      <c r="M395" s="7"/>
    </row>
    <row r="396" ht="15.75" customHeight="1">
      <c r="A396" s="7" t="s">
        <v>2296</v>
      </c>
      <c r="B396" s="45" t="s">
        <v>2297</v>
      </c>
      <c r="C396" s="7" t="s">
        <v>2298</v>
      </c>
      <c r="D396" s="7" t="s">
        <v>2299</v>
      </c>
      <c r="E396" s="7" t="s">
        <v>2300</v>
      </c>
      <c r="F396" s="7" t="s">
        <v>2301</v>
      </c>
      <c r="G396" s="7"/>
      <c r="H396" s="46" t="s">
        <v>249</v>
      </c>
      <c r="I396" s="7" t="s">
        <v>160</v>
      </c>
      <c r="J396" s="7" t="s">
        <v>148</v>
      </c>
      <c r="K396" s="7"/>
      <c r="L396" s="7"/>
      <c r="M396" s="7"/>
    </row>
    <row r="397" ht="15.75" customHeight="1">
      <c r="A397" s="7" t="s">
        <v>2302</v>
      </c>
      <c r="B397" s="45" t="s">
        <v>2303</v>
      </c>
      <c r="C397" s="7" t="s">
        <v>2304</v>
      </c>
      <c r="D397" s="7" t="s">
        <v>2305</v>
      </c>
      <c r="E397" s="7" t="s">
        <v>2306</v>
      </c>
      <c r="F397" s="7" t="s">
        <v>2307</v>
      </c>
      <c r="G397" s="7"/>
      <c r="H397" s="46" t="s">
        <v>249</v>
      </c>
      <c r="I397" s="7" t="s">
        <v>160</v>
      </c>
      <c r="J397" s="7" t="s">
        <v>148</v>
      </c>
      <c r="K397" s="7"/>
      <c r="L397" s="7"/>
      <c r="M397" s="7"/>
    </row>
    <row r="398" ht="15.75" customHeight="1">
      <c r="A398" s="7" t="s">
        <v>2308</v>
      </c>
      <c r="B398" s="45" t="s">
        <v>2309</v>
      </c>
      <c r="C398" s="7" t="s">
        <v>2310</v>
      </c>
      <c r="D398" s="7" t="s">
        <v>2311</v>
      </c>
      <c r="E398" s="7" t="s">
        <v>2312</v>
      </c>
      <c r="F398" s="7" t="s">
        <v>2313</v>
      </c>
      <c r="G398" s="7"/>
      <c r="H398" s="46" t="s">
        <v>249</v>
      </c>
      <c r="I398" s="7" t="s">
        <v>160</v>
      </c>
      <c r="J398" s="7" t="s">
        <v>148</v>
      </c>
      <c r="K398" s="7"/>
      <c r="L398" s="7"/>
      <c r="M398" s="7"/>
    </row>
    <row r="399" ht="15.75" customHeight="1">
      <c r="A399" s="7" t="s">
        <v>2314</v>
      </c>
      <c r="B399" s="45" t="s">
        <v>2315</v>
      </c>
      <c r="C399" s="7" t="s">
        <v>2316</v>
      </c>
      <c r="D399" s="7" t="s">
        <v>2317</v>
      </c>
      <c r="E399" s="7" t="s">
        <v>2318</v>
      </c>
      <c r="F399" s="7" t="s">
        <v>2319</v>
      </c>
      <c r="G399" s="7"/>
      <c r="H399" s="46" t="s">
        <v>249</v>
      </c>
      <c r="I399" s="7" t="s">
        <v>160</v>
      </c>
      <c r="J399" s="7" t="s">
        <v>148</v>
      </c>
      <c r="K399" s="7"/>
      <c r="L399" s="7"/>
      <c r="M399" s="7"/>
    </row>
    <row r="400" ht="15.75" customHeight="1">
      <c r="A400" s="7" t="s">
        <v>2320</v>
      </c>
      <c r="B400" s="45" t="s">
        <v>2321</v>
      </c>
      <c r="C400" s="7" t="s">
        <v>2322</v>
      </c>
      <c r="D400" s="7" t="s">
        <v>2323</v>
      </c>
      <c r="E400" s="7" t="s">
        <v>2324</v>
      </c>
      <c r="F400" s="7" t="s">
        <v>1521</v>
      </c>
      <c r="G400" s="7"/>
      <c r="H400" s="46" t="s">
        <v>249</v>
      </c>
      <c r="I400" s="7" t="s">
        <v>160</v>
      </c>
      <c r="J400" s="7" t="s">
        <v>148</v>
      </c>
      <c r="K400" s="7"/>
      <c r="L400" s="7"/>
      <c r="M400" s="7"/>
    </row>
    <row r="401" ht="15.75" customHeight="1">
      <c r="A401" s="7" t="s">
        <v>2325</v>
      </c>
      <c r="B401" s="45" t="s">
        <v>2326</v>
      </c>
      <c r="C401" s="7" t="s">
        <v>2327</v>
      </c>
      <c r="D401" s="7" t="s">
        <v>2328</v>
      </c>
      <c r="E401" s="7" t="s">
        <v>2329</v>
      </c>
      <c r="F401" s="7" t="s">
        <v>2330</v>
      </c>
      <c r="G401" s="7"/>
      <c r="H401" s="46" t="s">
        <v>249</v>
      </c>
      <c r="I401" s="7" t="s">
        <v>160</v>
      </c>
      <c r="J401" s="7" t="s">
        <v>148</v>
      </c>
      <c r="K401" s="7"/>
      <c r="L401" s="7"/>
      <c r="M401" s="7"/>
    </row>
    <row r="402" ht="15.75" customHeight="1">
      <c r="A402" s="7" t="s">
        <v>2331</v>
      </c>
      <c r="B402" s="45" t="s">
        <v>2332</v>
      </c>
      <c r="C402" s="7" t="s">
        <v>2333</v>
      </c>
      <c r="D402" s="7" t="s">
        <v>2334</v>
      </c>
      <c r="E402" s="7" t="s">
        <v>2335</v>
      </c>
      <c r="F402" s="7" t="s">
        <v>2336</v>
      </c>
      <c r="G402" s="7"/>
      <c r="H402" s="46" t="s">
        <v>249</v>
      </c>
      <c r="I402" s="7" t="s">
        <v>160</v>
      </c>
      <c r="J402" s="7" t="s">
        <v>148</v>
      </c>
      <c r="K402" s="7"/>
      <c r="L402" s="7"/>
      <c r="M402" s="7"/>
    </row>
    <row r="403" ht="15.75" customHeight="1">
      <c r="A403" s="7" t="s">
        <v>2337</v>
      </c>
      <c r="B403" s="45" t="s">
        <v>2338</v>
      </c>
      <c r="C403" s="7" t="s">
        <v>2339</v>
      </c>
      <c r="D403" s="7" t="s">
        <v>2340</v>
      </c>
      <c r="E403" s="7" t="s">
        <v>2341</v>
      </c>
      <c r="F403" s="7" t="s">
        <v>2342</v>
      </c>
      <c r="G403" s="7"/>
      <c r="H403" s="46" t="s">
        <v>249</v>
      </c>
      <c r="I403" s="7" t="s">
        <v>160</v>
      </c>
      <c r="J403" s="7" t="s">
        <v>148</v>
      </c>
      <c r="K403" s="7"/>
      <c r="L403" s="7"/>
      <c r="M403" s="7"/>
    </row>
    <row r="404" ht="15.75" customHeight="1">
      <c r="A404" s="7" t="s">
        <v>2343</v>
      </c>
      <c r="B404" s="45" t="s">
        <v>2344</v>
      </c>
      <c r="C404" s="7" t="s">
        <v>2345</v>
      </c>
      <c r="D404" s="7" t="s">
        <v>2346</v>
      </c>
      <c r="E404" s="7" t="s">
        <v>2347</v>
      </c>
      <c r="F404" s="7" t="s">
        <v>2348</v>
      </c>
      <c r="G404" s="7"/>
      <c r="H404" s="46" t="s">
        <v>249</v>
      </c>
      <c r="I404" s="7" t="s">
        <v>160</v>
      </c>
      <c r="J404" s="7" t="s">
        <v>148</v>
      </c>
      <c r="K404" s="7"/>
      <c r="L404" s="7"/>
      <c r="M404" s="7"/>
    </row>
    <row r="405" ht="15.75" customHeight="1">
      <c r="A405" s="7" t="s">
        <v>2349</v>
      </c>
      <c r="B405" s="45" t="s">
        <v>2350</v>
      </c>
      <c r="C405" s="7" t="s">
        <v>2351</v>
      </c>
      <c r="D405" s="7" t="s">
        <v>2352</v>
      </c>
      <c r="E405" s="7" t="s">
        <v>2353</v>
      </c>
      <c r="F405" s="7" t="s">
        <v>2354</v>
      </c>
      <c r="G405" s="7"/>
      <c r="H405" s="46" t="s">
        <v>249</v>
      </c>
      <c r="I405" s="7" t="s">
        <v>160</v>
      </c>
      <c r="J405" s="7" t="s">
        <v>148</v>
      </c>
      <c r="K405" s="7"/>
      <c r="L405" s="7"/>
      <c r="M405" s="7"/>
    </row>
    <row r="406" ht="15.75" customHeight="1">
      <c r="A406" s="7" t="s">
        <v>2355</v>
      </c>
      <c r="B406" s="45" t="s">
        <v>2356</v>
      </c>
      <c r="C406" s="7" t="s">
        <v>2357</v>
      </c>
      <c r="D406" s="7" t="s">
        <v>2358</v>
      </c>
      <c r="E406" s="7" t="s">
        <v>2359</v>
      </c>
      <c r="F406" s="7" t="s">
        <v>2360</v>
      </c>
      <c r="G406" s="7"/>
      <c r="H406" s="46" t="s">
        <v>249</v>
      </c>
      <c r="I406" s="7" t="s">
        <v>160</v>
      </c>
      <c r="J406" s="7" t="s">
        <v>148</v>
      </c>
      <c r="K406" s="7"/>
      <c r="L406" s="7"/>
      <c r="M406" s="7"/>
    </row>
    <row r="407" ht="15.75" customHeight="1">
      <c r="A407" s="7" t="s">
        <v>2361</v>
      </c>
      <c r="B407" s="45" t="s">
        <v>2362</v>
      </c>
      <c r="C407" s="7" t="s">
        <v>1804</v>
      </c>
      <c r="D407" s="7" t="s">
        <v>2363</v>
      </c>
      <c r="E407" s="7" t="s">
        <v>1924</v>
      </c>
      <c r="F407" s="7" t="s">
        <v>1807</v>
      </c>
      <c r="G407" s="7"/>
      <c r="H407" s="46" t="s">
        <v>249</v>
      </c>
      <c r="I407" s="7" t="s">
        <v>160</v>
      </c>
      <c r="J407" s="7" t="s">
        <v>148</v>
      </c>
      <c r="K407" s="7"/>
      <c r="L407" s="7"/>
      <c r="M407" s="7"/>
    </row>
    <row r="408" ht="15.75" customHeight="1">
      <c r="A408" s="7" t="s">
        <v>2364</v>
      </c>
      <c r="B408" s="45" t="s">
        <v>2365</v>
      </c>
      <c r="C408" s="7" t="s">
        <v>1804</v>
      </c>
      <c r="D408" s="7" t="s">
        <v>2366</v>
      </c>
      <c r="E408" s="7" t="s">
        <v>1924</v>
      </c>
      <c r="F408" s="7" t="s">
        <v>1807</v>
      </c>
      <c r="G408" s="7"/>
      <c r="H408" s="46" t="s">
        <v>249</v>
      </c>
      <c r="I408" s="7" t="s">
        <v>160</v>
      </c>
      <c r="J408" s="7" t="s">
        <v>148</v>
      </c>
      <c r="K408" s="7"/>
      <c r="L408" s="7"/>
      <c r="M408" s="7"/>
    </row>
    <row r="409" ht="15.75" customHeight="1">
      <c r="A409" s="7" t="s">
        <v>2367</v>
      </c>
      <c r="B409" s="45" t="s">
        <v>2368</v>
      </c>
      <c r="C409" s="7" t="s">
        <v>1804</v>
      </c>
      <c r="D409" s="7" t="s">
        <v>2369</v>
      </c>
      <c r="E409" s="7" t="s">
        <v>1924</v>
      </c>
      <c r="F409" s="7" t="s">
        <v>1807</v>
      </c>
      <c r="G409" s="7"/>
      <c r="H409" s="46" t="s">
        <v>249</v>
      </c>
      <c r="I409" s="7" t="s">
        <v>160</v>
      </c>
      <c r="J409" s="7" t="s">
        <v>148</v>
      </c>
      <c r="K409" s="7"/>
      <c r="L409" s="7"/>
      <c r="M409" s="7"/>
    </row>
    <row r="410" ht="15.75" customHeight="1">
      <c r="A410" s="7" t="s">
        <v>2370</v>
      </c>
      <c r="B410" s="45" t="s">
        <v>2371</v>
      </c>
      <c r="C410" s="7" t="s">
        <v>1804</v>
      </c>
      <c r="D410" s="7" t="s">
        <v>2372</v>
      </c>
      <c r="E410" s="7" t="s">
        <v>2373</v>
      </c>
      <c r="F410" s="7" t="s">
        <v>1807</v>
      </c>
      <c r="G410" s="7"/>
      <c r="H410" s="46" t="s">
        <v>249</v>
      </c>
      <c r="I410" s="7" t="s">
        <v>160</v>
      </c>
      <c r="J410" s="7" t="s">
        <v>148</v>
      </c>
      <c r="K410" s="7"/>
      <c r="L410" s="7"/>
      <c r="M410" s="7"/>
    </row>
    <row r="411" ht="15.75" customHeight="1">
      <c r="A411" s="7" t="s">
        <v>2374</v>
      </c>
      <c r="B411" s="45" t="s">
        <v>2375</v>
      </c>
      <c r="C411" s="7" t="s">
        <v>2376</v>
      </c>
      <c r="D411" s="7" t="s">
        <v>2377</v>
      </c>
      <c r="E411" s="7" t="s">
        <v>2378</v>
      </c>
      <c r="F411" s="7" t="s">
        <v>1521</v>
      </c>
      <c r="G411" s="7"/>
      <c r="H411" s="46" t="s">
        <v>249</v>
      </c>
      <c r="I411" s="7" t="s">
        <v>160</v>
      </c>
      <c r="J411" s="7" t="s">
        <v>148</v>
      </c>
      <c r="K411" s="7"/>
      <c r="L411" s="7"/>
      <c r="M411" s="7"/>
    </row>
    <row r="412" ht="15.75" customHeight="1">
      <c r="A412" s="7" t="s">
        <v>2379</v>
      </c>
      <c r="B412" s="45" t="s">
        <v>2380</v>
      </c>
      <c r="C412" s="7" t="s">
        <v>1922</v>
      </c>
      <c r="D412" s="7" t="s">
        <v>2381</v>
      </c>
      <c r="E412" s="7" t="s">
        <v>2382</v>
      </c>
      <c r="F412" s="7" t="s">
        <v>1925</v>
      </c>
      <c r="G412" s="7"/>
      <c r="H412" s="46" t="s">
        <v>249</v>
      </c>
      <c r="I412" s="7" t="s">
        <v>160</v>
      </c>
      <c r="J412" s="7" t="s">
        <v>148</v>
      </c>
      <c r="K412" s="7"/>
      <c r="L412" s="7"/>
      <c r="M412" s="7"/>
    </row>
    <row r="413" ht="15.75" customHeight="1">
      <c r="A413" s="7" t="s">
        <v>2383</v>
      </c>
      <c r="B413" s="45" t="s">
        <v>2384</v>
      </c>
      <c r="C413" s="7" t="s">
        <v>1922</v>
      </c>
      <c r="D413" s="7" t="s">
        <v>2385</v>
      </c>
      <c r="E413" s="7" t="s">
        <v>2382</v>
      </c>
      <c r="F413" s="7" t="s">
        <v>1925</v>
      </c>
      <c r="G413" s="7"/>
      <c r="H413" s="46" t="s">
        <v>249</v>
      </c>
      <c r="I413" s="7" t="s">
        <v>160</v>
      </c>
      <c r="J413" s="7" t="s">
        <v>148</v>
      </c>
      <c r="K413" s="7"/>
      <c r="L413" s="7"/>
      <c r="M413" s="7"/>
    </row>
    <row r="414" ht="15.75" customHeight="1">
      <c r="A414" s="7" t="s">
        <v>2386</v>
      </c>
      <c r="B414" s="45" t="s">
        <v>2387</v>
      </c>
      <c r="C414" s="7" t="s">
        <v>2006</v>
      </c>
      <c r="D414" s="7" t="s">
        <v>2388</v>
      </c>
      <c r="E414" s="7" t="s">
        <v>2008</v>
      </c>
      <c r="F414" s="7" t="s">
        <v>2009</v>
      </c>
      <c r="G414" s="7"/>
      <c r="H414" s="46" t="s">
        <v>249</v>
      </c>
      <c r="I414" s="7" t="s">
        <v>160</v>
      </c>
      <c r="J414" s="7" t="s">
        <v>148</v>
      </c>
      <c r="K414" s="7"/>
      <c r="L414" s="7"/>
      <c r="M414" s="7"/>
    </row>
    <row r="415" ht="15.75" customHeight="1">
      <c r="A415" s="7" t="s">
        <v>2389</v>
      </c>
      <c r="B415" s="45" t="s">
        <v>2390</v>
      </c>
      <c r="C415" s="7" t="s">
        <v>2006</v>
      </c>
      <c r="D415" s="7" t="s">
        <v>2391</v>
      </c>
      <c r="E415" s="7" t="s">
        <v>2008</v>
      </c>
      <c r="F415" s="7" t="s">
        <v>2009</v>
      </c>
      <c r="G415" s="7"/>
      <c r="H415" s="46" t="s">
        <v>249</v>
      </c>
      <c r="I415" s="7" t="s">
        <v>160</v>
      </c>
      <c r="J415" s="7" t="s">
        <v>148</v>
      </c>
      <c r="K415" s="7"/>
      <c r="L415" s="7"/>
      <c r="M415" s="7"/>
    </row>
    <row r="416" ht="15.75" customHeight="1">
      <c r="A416" s="7" t="s">
        <v>2392</v>
      </c>
      <c r="B416" s="45" t="s">
        <v>2393</v>
      </c>
      <c r="C416" s="7" t="s">
        <v>2006</v>
      </c>
      <c r="D416" s="7" t="s">
        <v>2394</v>
      </c>
      <c r="E416" s="7" t="s">
        <v>2008</v>
      </c>
      <c r="F416" s="7" t="s">
        <v>2009</v>
      </c>
      <c r="G416" s="7"/>
      <c r="H416" s="46" t="s">
        <v>249</v>
      </c>
      <c r="I416" s="7" t="s">
        <v>160</v>
      </c>
      <c r="J416" s="7" t="s">
        <v>148</v>
      </c>
      <c r="K416" s="7"/>
      <c r="L416" s="7"/>
      <c r="M416" s="7"/>
    </row>
    <row r="417" ht="15.75" customHeight="1">
      <c r="A417" s="7" t="s">
        <v>2395</v>
      </c>
      <c r="B417" s="45" t="s">
        <v>2396</v>
      </c>
      <c r="C417" s="7" t="s">
        <v>2006</v>
      </c>
      <c r="D417" s="7" t="s">
        <v>2397</v>
      </c>
      <c r="E417" s="7" t="s">
        <v>2008</v>
      </c>
      <c r="F417" s="7" t="s">
        <v>2009</v>
      </c>
      <c r="G417" s="7"/>
      <c r="H417" s="46" t="s">
        <v>249</v>
      </c>
      <c r="I417" s="7" t="s">
        <v>160</v>
      </c>
      <c r="J417" s="7" t="s">
        <v>148</v>
      </c>
      <c r="K417" s="7"/>
      <c r="L417" s="7"/>
      <c r="M417" s="7"/>
    </row>
    <row r="418" ht="15.75" customHeight="1">
      <c r="A418" s="7" t="s">
        <v>2398</v>
      </c>
      <c r="B418" s="45" t="s">
        <v>2399</v>
      </c>
      <c r="C418" s="7" t="s">
        <v>2006</v>
      </c>
      <c r="D418" s="7" t="s">
        <v>2400</v>
      </c>
      <c r="E418" s="7" t="s">
        <v>2008</v>
      </c>
      <c r="F418" s="7" t="s">
        <v>2009</v>
      </c>
      <c r="G418" s="7"/>
      <c r="H418" s="46" t="s">
        <v>249</v>
      </c>
      <c r="I418" s="7" t="s">
        <v>160</v>
      </c>
      <c r="J418" s="7" t="s">
        <v>148</v>
      </c>
      <c r="K418" s="7"/>
      <c r="L418" s="7"/>
      <c r="M418" s="7"/>
    </row>
    <row r="419" ht="15.75" customHeight="1">
      <c r="A419" s="7" t="s">
        <v>2401</v>
      </c>
      <c r="B419" s="45" t="s">
        <v>2402</v>
      </c>
      <c r="C419" s="7" t="s">
        <v>2006</v>
      </c>
      <c r="D419" s="7" t="s">
        <v>2403</v>
      </c>
      <c r="E419" s="7" t="s">
        <v>2008</v>
      </c>
      <c r="F419" s="7" t="s">
        <v>2009</v>
      </c>
      <c r="G419" s="7"/>
      <c r="H419" s="46" t="s">
        <v>249</v>
      </c>
      <c r="I419" s="7" t="s">
        <v>160</v>
      </c>
      <c r="J419" s="7" t="s">
        <v>148</v>
      </c>
      <c r="K419" s="7"/>
      <c r="L419" s="7"/>
      <c r="M419" s="7"/>
    </row>
    <row r="420" ht="15.75" customHeight="1">
      <c r="A420" s="7" t="s">
        <v>2404</v>
      </c>
      <c r="B420" s="45" t="s">
        <v>2405</v>
      </c>
      <c r="C420" s="7" t="s">
        <v>2006</v>
      </c>
      <c r="D420" s="7" t="s">
        <v>2406</v>
      </c>
      <c r="E420" s="7" t="s">
        <v>2008</v>
      </c>
      <c r="F420" s="7" t="s">
        <v>2009</v>
      </c>
      <c r="G420" s="7"/>
      <c r="H420" s="46" t="s">
        <v>249</v>
      </c>
      <c r="I420" s="7" t="s">
        <v>160</v>
      </c>
      <c r="J420" s="7" t="s">
        <v>148</v>
      </c>
      <c r="K420" s="7"/>
      <c r="L420" s="7"/>
      <c r="M420" s="7"/>
    </row>
    <row r="421" ht="15.75" customHeight="1">
      <c r="A421" s="7" t="s">
        <v>2407</v>
      </c>
      <c r="B421" s="45" t="s">
        <v>2408</v>
      </c>
      <c r="C421" s="7" t="s">
        <v>2006</v>
      </c>
      <c r="D421" s="7" t="s">
        <v>2409</v>
      </c>
      <c r="E421" s="7" t="s">
        <v>2008</v>
      </c>
      <c r="F421" s="7" t="s">
        <v>2009</v>
      </c>
      <c r="G421" s="7"/>
      <c r="H421" s="46" t="s">
        <v>249</v>
      </c>
      <c r="I421" s="7" t="s">
        <v>160</v>
      </c>
      <c r="J421" s="7" t="s">
        <v>148</v>
      </c>
      <c r="K421" s="7"/>
      <c r="L421" s="7"/>
      <c r="M421" s="7"/>
    </row>
    <row r="422" ht="15.75" customHeight="1">
      <c r="A422" s="7" t="s">
        <v>2410</v>
      </c>
      <c r="B422" s="45" t="s">
        <v>2411</v>
      </c>
      <c r="C422" s="7" t="s">
        <v>2006</v>
      </c>
      <c r="D422" s="7" t="s">
        <v>2412</v>
      </c>
      <c r="E422" s="7" t="s">
        <v>2008</v>
      </c>
      <c r="F422" s="7" t="s">
        <v>2413</v>
      </c>
      <c r="G422" s="7"/>
      <c r="H422" s="46" t="s">
        <v>249</v>
      </c>
      <c r="I422" s="7" t="s">
        <v>160</v>
      </c>
      <c r="J422" s="7" t="s">
        <v>148</v>
      </c>
      <c r="K422" s="7"/>
      <c r="L422" s="7"/>
      <c r="M422" s="7"/>
    </row>
    <row r="423" ht="15.75" customHeight="1">
      <c r="A423" s="7" t="s">
        <v>2414</v>
      </c>
      <c r="B423" s="45" t="s">
        <v>2415</v>
      </c>
      <c r="C423" s="7" t="s">
        <v>2006</v>
      </c>
      <c r="D423" s="7" t="s">
        <v>2416</v>
      </c>
      <c r="E423" s="7" t="s">
        <v>2008</v>
      </c>
      <c r="F423" s="7" t="s">
        <v>2009</v>
      </c>
      <c r="G423" s="7"/>
      <c r="H423" s="46" t="s">
        <v>249</v>
      </c>
      <c r="I423" s="7" t="s">
        <v>160</v>
      </c>
      <c r="J423" s="7" t="s">
        <v>148</v>
      </c>
      <c r="K423" s="7"/>
      <c r="L423" s="7"/>
      <c r="M423" s="7"/>
    </row>
    <row r="424" ht="15.75" customHeight="1">
      <c r="A424" s="7" t="s">
        <v>2417</v>
      </c>
      <c r="B424" s="45" t="s">
        <v>2418</v>
      </c>
      <c r="C424" s="7" t="s">
        <v>2006</v>
      </c>
      <c r="D424" s="7" t="s">
        <v>2419</v>
      </c>
      <c r="E424" s="7" t="s">
        <v>2008</v>
      </c>
      <c r="F424" s="7" t="s">
        <v>2009</v>
      </c>
      <c r="G424" s="7"/>
      <c r="H424" s="46" t="s">
        <v>249</v>
      </c>
      <c r="I424" s="7" t="s">
        <v>160</v>
      </c>
      <c r="J424" s="7" t="s">
        <v>148</v>
      </c>
      <c r="K424" s="7"/>
      <c r="L424" s="7"/>
      <c r="M424" s="7"/>
    </row>
    <row r="425" ht="15.75" customHeight="1">
      <c r="A425" s="7" t="s">
        <v>2420</v>
      </c>
      <c r="B425" s="45" t="s">
        <v>2421</v>
      </c>
      <c r="C425" s="7" t="s">
        <v>2006</v>
      </c>
      <c r="D425" s="7" t="s">
        <v>2422</v>
      </c>
      <c r="E425" s="7" t="s">
        <v>2008</v>
      </c>
      <c r="F425" s="7" t="s">
        <v>2009</v>
      </c>
      <c r="G425" s="7"/>
      <c r="H425" s="46" t="s">
        <v>249</v>
      </c>
      <c r="I425" s="7" t="s">
        <v>160</v>
      </c>
      <c r="J425" s="7" t="s">
        <v>148</v>
      </c>
      <c r="K425" s="7"/>
      <c r="L425" s="7"/>
      <c r="M425" s="7"/>
    </row>
    <row r="426" ht="15.75" customHeight="1">
      <c r="A426" s="7" t="s">
        <v>2423</v>
      </c>
      <c r="B426" s="45" t="s">
        <v>2424</v>
      </c>
      <c r="C426" s="7" t="s">
        <v>2006</v>
      </c>
      <c r="D426" s="7" t="s">
        <v>2425</v>
      </c>
      <c r="E426" s="7" t="s">
        <v>2008</v>
      </c>
      <c r="F426" s="7" t="s">
        <v>2009</v>
      </c>
      <c r="G426" s="7"/>
      <c r="H426" s="46" t="s">
        <v>249</v>
      </c>
      <c r="I426" s="7" t="s">
        <v>160</v>
      </c>
      <c r="J426" s="7" t="s">
        <v>148</v>
      </c>
      <c r="K426" s="7"/>
      <c r="L426" s="7"/>
      <c r="M426" s="7"/>
    </row>
    <row r="427" ht="15.75" customHeight="1">
      <c r="A427" s="7" t="s">
        <v>2426</v>
      </c>
      <c r="B427" s="45" t="s">
        <v>2427</v>
      </c>
      <c r="C427" s="7" t="s">
        <v>2006</v>
      </c>
      <c r="D427" s="7" t="s">
        <v>2428</v>
      </c>
      <c r="E427" s="7" t="s">
        <v>2008</v>
      </c>
      <c r="F427" s="7" t="s">
        <v>2413</v>
      </c>
      <c r="G427" s="7"/>
      <c r="H427" s="46" t="s">
        <v>249</v>
      </c>
      <c r="I427" s="7" t="s">
        <v>160</v>
      </c>
      <c r="J427" s="7" t="s">
        <v>148</v>
      </c>
      <c r="K427" s="7"/>
      <c r="L427" s="7"/>
      <c r="M427" s="7"/>
    </row>
    <row r="428" ht="15.75" customHeight="1">
      <c r="A428" s="7" t="s">
        <v>2429</v>
      </c>
      <c r="B428" s="45" t="s">
        <v>2430</v>
      </c>
      <c r="C428" s="7" t="s">
        <v>2431</v>
      </c>
      <c r="D428" s="7" t="s">
        <v>2432</v>
      </c>
      <c r="E428" s="7" t="s">
        <v>1924</v>
      </c>
      <c r="F428" s="7" t="s">
        <v>2433</v>
      </c>
      <c r="G428" s="7"/>
      <c r="H428" s="46" t="s">
        <v>249</v>
      </c>
      <c r="I428" s="7" t="s">
        <v>160</v>
      </c>
      <c r="J428" s="7" t="s">
        <v>148</v>
      </c>
      <c r="K428" s="7"/>
      <c r="L428" s="7"/>
      <c r="M428" s="7"/>
    </row>
    <row r="429" ht="15.75" customHeight="1">
      <c r="A429" s="7" t="s">
        <v>2434</v>
      </c>
      <c r="B429" s="45" t="s">
        <v>2435</v>
      </c>
      <c r="C429" s="7" t="s">
        <v>2436</v>
      </c>
      <c r="D429" s="7" t="s">
        <v>2437</v>
      </c>
      <c r="E429" s="7" t="s">
        <v>2438</v>
      </c>
      <c r="F429" s="7" t="s">
        <v>2433</v>
      </c>
      <c r="G429" s="7"/>
      <c r="H429" s="46" t="s">
        <v>249</v>
      </c>
      <c r="I429" s="7" t="s">
        <v>160</v>
      </c>
      <c r="J429" s="7" t="s">
        <v>148</v>
      </c>
      <c r="K429" s="7"/>
      <c r="L429" s="7"/>
      <c r="M429" s="7"/>
    </row>
    <row r="430" ht="15.75" customHeight="1">
      <c r="A430" s="7" t="s">
        <v>2439</v>
      </c>
      <c r="B430" s="45" t="s">
        <v>2440</v>
      </c>
      <c r="C430" s="7" t="s">
        <v>1922</v>
      </c>
      <c r="D430" s="7" t="s">
        <v>2441</v>
      </c>
      <c r="E430" s="7" t="s">
        <v>2442</v>
      </c>
      <c r="F430" s="7" t="s">
        <v>1925</v>
      </c>
      <c r="G430" s="7"/>
      <c r="H430" s="46" t="s">
        <v>249</v>
      </c>
      <c r="I430" s="7" t="s">
        <v>160</v>
      </c>
      <c r="J430" s="7" t="s">
        <v>148</v>
      </c>
      <c r="K430" s="7"/>
      <c r="L430" s="7"/>
      <c r="M430" s="7"/>
    </row>
    <row r="431" ht="15.75" customHeight="1">
      <c r="A431" s="7" t="s">
        <v>2443</v>
      </c>
      <c r="B431" s="45" t="s">
        <v>2444</v>
      </c>
      <c r="C431" s="7" t="s">
        <v>1922</v>
      </c>
      <c r="D431" s="7" t="s">
        <v>2445</v>
      </c>
      <c r="E431" s="7" t="s">
        <v>2442</v>
      </c>
      <c r="F431" s="7" t="s">
        <v>1925</v>
      </c>
      <c r="G431" s="7"/>
      <c r="H431" s="46" t="s">
        <v>249</v>
      </c>
      <c r="I431" s="7" t="s">
        <v>160</v>
      </c>
      <c r="J431" s="7" t="s">
        <v>148</v>
      </c>
      <c r="K431" s="7"/>
      <c r="L431" s="7"/>
      <c r="M431" s="7"/>
    </row>
    <row r="432" ht="15.75" customHeight="1">
      <c r="A432" s="7" t="s">
        <v>2446</v>
      </c>
      <c r="B432" s="45" t="s">
        <v>2447</v>
      </c>
      <c r="C432" s="7" t="s">
        <v>1922</v>
      </c>
      <c r="D432" s="7" t="s">
        <v>2448</v>
      </c>
      <c r="E432" s="7" t="s">
        <v>1924</v>
      </c>
      <c r="F432" s="7" t="s">
        <v>1925</v>
      </c>
      <c r="G432" s="7"/>
      <c r="H432" s="46" t="s">
        <v>249</v>
      </c>
      <c r="I432" s="7" t="s">
        <v>160</v>
      </c>
      <c r="J432" s="7" t="s">
        <v>148</v>
      </c>
      <c r="K432" s="7"/>
      <c r="L432" s="7"/>
      <c r="M432" s="7"/>
    </row>
    <row r="433" ht="15.75" customHeight="1">
      <c r="A433" s="7" t="s">
        <v>2449</v>
      </c>
      <c r="B433" s="45" t="s">
        <v>2450</v>
      </c>
      <c r="C433" s="7" t="s">
        <v>1922</v>
      </c>
      <c r="D433" s="7" t="s">
        <v>2451</v>
      </c>
      <c r="E433" s="7" t="s">
        <v>1924</v>
      </c>
      <c r="F433" s="7" t="s">
        <v>1925</v>
      </c>
      <c r="G433" s="7"/>
      <c r="H433" s="46" t="s">
        <v>249</v>
      </c>
      <c r="I433" s="7" t="s">
        <v>160</v>
      </c>
      <c r="J433" s="7" t="s">
        <v>148</v>
      </c>
      <c r="K433" s="7"/>
      <c r="L433" s="7"/>
      <c r="M433" s="7"/>
    </row>
    <row r="434" ht="15.75" customHeight="1">
      <c r="A434" s="7" t="s">
        <v>2452</v>
      </c>
      <c r="B434" s="45" t="s">
        <v>2453</v>
      </c>
      <c r="C434" s="7" t="s">
        <v>1922</v>
      </c>
      <c r="D434" s="7" t="s">
        <v>2454</v>
      </c>
      <c r="E434" s="7" t="s">
        <v>2442</v>
      </c>
      <c r="F434" s="7" t="s">
        <v>1925</v>
      </c>
      <c r="G434" s="7"/>
      <c r="H434" s="46" t="s">
        <v>249</v>
      </c>
      <c r="I434" s="7" t="s">
        <v>160</v>
      </c>
      <c r="J434" s="7" t="s">
        <v>148</v>
      </c>
      <c r="K434" s="7"/>
      <c r="L434" s="7"/>
      <c r="M434" s="7"/>
    </row>
    <row r="435" ht="15.75" customHeight="1">
      <c r="A435" s="7" t="s">
        <v>2455</v>
      </c>
      <c r="B435" s="45" t="s">
        <v>2456</v>
      </c>
      <c r="C435" s="7" t="s">
        <v>1922</v>
      </c>
      <c r="D435" s="7" t="s">
        <v>2457</v>
      </c>
      <c r="E435" s="7" t="s">
        <v>2442</v>
      </c>
      <c r="F435" s="7" t="s">
        <v>1925</v>
      </c>
      <c r="G435" s="7"/>
      <c r="H435" s="46" t="s">
        <v>249</v>
      </c>
      <c r="I435" s="7" t="s">
        <v>160</v>
      </c>
      <c r="J435" s="7" t="s">
        <v>148</v>
      </c>
      <c r="K435" s="7"/>
      <c r="L435" s="7"/>
      <c r="M435" s="7"/>
    </row>
    <row r="436" ht="15.75" customHeight="1">
      <c r="A436" s="7" t="s">
        <v>2458</v>
      </c>
      <c r="B436" s="45" t="s">
        <v>2459</v>
      </c>
      <c r="C436" s="7" t="s">
        <v>1922</v>
      </c>
      <c r="D436" s="7" t="s">
        <v>2460</v>
      </c>
      <c r="E436" s="7" t="s">
        <v>1924</v>
      </c>
      <c r="F436" s="7" t="s">
        <v>1925</v>
      </c>
      <c r="G436" s="7"/>
      <c r="H436" s="46" t="s">
        <v>249</v>
      </c>
      <c r="I436" s="7" t="s">
        <v>160</v>
      </c>
      <c r="J436" s="7" t="s">
        <v>148</v>
      </c>
      <c r="K436" s="7"/>
      <c r="L436" s="7"/>
      <c r="M436" s="7"/>
    </row>
    <row r="437" ht="15.75" customHeight="1">
      <c r="A437" s="7" t="s">
        <v>2461</v>
      </c>
      <c r="B437" s="45" t="s">
        <v>2462</v>
      </c>
      <c r="C437" s="7" t="s">
        <v>1922</v>
      </c>
      <c r="D437" s="7" t="s">
        <v>2463</v>
      </c>
      <c r="E437" s="7" t="s">
        <v>2464</v>
      </c>
      <c r="F437" s="7" t="s">
        <v>1925</v>
      </c>
      <c r="G437" s="7"/>
      <c r="H437" s="46" t="s">
        <v>249</v>
      </c>
      <c r="I437" s="7" t="s">
        <v>160</v>
      </c>
      <c r="J437" s="7" t="s">
        <v>148</v>
      </c>
      <c r="K437" s="7"/>
      <c r="L437" s="7"/>
      <c r="M437" s="7"/>
    </row>
    <row r="438" ht="15.75" customHeight="1">
      <c r="A438" s="7" t="s">
        <v>2465</v>
      </c>
      <c r="B438" s="45" t="s">
        <v>2466</v>
      </c>
      <c r="C438" s="7" t="s">
        <v>2467</v>
      </c>
      <c r="D438" s="7" t="s">
        <v>2468</v>
      </c>
      <c r="E438" s="7" t="s">
        <v>2469</v>
      </c>
      <c r="F438" s="7" t="s">
        <v>1801</v>
      </c>
      <c r="G438" s="7"/>
      <c r="H438" s="46" t="s">
        <v>249</v>
      </c>
      <c r="I438" s="7" t="s">
        <v>160</v>
      </c>
      <c r="J438" s="7" t="s">
        <v>148</v>
      </c>
      <c r="K438" s="7"/>
      <c r="L438" s="7"/>
      <c r="M438" s="7"/>
    </row>
    <row r="439" ht="15.75" customHeight="1">
      <c r="A439" s="7" t="s">
        <v>2470</v>
      </c>
      <c r="B439" s="45" t="s">
        <v>2471</v>
      </c>
      <c r="C439" s="7" t="s">
        <v>1922</v>
      </c>
      <c r="D439" s="7" t="s">
        <v>2472</v>
      </c>
      <c r="E439" s="7" t="s">
        <v>1924</v>
      </c>
      <c r="F439" s="7" t="s">
        <v>1925</v>
      </c>
      <c r="G439" s="7"/>
      <c r="H439" s="46" t="s">
        <v>249</v>
      </c>
      <c r="I439" s="7" t="s">
        <v>160</v>
      </c>
      <c r="J439" s="7" t="s">
        <v>148</v>
      </c>
      <c r="K439" s="7"/>
      <c r="L439" s="7"/>
      <c r="M439" s="7"/>
    </row>
    <row r="440" ht="15.75" customHeight="1">
      <c r="A440" s="7" t="s">
        <v>2473</v>
      </c>
      <c r="B440" s="45" t="s">
        <v>2474</v>
      </c>
      <c r="C440" s="7" t="s">
        <v>2475</v>
      </c>
      <c r="D440" s="7" t="s">
        <v>2476</v>
      </c>
      <c r="E440" s="7" t="s">
        <v>2477</v>
      </c>
      <c r="F440" s="7" t="s">
        <v>1521</v>
      </c>
      <c r="G440" s="7"/>
      <c r="H440" s="46" t="s">
        <v>249</v>
      </c>
      <c r="I440" s="7" t="s">
        <v>160</v>
      </c>
      <c r="J440" s="7" t="s">
        <v>148</v>
      </c>
      <c r="K440" s="7"/>
      <c r="L440" s="7"/>
      <c r="M440" s="7"/>
    </row>
    <row r="441" ht="15.75" customHeight="1">
      <c r="A441" s="7" t="s">
        <v>2478</v>
      </c>
      <c r="B441" s="45" t="s">
        <v>2479</v>
      </c>
      <c r="C441" s="7" t="s">
        <v>2480</v>
      </c>
      <c r="D441" s="7" t="s">
        <v>2481</v>
      </c>
      <c r="E441" s="7" t="s">
        <v>2482</v>
      </c>
      <c r="F441" s="7" t="s">
        <v>1521</v>
      </c>
      <c r="G441" s="7"/>
      <c r="H441" s="46" t="s">
        <v>249</v>
      </c>
      <c r="I441" s="7" t="s">
        <v>160</v>
      </c>
      <c r="J441" s="7" t="s">
        <v>148</v>
      </c>
      <c r="K441" s="7"/>
      <c r="L441" s="7"/>
      <c r="M441" s="7"/>
    </row>
    <row r="442" ht="15.75" customHeight="1">
      <c r="A442" s="7" t="s">
        <v>2483</v>
      </c>
      <c r="B442" s="45" t="s">
        <v>2484</v>
      </c>
      <c r="C442" s="7" t="s">
        <v>2485</v>
      </c>
      <c r="D442" s="7" t="s">
        <v>2486</v>
      </c>
      <c r="E442" s="7" t="s">
        <v>2487</v>
      </c>
      <c r="F442" s="7" t="s">
        <v>1521</v>
      </c>
      <c r="G442" s="7"/>
      <c r="H442" s="46" t="s">
        <v>249</v>
      </c>
      <c r="I442" s="7" t="s">
        <v>160</v>
      </c>
      <c r="J442" s="7" t="s">
        <v>148</v>
      </c>
      <c r="K442" s="7"/>
      <c r="L442" s="7"/>
      <c r="M442" s="7"/>
    </row>
    <row r="443" ht="15.75" customHeight="1">
      <c r="A443" s="7" t="s">
        <v>2488</v>
      </c>
      <c r="B443" s="45" t="s">
        <v>2489</v>
      </c>
      <c r="C443" s="7" t="s">
        <v>2480</v>
      </c>
      <c r="D443" s="7" t="s">
        <v>2490</v>
      </c>
      <c r="E443" s="7" t="s">
        <v>2491</v>
      </c>
      <c r="F443" s="7" t="s">
        <v>1521</v>
      </c>
      <c r="G443" s="7"/>
      <c r="H443" s="46" t="s">
        <v>249</v>
      </c>
      <c r="I443" s="7" t="s">
        <v>160</v>
      </c>
      <c r="J443" s="7" t="s">
        <v>148</v>
      </c>
      <c r="K443" s="7"/>
      <c r="L443" s="7"/>
      <c r="M443" s="7"/>
    </row>
    <row r="444" ht="15.75" customHeight="1">
      <c r="A444" s="7" t="s">
        <v>2492</v>
      </c>
      <c r="B444" s="45" t="s">
        <v>2493</v>
      </c>
      <c r="C444" s="7" t="s">
        <v>2480</v>
      </c>
      <c r="D444" s="7" t="s">
        <v>2494</v>
      </c>
      <c r="E444" s="7" t="s">
        <v>2495</v>
      </c>
      <c r="F444" s="7" t="s">
        <v>1521</v>
      </c>
      <c r="G444" s="7"/>
      <c r="H444" s="46" t="s">
        <v>249</v>
      </c>
      <c r="I444" s="7" t="s">
        <v>160</v>
      </c>
      <c r="J444" s="7" t="s">
        <v>148</v>
      </c>
      <c r="K444" s="7"/>
      <c r="L444" s="7"/>
      <c r="M444" s="7"/>
    </row>
    <row r="445" ht="15.75" customHeight="1">
      <c r="A445" s="7" t="s">
        <v>2496</v>
      </c>
      <c r="B445" s="45" t="s">
        <v>2497</v>
      </c>
      <c r="C445" s="7" t="s">
        <v>2498</v>
      </c>
      <c r="D445" s="7" t="s">
        <v>2499</v>
      </c>
      <c r="E445" s="7" t="s">
        <v>2500</v>
      </c>
      <c r="F445" s="7" t="s">
        <v>1521</v>
      </c>
      <c r="G445" s="7"/>
      <c r="H445" s="46" t="s">
        <v>249</v>
      </c>
      <c r="I445" s="7" t="s">
        <v>160</v>
      </c>
      <c r="J445" s="7" t="s">
        <v>148</v>
      </c>
      <c r="K445" s="7"/>
      <c r="L445" s="7"/>
      <c r="M445" s="7"/>
    </row>
    <row r="446" ht="15.75" customHeight="1">
      <c r="A446" s="7" t="s">
        <v>2501</v>
      </c>
      <c r="B446" s="45" t="s">
        <v>2502</v>
      </c>
      <c r="C446" s="7" t="s">
        <v>2480</v>
      </c>
      <c r="D446" s="7" t="s">
        <v>2503</v>
      </c>
      <c r="E446" s="7" t="s">
        <v>2504</v>
      </c>
      <c r="F446" s="7" t="s">
        <v>1521</v>
      </c>
      <c r="G446" s="7"/>
      <c r="H446" s="46" t="s">
        <v>249</v>
      </c>
      <c r="I446" s="7" t="s">
        <v>160</v>
      </c>
      <c r="J446" s="7" t="s">
        <v>148</v>
      </c>
      <c r="K446" s="7"/>
      <c r="L446" s="7"/>
      <c r="M446" s="7"/>
    </row>
    <row r="447" ht="15.75" customHeight="1">
      <c r="A447" s="7" t="s">
        <v>2505</v>
      </c>
      <c r="B447" s="45" t="s">
        <v>2506</v>
      </c>
      <c r="C447" s="7" t="s">
        <v>2498</v>
      </c>
      <c r="D447" s="7" t="s">
        <v>2507</v>
      </c>
      <c r="E447" s="7" t="s">
        <v>2508</v>
      </c>
      <c r="F447" s="7" t="s">
        <v>1521</v>
      </c>
      <c r="G447" s="7"/>
      <c r="H447" s="46" t="s">
        <v>249</v>
      </c>
      <c r="I447" s="7" t="s">
        <v>160</v>
      </c>
      <c r="J447" s="7" t="s">
        <v>148</v>
      </c>
      <c r="K447" s="7"/>
      <c r="L447" s="7"/>
      <c r="M447" s="7"/>
    </row>
    <row r="448" ht="15.75" customHeight="1">
      <c r="A448" s="7" t="s">
        <v>2509</v>
      </c>
      <c r="B448" s="45" t="s">
        <v>2510</v>
      </c>
      <c r="C448" s="7" t="s">
        <v>2480</v>
      </c>
      <c r="D448" s="7" t="s">
        <v>2511</v>
      </c>
      <c r="E448" s="7" t="s">
        <v>2512</v>
      </c>
      <c r="F448" s="7" t="s">
        <v>1521</v>
      </c>
      <c r="G448" s="7"/>
      <c r="H448" s="46" t="s">
        <v>249</v>
      </c>
      <c r="I448" s="7" t="s">
        <v>160</v>
      </c>
      <c r="J448" s="7" t="s">
        <v>148</v>
      </c>
      <c r="K448" s="7"/>
      <c r="L448" s="7"/>
      <c r="M448" s="7"/>
    </row>
    <row r="449" ht="15.75" customHeight="1">
      <c r="A449" s="7" t="s">
        <v>2513</v>
      </c>
      <c r="B449" s="45" t="s">
        <v>2514</v>
      </c>
      <c r="C449" s="7" t="s">
        <v>2498</v>
      </c>
      <c r="D449" s="7" t="s">
        <v>2515</v>
      </c>
      <c r="E449" s="7" t="s">
        <v>2516</v>
      </c>
      <c r="F449" s="7" t="s">
        <v>1521</v>
      </c>
      <c r="G449" s="7"/>
      <c r="H449" s="46" t="s">
        <v>249</v>
      </c>
      <c r="I449" s="7" t="s">
        <v>160</v>
      </c>
      <c r="J449" s="7" t="s">
        <v>148</v>
      </c>
      <c r="K449" s="7"/>
      <c r="L449" s="7"/>
      <c r="M449" s="7"/>
    </row>
    <row r="450" ht="15.75" customHeight="1">
      <c r="A450" s="7" t="s">
        <v>2517</v>
      </c>
      <c r="B450" s="45" t="s">
        <v>2518</v>
      </c>
      <c r="C450" s="7" t="s">
        <v>2480</v>
      </c>
      <c r="D450" s="7" t="s">
        <v>2519</v>
      </c>
      <c r="E450" s="7" t="s">
        <v>2520</v>
      </c>
      <c r="F450" s="7" t="s">
        <v>1521</v>
      </c>
      <c r="G450" s="7"/>
      <c r="H450" s="46" t="s">
        <v>249</v>
      </c>
      <c r="I450" s="7" t="s">
        <v>160</v>
      </c>
      <c r="J450" s="7" t="s">
        <v>148</v>
      </c>
      <c r="K450" s="7"/>
      <c r="L450" s="7"/>
      <c r="M450" s="7"/>
    </row>
    <row r="451" ht="15.75" customHeight="1">
      <c r="A451" s="7" t="s">
        <v>2521</v>
      </c>
      <c r="B451" s="45" t="s">
        <v>2522</v>
      </c>
      <c r="C451" s="7" t="s">
        <v>2480</v>
      </c>
      <c r="D451" s="7" t="s">
        <v>2523</v>
      </c>
      <c r="E451" s="7" t="s">
        <v>2524</v>
      </c>
      <c r="F451" s="7" t="s">
        <v>1521</v>
      </c>
      <c r="G451" s="7"/>
      <c r="H451" s="46" t="s">
        <v>249</v>
      </c>
      <c r="I451" s="7" t="s">
        <v>160</v>
      </c>
      <c r="J451" s="7" t="s">
        <v>148</v>
      </c>
      <c r="K451" s="7"/>
      <c r="L451" s="7"/>
      <c r="M451" s="7"/>
    </row>
    <row r="452" ht="15.75" customHeight="1">
      <c r="A452" s="7" t="s">
        <v>2525</v>
      </c>
      <c r="B452" s="45" t="s">
        <v>2526</v>
      </c>
      <c r="C452" s="7" t="s">
        <v>2475</v>
      </c>
      <c r="D452" s="7" t="s">
        <v>2527</v>
      </c>
      <c r="E452" s="7" t="s">
        <v>2528</v>
      </c>
      <c r="F452" s="7" t="s">
        <v>1521</v>
      </c>
      <c r="G452" s="7"/>
      <c r="H452" s="46" t="s">
        <v>249</v>
      </c>
      <c r="I452" s="7" t="s">
        <v>160</v>
      </c>
      <c r="J452" s="7" t="s">
        <v>148</v>
      </c>
      <c r="K452" s="7"/>
      <c r="L452" s="7"/>
      <c r="M452" s="7"/>
    </row>
    <row r="453" ht="15.75" customHeight="1">
      <c r="A453" s="7" t="s">
        <v>2529</v>
      </c>
      <c r="B453" s="45" t="s">
        <v>2530</v>
      </c>
      <c r="C453" s="7" t="s">
        <v>2480</v>
      </c>
      <c r="D453" s="7" t="s">
        <v>2531</v>
      </c>
      <c r="E453" s="7" t="s">
        <v>2532</v>
      </c>
      <c r="F453" s="7" t="s">
        <v>1521</v>
      </c>
      <c r="G453" s="7"/>
      <c r="H453" s="46" t="s">
        <v>249</v>
      </c>
      <c r="I453" s="7" t="s">
        <v>160</v>
      </c>
      <c r="J453" s="7" t="s">
        <v>148</v>
      </c>
      <c r="K453" s="7"/>
      <c r="L453" s="7"/>
      <c r="M453" s="7"/>
    </row>
    <row r="454" ht="15.75" customHeight="1">
      <c r="A454" s="7" t="s">
        <v>2533</v>
      </c>
      <c r="B454" s="45" t="s">
        <v>2534</v>
      </c>
      <c r="C454" s="7" t="s">
        <v>2480</v>
      </c>
      <c r="D454" s="7" t="s">
        <v>2535</v>
      </c>
      <c r="E454" s="7" t="s">
        <v>2536</v>
      </c>
      <c r="F454" s="7" t="s">
        <v>1521</v>
      </c>
      <c r="G454" s="7"/>
      <c r="H454" s="46" t="s">
        <v>249</v>
      </c>
      <c r="I454" s="7" t="s">
        <v>160</v>
      </c>
      <c r="J454" s="7" t="s">
        <v>148</v>
      </c>
      <c r="K454" s="7"/>
      <c r="L454" s="7"/>
      <c r="M454" s="7"/>
    </row>
    <row r="455" ht="15.75" customHeight="1">
      <c r="A455" s="7" t="s">
        <v>2537</v>
      </c>
      <c r="B455" s="45" t="s">
        <v>2538</v>
      </c>
      <c r="C455" s="7" t="s">
        <v>2539</v>
      </c>
      <c r="D455" s="7" t="s">
        <v>2540</v>
      </c>
      <c r="E455" s="7" t="s">
        <v>2541</v>
      </c>
      <c r="F455" s="7" t="s">
        <v>2542</v>
      </c>
      <c r="G455" s="7"/>
      <c r="H455" s="46" t="s">
        <v>249</v>
      </c>
      <c r="I455" s="7" t="s">
        <v>160</v>
      </c>
      <c r="J455" s="7" t="s">
        <v>148</v>
      </c>
      <c r="K455" s="7"/>
      <c r="L455" s="7"/>
      <c r="M455" s="7"/>
    </row>
    <row r="456" ht="15.75" customHeight="1">
      <c r="A456" s="7" t="s">
        <v>2543</v>
      </c>
      <c r="B456" s="45" t="s">
        <v>2544</v>
      </c>
      <c r="C456" s="7" t="s">
        <v>2545</v>
      </c>
      <c r="D456" s="7" t="s">
        <v>2546</v>
      </c>
      <c r="E456" s="7" t="s">
        <v>2547</v>
      </c>
      <c r="F456" s="7" t="s">
        <v>2548</v>
      </c>
      <c r="G456" s="7"/>
      <c r="H456" s="46" t="s">
        <v>249</v>
      </c>
      <c r="I456" s="7" t="s">
        <v>160</v>
      </c>
      <c r="J456" s="7" t="s">
        <v>148</v>
      </c>
      <c r="K456" s="7"/>
      <c r="L456" s="7"/>
      <c r="M456" s="7"/>
    </row>
    <row r="457" ht="15.75" customHeight="1">
      <c r="A457" s="7" t="s">
        <v>2549</v>
      </c>
      <c r="B457" s="45" t="s">
        <v>2550</v>
      </c>
      <c r="C457" s="7" t="s">
        <v>2551</v>
      </c>
      <c r="D457" s="7" t="s">
        <v>2552</v>
      </c>
      <c r="E457" s="7" t="s">
        <v>2553</v>
      </c>
      <c r="F457" s="7" t="s">
        <v>2554</v>
      </c>
      <c r="G457" s="7"/>
      <c r="H457" s="46" t="s">
        <v>249</v>
      </c>
      <c r="I457" s="7" t="s">
        <v>160</v>
      </c>
      <c r="J457" s="7" t="s">
        <v>148</v>
      </c>
      <c r="K457" s="7"/>
      <c r="L457" s="7"/>
      <c r="M457" s="7"/>
    </row>
    <row r="458" ht="15.75" customHeight="1">
      <c r="A458" s="7" t="s">
        <v>2555</v>
      </c>
      <c r="B458" s="45" t="s">
        <v>2556</v>
      </c>
      <c r="C458" s="7" t="s">
        <v>2557</v>
      </c>
      <c r="D458" s="7" t="s">
        <v>2558</v>
      </c>
      <c r="E458" s="7" t="s">
        <v>2559</v>
      </c>
      <c r="F458" s="7" t="s">
        <v>2560</v>
      </c>
      <c r="G458" s="7"/>
      <c r="H458" s="46" t="s">
        <v>249</v>
      </c>
      <c r="I458" s="7" t="s">
        <v>160</v>
      </c>
      <c r="J458" s="7" t="s">
        <v>148</v>
      </c>
      <c r="K458" s="7"/>
      <c r="L458" s="7"/>
      <c r="M458" s="7"/>
    </row>
    <row r="459" ht="15.75" customHeight="1">
      <c r="A459" s="7" t="s">
        <v>2561</v>
      </c>
      <c r="B459" s="45" t="s">
        <v>2562</v>
      </c>
      <c r="C459" s="7" t="s">
        <v>2563</v>
      </c>
      <c r="D459" s="7" t="s">
        <v>2564</v>
      </c>
      <c r="E459" s="7" t="s">
        <v>2565</v>
      </c>
      <c r="F459" s="7" t="s">
        <v>2566</v>
      </c>
      <c r="G459" s="7"/>
      <c r="H459" s="46" t="s">
        <v>249</v>
      </c>
      <c r="I459" s="7" t="s">
        <v>160</v>
      </c>
      <c r="J459" s="7" t="s">
        <v>148</v>
      </c>
      <c r="K459" s="7"/>
      <c r="L459" s="7"/>
      <c r="M459" s="7"/>
    </row>
    <row r="460" ht="15.75" customHeight="1">
      <c r="A460" s="7" t="s">
        <v>2567</v>
      </c>
      <c r="B460" s="45" t="s">
        <v>2568</v>
      </c>
      <c r="C460" s="7" t="s">
        <v>2569</v>
      </c>
      <c r="D460" s="7" t="s">
        <v>2570</v>
      </c>
      <c r="E460" s="7" t="s">
        <v>2571</v>
      </c>
      <c r="F460" s="7" t="s">
        <v>2572</v>
      </c>
      <c r="G460" s="7"/>
      <c r="H460" s="46" t="s">
        <v>249</v>
      </c>
      <c r="I460" s="7" t="s">
        <v>160</v>
      </c>
      <c r="J460" s="7" t="s">
        <v>148</v>
      </c>
      <c r="K460" s="7"/>
      <c r="L460" s="7"/>
      <c r="M460" s="7"/>
    </row>
    <row r="461" ht="15.75" customHeight="1">
      <c r="A461" s="7" t="s">
        <v>2573</v>
      </c>
      <c r="B461" s="45" t="s">
        <v>2574</v>
      </c>
      <c r="C461" s="7" t="s">
        <v>2575</v>
      </c>
      <c r="D461" s="7" t="s">
        <v>2576</v>
      </c>
      <c r="E461" s="7" t="s">
        <v>2577</v>
      </c>
      <c r="F461" s="7" t="s">
        <v>2578</v>
      </c>
      <c r="G461" s="7"/>
      <c r="H461" s="46" t="s">
        <v>249</v>
      </c>
      <c r="I461" s="7" t="s">
        <v>160</v>
      </c>
      <c r="J461" s="7" t="s">
        <v>148</v>
      </c>
      <c r="K461" s="7"/>
      <c r="L461" s="7"/>
      <c r="M461" s="7"/>
    </row>
    <row r="462" ht="15.75" customHeight="1">
      <c r="A462" s="7" t="s">
        <v>2579</v>
      </c>
      <c r="B462" s="45" t="s">
        <v>2580</v>
      </c>
      <c r="C462" s="7" t="s">
        <v>2467</v>
      </c>
      <c r="D462" s="7" t="s">
        <v>2581</v>
      </c>
      <c r="E462" s="7" t="s">
        <v>2582</v>
      </c>
      <c r="F462" s="7" t="s">
        <v>1801</v>
      </c>
      <c r="G462" s="7"/>
      <c r="H462" s="46" t="s">
        <v>249</v>
      </c>
      <c r="I462" s="7" t="s">
        <v>160</v>
      </c>
      <c r="J462" s="7" t="s">
        <v>148</v>
      </c>
      <c r="K462" s="7"/>
      <c r="L462" s="7"/>
      <c r="M462" s="7"/>
    </row>
    <row r="463" ht="15.75" customHeight="1">
      <c r="A463" s="7" t="s">
        <v>2583</v>
      </c>
      <c r="B463" s="45" t="s">
        <v>2584</v>
      </c>
      <c r="C463" s="7" t="s">
        <v>2585</v>
      </c>
      <c r="D463" s="7" t="s">
        <v>2586</v>
      </c>
      <c r="E463" s="7" t="s">
        <v>1924</v>
      </c>
      <c r="F463" s="7" t="s">
        <v>1801</v>
      </c>
      <c r="G463" s="7"/>
      <c r="H463" s="46" t="s">
        <v>249</v>
      </c>
      <c r="I463" s="7" t="s">
        <v>160</v>
      </c>
      <c r="J463" s="7" t="s">
        <v>148</v>
      </c>
      <c r="K463" s="7"/>
      <c r="L463" s="7"/>
      <c r="M463" s="7"/>
    </row>
    <row r="464" ht="15.75" customHeight="1">
      <c r="A464" s="7" t="s">
        <v>2587</v>
      </c>
      <c r="B464" s="45" t="s">
        <v>2588</v>
      </c>
      <c r="C464" s="7" t="s">
        <v>2589</v>
      </c>
      <c r="D464" s="7" t="s">
        <v>2590</v>
      </c>
      <c r="E464" s="7" t="s">
        <v>2591</v>
      </c>
      <c r="F464" s="7" t="s">
        <v>2592</v>
      </c>
      <c r="G464" s="7"/>
      <c r="H464" s="46" t="s">
        <v>249</v>
      </c>
      <c r="I464" s="7" t="s">
        <v>160</v>
      </c>
      <c r="J464" s="7" t="s">
        <v>148</v>
      </c>
      <c r="K464" s="7"/>
      <c r="L464" s="7"/>
      <c r="M464" s="7"/>
    </row>
    <row r="465" ht="15.75" customHeight="1">
      <c r="A465" s="7" t="s">
        <v>2593</v>
      </c>
      <c r="B465" s="45" t="s">
        <v>2594</v>
      </c>
      <c r="C465" s="7" t="s">
        <v>2595</v>
      </c>
      <c r="D465" s="7" t="s">
        <v>2596</v>
      </c>
      <c r="E465" s="7" t="s">
        <v>2597</v>
      </c>
      <c r="F465" s="7" t="s">
        <v>2598</v>
      </c>
      <c r="G465" s="7" t="s">
        <v>2599</v>
      </c>
      <c r="H465" s="46" t="s">
        <v>249</v>
      </c>
      <c r="I465" s="7" t="s">
        <v>160</v>
      </c>
      <c r="J465" s="7" t="s">
        <v>148</v>
      </c>
      <c r="K465" s="7"/>
      <c r="L465" s="7"/>
      <c r="M465" s="7"/>
    </row>
    <row r="466" ht="15.75" customHeight="1">
      <c r="A466" s="7" t="s">
        <v>2600</v>
      </c>
      <c r="B466" s="45" t="s">
        <v>2601</v>
      </c>
      <c r="C466" s="7" t="s">
        <v>1804</v>
      </c>
      <c r="D466" s="7" t="s">
        <v>2602</v>
      </c>
      <c r="E466" s="7" t="s">
        <v>1924</v>
      </c>
      <c r="F466" s="7" t="s">
        <v>1807</v>
      </c>
      <c r="G466" s="7"/>
      <c r="H466" s="46" t="s">
        <v>249</v>
      </c>
      <c r="I466" s="7" t="s">
        <v>160</v>
      </c>
      <c r="J466" s="7" t="s">
        <v>148</v>
      </c>
      <c r="K466" s="7"/>
      <c r="L466" s="7"/>
      <c r="M466" s="7"/>
    </row>
    <row r="467" ht="15.75" customHeight="1">
      <c r="A467" s="7" t="s">
        <v>2603</v>
      </c>
      <c r="B467" s="45" t="s">
        <v>2604</v>
      </c>
      <c r="C467" s="7" t="s">
        <v>1804</v>
      </c>
      <c r="D467" s="7" t="s">
        <v>2605</v>
      </c>
      <c r="E467" s="7" t="s">
        <v>2606</v>
      </c>
      <c r="F467" s="7" t="s">
        <v>1807</v>
      </c>
      <c r="G467" s="7"/>
      <c r="H467" s="46" t="s">
        <v>249</v>
      </c>
      <c r="I467" s="7" t="s">
        <v>160</v>
      </c>
      <c r="J467" s="7" t="s">
        <v>148</v>
      </c>
      <c r="K467" s="7"/>
      <c r="L467" s="7"/>
      <c r="M467" s="7"/>
    </row>
    <row r="468" ht="15.75" customHeight="1">
      <c r="A468" s="7" t="s">
        <v>2607</v>
      </c>
      <c r="B468" s="45" t="s">
        <v>2608</v>
      </c>
      <c r="C468" s="7" t="s">
        <v>1804</v>
      </c>
      <c r="D468" s="7" t="s">
        <v>2609</v>
      </c>
      <c r="E468" s="7" t="s">
        <v>1924</v>
      </c>
      <c r="F468" s="7" t="s">
        <v>1807</v>
      </c>
      <c r="G468" s="7"/>
      <c r="H468" s="46" t="s">
        <v>249</v>
      </c>
      <c r="I468" s="7" t="s">
        <v>160</v>
      </c>
      <c r="J468" s="7" t="s">
        <v>148</v>
      </c>
      <c r="K468" s="7"/>
      <c r="L468" s="7"/>
      <c r="M468" s="7"/>
    </row>
    <row r="469" ht="15.75" customHeight="1">
      <c r="A469" s="7" t="s">
        <v>2610</v>
      </c>
      <c r="B469" s="45" t="s">
        <v>2611</v>
      </c>
      <c r="C469" s="7" t="s">
        <v>2612</v>
      </c>
      <c r="D469" s="7" t="s">
        <v>2613</v>
      </c>
      <c r="E469" s="7" t="s">
        <v>2614</v>
      </c>
      <c r="F469" s="7" t="s">
        <v>1371</v>
      </c>
      <c r="G469" s="7"/>
      <c r="H469" s="46" t="s">
        <v>249</v>
      </c>
      <c r="I469" s="7" t="s">
        <v>160</v>
      </c>
      <c r="J469" s="7" t="s">
        <v>148</v>
      </c>
      <c r="K469" s="7"/>
      <c r="L469" s="7"/>
      <c r="M469" s="7"/>
    </row>
    <row r="470" ht="15.75" customHeight="1">
      <c r="A470" s="7" t="s">
        <v>2615</v>
      </c>
      <c r="B470" s="45" t="s">
        <v>2616</v>
      </c>
      <c r="C470" s="7" t="s">
        <v>2617</v>
      </c>
      <c r="D470" s="7" t="s">
        <v>2618</v>
      </c>
      <c r="E470" s="7" t="s">
        <v>2619</v>
      </c>
      <c r="F470" s="7" t="s">
        <v>2620</v>
      </c>
      <c r="G470" s="7" t="s">
        <v>2621</v>
      </c>
      <c r="H470" s="46" t="s">
        <v>249</v>
      </c>
      <c r="I470" s="7" t="s">
        <v>160</v>
      </c>
      <c r="J470" s="7" t="s">
        <v>148</v>
      </c>
      <c r="K470" s="7"/>
      <c r="L470" s="7"/>
      <c r="M470" s="7"/>
    </row>
    <row r="471" ht="15.75" customHeight="1">
      <c r="A471" s="7" t="s">
        <v>2622</v>
      </c>
      <c r="B471" s="45" t="s">
        <v>2623</v>
      </c>
      <c r="C471" s="7" t="s">
        <v>2624</v>
      </c>
      <c r="D471" s="7" t="s">
        <v>2625</v>
      </c>
      <c r="E471" s="7" t="s">
        <v>2626</v>
      </c>
      <c r="F471" s="7" t="s">
        <v>2627</v>
      </c>
      <c r="G471" s="7"/>
      <c r="H471" s="46" t="s">
        <v>249</v>
      </c>
      <c r="I471" s="7" t="s">
        <v>160</v>
      </c>
      <c r="J471" s="7" t="s">
        <v>148</v>
      </c>
      <c r="K471" s="7"/>
      <c r="L471" s="7"/>
      <c r="M471" s="7"/>
    </row>
    <row r="472" ht="15.75" customHeight="1">
      <c r="A472" s="7" t="s">
        <v>2628</v>
      </c>
      <c r="B472" s="45" t="s">
        <v>2629</v>
      </c>
      <c r="C472" s="7" t="s">
        <v>2624</v>
      </c>
      <c r="D472" s="7" t="s">
        <v>2630</v>
      </c>
      <c r="E472" s="7" t="s">
        <v>2631</v>
      </c>
      <c r="F472" s="7" t="s">
        <v>2627</v>
      </c>
      <c r="G472" s="7"/>
      <c r="H472" s="46" t="s">
        <v>249</v>
      </c>
      <c r="I472" s="7" t="s">
        <v>160</v>
      </c>
      <c r="J472" s="7" t="s">
        <v>148</v>
      </c>
      <c r="K472" s="7"/>
      <c r="L472" s="7"/>
      <c r="M472" s="7"/>
    </row>
    <row r="473" ht="15.75" customHeight="1">
      <c r="A473" s="7" t="s">
        <v>2632</v>
      </c>
      <c r="B473" s="45" t="s">
        <v>2633</v>
      </c>
      <c r="C473" s="7" t="s">
        <v>1804</v>
      </c>
      <c r="D473" s="7" t="s">
        <v>2634</v>
      </c>
      <c r="E473" s="7" t="s">
        <v>2635</v>
      </c>
      <c r="F473" s="7" t="s">
        <v>1807</v>
      </c>
      <c r="G473" s="7"/>
      <c r="H473" s="46" t="s">
        <v>249</v>
      </c>
      <c r="I473" s="7" t="s">
        <v>160</v>
      </c>
      <c r="J473" s="7" t="s">
        <v>148</v>
      </c>
      <c r="K473" s="7"/>
      <c r="L473" s="7"/>
      <c r="M473" s="7"/>
    </row>
    <row r="474" ht="15.75" customHeight="1">
      <c r="A474" s="7" t="s">
        <v>2636</v>
      </c>
      <c r="B474" s="45" t="s">
        <v>2637</v>
      </c>
      <c r="C474" s="7" t="s">
        <v>2638</v>
      </c>
      <c r="D474" s="7" t="s">
        <v>2639</v>
      </c>
      <c r="E474" s="7" t="s">
        <v>2640</v>
      </c>
      <c r="F474" s="7" t="s">
        <v>2641</v>
      </c>
      <c r="G474" s="7" t="s">
        <v>2642</v>
      </c>
      <c r="H474" s="46" t="s">
        <v>249</v>
      </c>
      <c r="I474" s="7" t="s">
        <v>160</v>
      </c>
      <c r="J474" s="7" t="s">
        <v>148</v>
      </c>
      <c r="K474" s="7"/>
      <c r="L474" s="7"/>
      <c r="M474" s="7"/>
    </row>
    <row r="475" ht="15.75" customHeight="1">
      <c r="A475" s="7" t="s">
        <v>2643</v>
      </c>
      <c r="B475" s="45" t="s">
        <v>2644</v>
      </c>
      <c r="C475" s="7" t="s">
        <v>1804</v>
      </c>
      <c r="D475" s="7" t="s">
        <v>2645</v>
      </c>
      <c r="E475" s="7" t="s">
        <v>1924</v>
      </c>
      <c r="F475" s="7" t="s">
        <v>1807</v>
      </c>
      <c r="G475" s="7"/>
      <c r="H475" s="46" t="s">
        <v>249</v>
      </c>
      <c r="I475" s="7" t="s">
        <v>160</v>
      </c>
      <c r="J475" s="7" t="s">
        <v>148</v>
      </c>
      <c r="K475" s="7"/>
      <c r="L475" s="7"/>
      <c r="M475" s="7"/>
    </row>
    <row r="476" ht="15.75" customHeight="1">
      <c r="A476" s="7" t="s">
        <v>2646</v>
      </c>
      <c r="B476" s="45" t="s">
        <v>2647</v>
      </c>
      <c r="C476" s="7" t="s">
        <v>1804</v>
      </c>
      <c r="D476" s="7" t="s">
        <v>2648</v>
      </c>
      <c r="E476" s="7" t="s">
        <v>1924</v>
      </c>
      <c r="F476" s="7" t="s">
        <v>1807</v>
      </c>
      <c r="G476" s="7"/>
      <c r="H476" s="46" t="s">
        <v>249</v>
      </c>
      <c r="I476" s="7" t="s">
        <v>160</v>
      </c>
      <c r="J476" s="7" t="s">
        <v>148</v>
      </c>
      <c r="K476" s="7"/>
      <c r="L476" s="7"/>
      <c r="M476" s="7"/>
    </row>
    <row r="477" ht="15.75" customHeight="1">
      <c r="A477" s="7" t="s">
        <v>2649</v>
      </c>
      <c r="B477" s="45" t="s">
        <v>2650</v>
      </c>
      <c r="C477" s="7" t="s">
        <v>2651</v>
      </c>
      <c r="D477" s="7" t="s">
        <v>2652</v>
      </c>
      <c r="E477" s="7" t="s">
        <v>1924</v>
      </c>
      <c r="F477" s="7" t="s">
        <v>1807</v>
      </c>
      <c r="G477" s="7"/>
      <c r="H477" s="46" t="s">
        <v>249</v>
      </c>
      <c r="I477" s="7" t="s">
        <v>160</v>
      </c>
      <c r="J477" s="7" t="s">
        <v>148</v>
      </c>
      <c r="K477" s="7"/>
      <c r="L477" s="7"/>
      <c r="M477" s="7"/>
    </row>
    <row r="478" ht="15.75" customHeight="1">
      <c r="A478" s="7" t="s">
        <v>2653</v>
      </c>
      <c r="B478" s="45" t="s">
        <v>2654</v>
      </c>
      <c r="C478" s="7" t="s">
        <v>2655</v>
      </c>
      <c r="D478" s="7" t="s">
        <v>2656</v>
      </c>
      <c r="E478" s="7" t="s">
        <v>1924</v>
      </c>
      <c r="F478" s="7" t="s">
        <v>2433</v>
      </c>
      <c r="G478" s="7"/>
      <c r="H478" s="46" t="s">
        <v>249</v>
      </c>
      <c r="I478" s="7" t="s">
        <v>160</v>
      </c>
      <c r="J478" s="7" t="s">
        <v>148</v>
      </c>
      <c r="K478" s="7"/>
      <c r="L478" s="7"/>
      <c r="M478" s="7"/>
    </row>
    <row r="479" ht="15.75" customHeight="1">
      <c r="A479" s="7" t="s">
        <v>2657</v>
      </c>
      <c r="B479" s="45" t="s">
        <v>2658</v>
      </c>
      <c r="C479" s="7" t="s">
        <v>1804</v>
      </c>
      <c r="D479" s="7" t="s">
        <v>2659</v>
      </c>
      <c r="E479" s="7" t="s">
        <v>1924</v>
      </c>
      <c r="F479" s="7" t="s">
        <v>1807</v>
      </c>
      <c r="G479" s="7"/>
      <c r="H479" s="46" t="s">
        <v>249</v>
      </c>
      <c r="I479" s="7" t="s">
        <v>160</v>
      </c>
      <c r="J479" s="7" t="s">
        <v>148</v>
      </c>
      <c r="K479" s="7"/>
      <c r="L479" s="7"/>
      <c r="M479" s="7"/>
    </row>
    <row r="480" ht="15.75" customHeight="1">
      <c r="A480" s="7" t="s">
        <v>2660</v>
      </c>
      <c r="B480" s="45" t="s">
        <v>2661</v>
      </c>
      <c r="C480" s="7" t="s">
        <v>1804</v>
      </c>
      <c r="D480" s="7" t="s">
        <v>2662</v>
      </c>
      <c r="E480" s="7" t="s">
        <v>2663</v>
      </c>
      <c r="F480" s="7" t="s">
        <v>1807</v>
      </c>
      <c r="G480" s="7"/>
      <c r="H480" s="46" t="s">
        <v>249</v>
      </c>
      <c r="I480" s="7" t="s">
        <v>160</v>
      </c>
      <c r="J480" s="7" t="s">
        <v>148</v>
      </c>
      <c r="K480" s="7"/>
      <c r="L480" s="7"/>
      <c r="M480" s="7"/>
    </row>
    <row r="481" ht="15.75" customHeight="1">
      <c r="A481" s="7" t="s">
        <v>2664</v>
      </c>
      <c r="B481" s="45" t="s">
        <v>2665</v>
      </c>
      <c r="C481" s="7" t="s">
        <v>1804</v>
      </c>
      <c r="D481" s="7" t="s">
        <v>2666</v>
      </c>
      <c r="E481" s="7" t="s">
        <v>1924</v>
      </c>
      <c r="F481" s="7" t="s">
        <v>1807</v>
      </c>
      <c r="G481" s="7"/>
      <c r="H481" s="46" t="s">
        <v>249</v>
      </c>
      <c r="I481" s="7" t="s">
        <v>160</v>
      </c>
      <c r="J481" s="7" t="s">
        <v>148</v>
      </c>
      <c r="K481" s="7"/>
      <c r="L481" s="7"/>
      <c r="M481" s="7"/>
    </row>
    <row r="482" ht="15.75" customHeight="1">
      <c r="A482" s="7" t="s">
        <v>2667</v>
      </c>
      <c r="B482" s="45" t="s">
        <v>2668</v>
      </c>
      <c r="C482" s="7" t="s">
        <v>2475</v>
      </c>
      <c r="D482" s="7" t="s">
        <v>2669</v>
      </c>
      <c r="E482" s="7" t="s">
        <v>2670</v>
      </c>
      <c r="F482" s="7" t="s">
        <v>1521</v>
      </c>
      <c r="G482" s="7"/>
      <c r="H482" s="46" t="s">
        <v>249</v>
      </c>
      <c r="I482" s="7" t="s">
        <v>160</v>
      </c>
      <c r="J482" s="7" t="s">
        <v>148</v>
      </c>
      <c r="K482" s="7"/>
      <c r="L482" s="7"/>
      <c r="M482" s="7"/>
    </row>
    <row r="483" ht="15.75" customHeight="1">
      <c r="A483" s="7" t="s">
        <v>2671</v>
      </c>
      <c r="B483" s="45" t="s">
        <v>2672</v>
      </c>
      <c r="C483" s="7" t="s">
        <v>1804</v>
      </c>
      <c r="D483" s="7" t="s">
        <v>2673</v>
      </c>
      <c r="E483" s="7" t="s">
        <v>1924</v>
      </c>
      <c r="F483" s="7" t="s">
        <v>1807</v>
      </c>
      <c r="G483" s="7"/>
      <c r="H483" s="46" t="s">
        <v>249</v>
      </c>
      <c r="I483" s="7" t="s">
        <v>160</v>
      </c>
      <c r="J483" s="7" t="s">
        <v>148</v>
      </c>
      <c r="K483" s="7"/>
      <c r="L483" s="7"/>
      <c r="M483" s="7"/>
    </row>
    <row r="484" ht="15.75" customHeight="1">
      <c r="A484" s="7" t="s">
        <v>2674</v>
      </c>
      <c r="B484" s="45" t="s">
        <v>2675</v>
      </c>
      <c r="C484" s="7" t="s">
        <v>1804</v>
      </c>
      <c r="D484" s="7" t="s">
        <v>2676</v>
      </c>
      <c r="E484" s="7" t="s">
        <v>1924</v>
      </c>
      <c r="F484" s="7" t="s">
        <v>1807</v>
      </c>
      <c r="G484" s="7"/>
      <c r="H484" s="46" t="s">
        <v>249</v>
      </c>
      <c r="I484" s="7" t="s">
        <v>160</v>
      </c>
      <c r="J484" s="7" t="s">
        <v>148</v>
      </c>
      <c r="K484" s="7"/>
      <c r="L484" s="7"/>
      <c r="M484" s="7"/>
    </row>
    <row r="485" ht="15.75" customHeight="1">
      <c r="A485" s="7" t="s">
        <v>2677</v>
      </c>
      <c r="B485" s="45" t="s">
        <v>2678</v>
      </c>
      <c r="C485" s="7" t="s">
        <v>2679</v>
      </c>
      <c r="D485" s="7" t="s">
        <v>2680</v>
      </c>
      <c r="E485" s="7" t="s">
        <v>2681</v>
      </c>
      <c r="F485" s="7" t="s">
        <v>2682</v>
      </c>
      <c r="G485" s="7"/>
      <c r="H485" s="46" t="s">
        <v>249</v>
      </c>
      <c r="I485" s="7" t="s">
        <v>160</v>
      </c>
      <c r="J485" s="7" t="s">
        <v>148</v>
      </c>
      <c r="K485" s="7"/>
      <c r="L485" s="7"/>
      <c r="M485" s="7"/>
    </row>
    <row r="486" ht="15.75" customHeight="1">
      <c r="A486" s="7" t="s">
        <v>2683</v>
      </c>
      <c r="B486" s="45" t="s">
        <v>2684</v>
      </c>
      <c r="C486" s="7" t="s">
        <v>2651</v>
      </c>
      <c r="D486" s="7" t="s">
        <v>2685</v>
      </c>
      <c r="E486" s="7" t="s">
        <v>1924</v>
      </c>
      <c r="F486" s="7" t="s">
        <v>1807</v>
      </c>
      <c r="G486" s="7"/>
      <c r="H486" s="46" t="s">
        <v>249</v>
      </c>
      <c r="I486" s="7" t="s">
        <v>160</v>
      </c>
      <c r="J486" s="7" t="s">
        <v>148</v>
      </c>
      <c r="K486" s="7"/>
      <c r="L486" s="7"/>
      <c r="M486" s="7"/>
    </row>
    <row r="487" ht="15.75" customHeight="1">
      <c r="A487" s="7" t="s">
        <v>2686</v>
      </c>
      <c r="B487" s="45" t="s">
        <v>2687</v>
      </c>
      <c r="C487" s="7" t="s">
        <v>2688</v>
      </c>
      <c r="D487" s="7" t="s">
        <v>2689</v>
      </c>
      <c r="E487" s="7" t="s">
        <v>2690</v>
      </c>
      <c r="F487" s="7" t="s">
        <v>2691</v>
      </c>
      <c r="G487" s="7"/>
      <c r="H487" s="46" t="s">
        <v>249</v>
      </c>
      <c r="I487" s="7" t="s">
        <v>160</v>
      </c>
      <c r="J487" s="7" t="s">
        <v>148</v>
      </c>
      <c r="K487" s="7"/>
      <c r="L487" s="7"/>
      <c r="M487" s="7"/>
    </row>
    <row r="488" ht="15.75" customHeight="1">
      <c r="A488" s="7" t="s">
        <v>2692</v>
      </c>
      <c r="B488" s="45" t="s">
        <v>2693</v>
      </c>
      <c r="C488" s="7" t="s">
        <v>2467</v>
      </c>
      <c r="D488" s="7" t="s">
        <v>2694</v>
      </c>
      <c r="E488" s="7" t="s">
        <v>2695</v>
      </c>
      <c r="F488" s="7" t="s">
        <v>1801</v>
      </c>
      <c r="G488" s="7"/>
      <c r="H488" s="46" t="s">
        <v>249</v>
      </c>
      <c r="I488" s="7" t="s">
        <v>160</v>
      </c>
      <c r="J488" s="7" t="s">
        <v>148</v>
      </c>
      <c r="K488" s="7"/>
      <c r="L488" s="7"/>
      <c r="M488" s="7"/>
    </row>
    <row r="489" ht="15.75" customHeight="1">
      <c r="A489" s="7" t="s">
        <v>2696</v>
      </c>
      <c r="B489" s="45" t="s">
        <v>2697</v>
      </c>
      <c r="C489" s="7" t="s">
        <v>2467</v>
      </c>
      <c r="D489" s="7" t="s">
        <v>2698</v>
      </c>
      <c r="E489" s="7" t="s">
        <v>2699</v>
      </c>
      <c r="F489" s="7" t="s">
        <v>1801</v>
      </c>
      <c r="G489" s="7"/>
      <c r="H489" s="46" t="s">
        <v>249</v>
      </c>
      <c r="I489" s="7" t="s">
        <v>160</v>
      </c>
      <c r="J489" s="7" t="s">
        <v>148</v>
      </c>
      <c r="K489" s="7"/>
      <c r="L489" s="7"/>
      <c r="M489" s="7"/>
    </row>
    <row r="490" ht="15.75" customHeight="1">
      <c r="A490" s="7" t="s">
        <v>2700</v>
      </c>
      <c r="B490" s="45" t="s">
        <v>2701</v>
      </c>
      <c r="C490" s="7" t="s">
        <v>2467</v>
      </c>
      <c r="D490" s="7" t="s">
        <v>2702</v>
      </c>
      <c r="E490" s="7" t="s">
        <v>2703</v>
      </c>
      <c r="F490" s="7" t="s">
        <v>1801</v>
      </c>
      <c r="G490" s="7"/>
      <c r="H490" s="46" t="s">
        <v>249</v>
      </c>
      <c r="I490" s="7" t="s">
        <v>160</v>
      </c>
      <c r="J490" s="7" t="s">
        <v>148</v>
      </c>
      <c r="K490" s="7"/>
      <c r="L490" s="7"/>
      <c r="M490" s="7"/>
    </row>
    <row r="491" ht="15.75" customHeight="1">
      <c r="A491" s="7" t="s">
        <v>2704</v>
      </c>
      <c r="B491" s="45" t="s">
        <v>2705</v>
      </c>
      <c r="C491" s="7" t="s">
        <v>1922</v>
      </c>
      <c r="D491" s="7" t="s">
        <v>2706</v>
      </c>
      <c r="E491" s="7" t="s">
        <v>2707</v>
      </c>
      <c r="F491" s="7" t="s">
        <v>1925</v>
      </c>
      <c r="G491" s="7"/>
      <c r="H491" s="46" t="s">
        <v>249</v>
      </c>
      <c r="I491" s="7" t="s">
        <v>160</v>
      </c>
      <c r="J491" s="7" t="s">
        <v>148</v>
      </c>
      <c r="K491" s="7"/>
      <c r="L491" s="7"/>
      <c r="M491" s="7"/>
    </row>
    <row r="492" ht="15.75" customHeight="1">
      <c r="A492" s="7" t="s">
        <v>2708</v>
      </c>
      <c r="B492" s="45" t="s">
        <v>2709</v>
      </c>
      <c r="C492" s="7" t="s">
        <v>2480</v>
      </c>
      <c r="D492" s="7" t="s">
        <v>2710</v>
      </c>
      <c r="E492" s="7" t="s">
        <v>2711</v>
      </c>
      <c r="F492" s="7" t="s">
        <v>1521</v>
      </c>
      <c r="G492" s="7"/>
      <c r="H492" s="46" t="s">
        <v>249</v>
      </c>
      <c r="I492" s="7" t="s">
        <v>160</v>
      </c>
      <c r="J492" s="7" t="s">
        <v>148</v>
      </c>
      <c r="K492" s="7"/>
      <c r="L492" s="7"/>
      <c r="M492" s="7"/>
    </row>
    <row r="493" ht="15.75" customHeight="1">
      <c r="A493" s="7" t="s">
        <v>2712</v>
      </c>
      <c r="B493" s="45" t="s">
        <v>2713</v>
      </c>
      <c r="C493" s="7" t="s">
        <v>2480</v>
      </c>
      <c r="D493" s="7" t="s">
        <v>2714</v>
      </c>
      <c r="E493" s="7" t="s">
        <v>2715</v>
      </c>
      <c r="F493" s="7" t="s">
        <v>1521</v>
      </c>
      <c r="G493" s="7"/>
      <c r="H493" s="46" t="s">
        <v>249</v>
      </c>
      <c r="I493" s="7" t="s">
        <v>160</v>
      </c>
      <c r="J493" s="7" t="s">
        <v>148</v>
      </c>
      <c r="K493" s="7"/>
      <c r="L493" s="7"/>
      <c r="M493" s="7"/>
    </row>
    <row r="494" ht="15.75" customHeight="1">
      <c r="A494" s="7" t="s">
        <v>2716</v>
      </c>
      <c r="B494" s="45" t="s">
        <v>2717</v>
      </c>
      <c r="C494" s="7" t="s">
        <v>2612</v>
      </c>
      <c r="D494" s="7" t="s">
        <v>2718</v>
      </c>
      <c r="E494" s="7" t="s">
        <v>2719</v>
      </c>
      <c r="F494" s="7" t="s">
        <v>1371</v>
      </c>
      <c r="G494" s="7"/>
      <c r="H494" s="46" t="s">
        <v>249</v>
      </c>
      <c r="I494" s="7" t="s">
        <v>160</v>
      </c>
      <c r="J494" s="7" t="s">
        <v>148</v>
      </c>
      <c r="K494" s="7"/>
      <c r="L494" s="7"/>
      <c r="M494" s="7"/>
    </row>
    <row r="495" ht="15.75" customHeight="1">
      <c r="A495" s="7" t="s">
        <v>2720</v>
      </c>
      <c r="B495" s="45" t="s">
        <v>2721</v>
      </c>
      <c r="C495" s="7" t="s">
        <v>2612</v>
      </c>
      <c r="D495" s="7" t="s">
        <v>2722</v>
      </c>
      <c r="E495" s="7" t="s">
        <v>2723</v>
      </c>
      <c r="F495" s="7" t="s">
        <v>1371</v>
      </c>
      <c r="G495" s="7"/>
      <c r="H495" s="46" t="s">
        <v>249</v>
      </c>
      <c r="I495" s="7" t="s">
        <v>160</v>
      </c>
      <c r="J495" s="7" t="s">
        <v>148</v>
      </c>
      <c r="K495" s="7"/>
      <c r="L495" s="7"/>
      <c r="M495" s="7"/>
    </row>
    <row r="496" ht="15.75" customHeight="1">
      <c r="A496" s="7" t="s">
        <v>2724</v>
      </c>
      <c r="B496" s="45" t="s">
        <v>2725</v>
      </c>
      <c r="C496" s="7" t="s">
        <v>2612</v>
      </c>
      <c r="D496" s="7" t="s">
        <v>2726</v>
      </c>
      <c r="E496" s="7" t="s">
        <v>2727</v>
      </c>
      <c r="F496" s="7" t="s">
        <v>1371</v>
      </c>
      <c r="G496" s="7"/>
      <c r="H496" s="46" t="s">
        <v>249</v>
      </c>
      <c r="I496" s="7" t="s">
        <v>160</v>
      </c>
      <c r="J496" s="7" t="s">
        <v>148</v>
      </c>
      <c r="K496" s="7"/>
      <c r="L496" s="7"/>
      <c r="M496" s="7"/>
    </row>
    <row r="497" ht="15.75" customHeight="1">
      <c r="A497" s="7" t="s">
        <v>2728</v>
      </c>
      <c r="B497" s="45" t="s">
        <v>2729</v>
      </c>
      <c r="C497" s="7" t="s">
        <v>2612</v>
      </c>
      <c r="D497" s="7" t="s">
        <v>2730</v>
      </c>
      <c r="E497" s="7" t="s">
        <v>2731</v>
      </c>
      <c r="F497" s="7" t="s">
        <v>1371</v>
      </c>
      <c r="G497" s="7"/>
      <c r="H497" s="46" t="s">
        <v>249</v>
      </c>
      <c r="I497" s="7" t="s">
        <v>160</v>
      </c>
      <c r="J497" s="7" t="s">
        <v>148</v>
      </c>
      <c r="K497" s="7"/>
      <c r="L497" s="7"/>
      <c r="M497" s="7"/>
    </row>
    <row r="498" ht="15.75" customHeight="1">
      <c r="A498" s="7" t="s">
        <v>2732</v>
      </c>
      <c r="B498" s="45" t="s">
        <v>2733</v>
      </c>
      <c r="C498" s="7" t="s">
        <v>2734</v>
      </c>
      <c r="D498" s="7" t="s">
        <v>2735</v>
      </c>
      <c r="E498" s="7" t="s">
        <v>2736</v>
      </c>
      <c r="F498" s="7" t="s">
        <v>2737</v>
      </c>
      <c r="G498" s="7"/>
      <c r="H498" s="46" t="s">
        <v>249</v>
      </c>
      <c r="I498" s="7" t="s">
        <v>160</v>
      </c>
      <c r="J498" s="7" t="s">
        <v>148</v>
      </c>
      <c r="K498" s="7"/>
      <c r="L498" s="7"/>
      <c r="M498" s="7"/>
    </row>
    <row r="499" ht="15.75" customHeight="1">
      <c r="A499" s="7" t="s">
        <v>2738</v>
      </c>
      <c r="B499" s="45" t="s">
        <v>2739</v>
      </c>
      <c r="C499" s="7" t="s">
        <v>1804</v>
      </c>
      <c r="D499" s="7" t="s">
        <v>2740</v>
      </c>
      <c r="E499" s="7" t="s">
        <v>2741</v>
      </c>
      <c r="F499" s="7" t="s">
        <v>1807</v>
      </c>
      <c r="G499" s="7"/>
      <c r="H499" s="46" t="s">
        <v>249</v>
      </c>
      <c r="I499" s="7" t="s">
        <v>160</v>
      </c>
      <c r="J499" s="7" t="s">
        <v>148</v>
      </c>
      <c r="K499" s="7"/>
      <c r="L499" s="7"/>
      <c r="M499" s="7"/>
    </row>
    <row r="500" ht="15.75" customHeight="1">
      <c r="A500" s="7" t="s">
        <v>2742</v>
      </c>
      <c r="B500" s="45" t="s">
        <v>2743</v>
      </c>
      <c r="C500" s="7" t="s">
        <v>2006</v>
      </c>
      <c r="D500" s="7" t="s">
        <v>2744</v>
      </c>
      <c r="E500" s="7" t="s">
        <v>2008</v>
      </c>
      <c r="F500" s="7" t="s">
        <v>2009</v>
      </c>
      <c r="G500" s="7"/>
      <c r="H500" s="46" t="s">
        <v>249</v>
      </c>
      <c r="I500" s="7" t="s">
        <v>160</v>
      </c>
      <c r="J500" s="7" t="s">
        <v>148</v>
      </c>
      <c r="K500" s="7"/>
      <c r="L500" s="7"/>
      <c r="M500" s="7"/>
    </row>
    <row r="501" ht="15.75" customHeight="1">
      <c r="A501" s="7" t="s">
        <v>2745</v>
      </c>
      <c r="B501" s="45" t="s">
        <v>2746</v>
      </c>
      <c r="C501" s="7" t="s">
        <v>2475</v>
      </c>
      <c r="D501" s="7" t="s">
        <v>2747</v>
      </c>
      <c r="E501" s="7" t="s">
        <v>2748</v>
      </c>
      <c r="F501" s="7" t="s">
        <v>1521</v>
      </c>
      <c r="G501" s="7"/>
      <c r="H501" s="46" t="s">
        <v>249</v>
      </c>
      <c r="I501" s="7" t="s">
        <v>160</v>
      </c>
      <c r="J501" s="7" t="s">
        <v>148</v>
      </c>
      <c r="K501" s="7"/>
      <c r="L501" s="7"/>
      <c r="M501" s="7"/>
    </row>
    <row r="502" ht="15.75" customHeight="1">
      <c r="A502" s="7" t="s">
        <v>2749</v>
      </c>
      <c r="B502" s="45" t="s">
        <v>2750</v>
      </c>
      <c r="C502" s="7" t="s">
        <v>2751</v>
      </c>
      <c r="D502" s="7" t="s">
        <v>2752</v>
      </c>
      <c r="E502" s="7"/>
      <c r="F502" s="7" t="s">
        <v>2753</v>
      </c>
      <c r="G502" s="7"/>
      <c r="H502" s="46" t="s">
        <v>249</v>
      </c>
      <c r="I502" s="7" t="s">
        <v>160</v>
      </c>
      <c r="J502" s="7" t="s">
        <v>148</v>
      </c>
      <c r="K502" s="7"/>
      <c r="L502" s="7"/>
      <c r="M502" s="7"/>
    </row>
    <row r="503" ht="15.75" customHeight="1">
      <c r="A503" s="7" t="s">
        <v>2754</v>
      </c>
      <c r="B503" s="45" t="s">
        <v>2755</v>
      </c>
      <c r="C503" s="7" t="s">
        <v>2756</v>
      </c>
      <c r="D503" s="7" t="s">
        <v>2757</v>
      </c>
      <c r="E503" s="7" t="s">
        <v>2758</v>
      </c>
      <c r="F503" s="7" t="s">
        <v>2753</v>
      </c>
      <c r="G503" s="7"/>
      <c r="H503" s="46" t="s">
        <v>249</v>
      </c>
      <c r="I503" s="7" t="s">
        <v>160</v>
      </c>
      <c r="J503" s="7" t="s">
        <v>148</v>
      </c>
      <c r="K503" s="7"/>
      <c r="L503" s="7"/>
      <c r="M503" s="7"/>
    </row>
    <row r="504" ht="15.75" customHeight="1">
      <c r="A504" s="7" t="s">
        <v>2759</v>
      </c>
      <c r="B504" s="45" t="s">
        <v>2760</v>
      </c>
      <c r="C504" s="7" t="s">
        <v>2761</v>
      </c>
      <c r="D504" s="7" t="s">
        <v>2752</v>
      </c>
      <c r="E504" s="7" t="s">
        <v>2762</v>
      </c>
      <c r="F504" s="7" t="s">
        <v>2763</v>
      </c>
      <c r="G504" s="7"/>
      <c r="H504" s="46" t="s">
        <v>249</v>
      </c>
      <c r="I504" s="7" t="s">
        <v>160</v>
      </c>
      <c r="J504" s="7" t="s">
        <v>148</v>
      </c>
      <c r="K504" s="7"/>
      <c r="L504" s="7"/>
      <c r="M504" s="7"/>
    </row>
    <row r="505" ht="15.75" customHeight="1">
      <c r="A505" s="7" t="s">
        <v>2764</v>
      </c>
      <c r="B505" s="45" t="s">
        <v>2765</v>
      </c>
      <c r="C505" s="7" t="s">
        <v>2006</v>
      </c>
      <c r="D505" s="7" t="s">
        <v>2766</v>
      </c>
      <c r="E505" s="7" t="s">
        <v>2008</v>
      </c>
      <c r="F505" s="7" t="s">
        <v>2009</v>
      </c>
      <c r="G505" s="7"/>
      <c r="H505" s="46" t="s">
        <v>249</v>
      </c>
      <c r="I505" s="7" t="s">
        <v>160</v>
      </c>
      <c r="J505" s="7" t="s">
        <v>148</v>
      </c>
      <c r="K505" s="7"/>
      <c r="L505" s="7"/>
      <c r="M505" s="7"/>
    </row>
    <row r="506" ht="15.75" customHeight="1">
      <c r="A506" s="7" t="s">
        <v>2767</v>
      </c>
      <c r="B506" s="45" t="s">
        <v>2768</v>
      </c>
      <c r="C506" s="7" t="s">
        <v>2769</v>
      </c>
      <c r="D506" s="7" t="s">
        <v>2770</v>
      </c>
      <c r="E506" s="7" t="s">
        <v>2771</v>
      </c>
      <c r="F506" s="7" t="s">
        <v>2772</v>
      </c>
      <c r="G506" s="7"/>
      <c r="H506" s="46" t="s">
        <v>249</v>
      </c>
      <c r="I506" s="7" t="s">
        <v>160</v>
      </c>
      <c r="J506" s="7" t="s">
        <v>148</v>
      </c>
      <c r="K506" s="7"/>
      <c r="L506" s="7"/>
      <c r="M506" s="7"/>
    </row>
    <row r="507" ht="15.75" customHeight="1">
      <c r="A507" s="7" t="s">
        <v>2773</v>
      </c>
      <c r="B507" s="45" t="s">
        <v>2774</v>
      </c>
      <c r="C507" s="7" t="s">
        <v>2775</v>
      </c>
      <c r="D507" s="7" t="s">
        <v>2776</v>
      </c>
      <c r="E507" s="7" t="s">
        <v>2777</v>
      </c>
      <c r="F507" s="7" t="s">
        <v>2778</v>
      </c>
      <c r="G507" s="7"/>
      <c r="H507" s="46" t="s">
        <v>249</v>
      </c>
      <c r="I507" s="7" t="s">
        <v>160</v>
      </c>
      <c r="J507" s="7" t="s">
        <v>148</v>
      </c>
      <c r="K507" s="7"/>
      <c r="L507" s="7"/>
      <c r="M507" s="7"/>
    </row>
    <row r="508" ht="15.75" customHeight="1">
      <c r="A508" s="7" t="s">
        <v>2779</v>
      </c>
      <c r="B508" s="45" t="s">
        <v>2780</v>
      </c>
      <c r="C508" s="7" t="s">
        <v>2585</v>
      </c>
      <c r="D508" s="7" t="s">
        <v>2781</v>
      </c>
      <c r="E508" s="7" t="s">
        <v>2782</v>
      </c>
      <c r="F508" s="7" t="s">
        <v>2433</v>
      </c>
      <c r="G508" s="7"/>
      <c r="H508" s="46" t="s">
        <v>249</v>
      </c>
      <c r="I508" s="7" t="s">
        <v>160</v>
      </c>
      <c r="J508" s="7" t="s">
        <v>148</v>
      </c>
      <c r="K508" s="7"/>
      <c r="L508" s="7"/>
      <c r="M508" s="7"/>
    </row>
    <row r="509" ht="15.75" customHeight="1">
      <c r="A509" s="7" t="s">
        <v>2783</v>
      </c>
      <c r="B509" s="45" t="s">
        <v>2784</v>
      </c>
      <c r="C509" s="7" t="s">
        <v>2585</v>
      </c>
      <c r="D509" s="7" t="s">
        <v>2785</v>
      </c>
      <c r="E509" s="7" t="s">
        <v>2786</v>
      </c>
      <c r="F509" s="7" t="s">
        <v>2433</v>
      </c>
      <c r="G509" s="7"/>
      <c r="H509" s="46" t="s">
        <v>249</v>
      </c>
      <c r="I509" s="7" t="s">
        <v>160</v>
      </c>
      <c r="J509" s="7" t="s">
        <v>148</v>
      </c>
      <c r="K509" s="7"/>
      <c r="L509" s="7"/>
      <c r="M509" s="7"/>
    </row>
    <row r="510" ht="15.75" customHeight="1">
      <c r="A510" s="7" t="s">
        <v>2787</v>
      </c>
      <c r="B510" s="45" t="s">
        <v>2788</v>
      </c>
      <c r="C510" s="7" t="s">
        <v>2789</v>
      </c>
      <c r="D510" s="7" t="s">
        <v>2790</v>
      </c>
      <c r="E510" s="7" t="s">
        <v>2791</v>
      </c>
      <c r="F510" s="7" t="s">
        <v>2792</v>
      </c>
      <c r="G510" s="7"/>
      <c r="H510" s="46" t="s">
        <v>249</v>
      </c>
      <c r="I510" s="7" t="s">
        <v>160</v>
      </c>
      <c r="J510" s="7" t="s">
        <v>148</v>
      </c>
      <c r="K510" s="7"/>
      <c r="L510" s="7"/>
      <c r="M510" s="7"/>
    </row>
    <row r="511" ht="15.75" customHeight="1">
      <c r="A511" s="7" t="s">
        <v>2793</v>
      </c>
      <c r="B511" s="45" t="s">
        <v>2794</v>
      </c>
      <c r="C511" s="7" t="s">
        <v>2795</v>
      </c>
      <c r="D511" s="7" t="s">
        <v>2796</v>
      </c>
      <c r="E511" s="7" t="s">
        <v>2797</v>
      </c>
      <c r="F511" s="7" t="s">
        <v>2792</v>
      </c>
      <c r="G511" s="7"/>
      <c r="H511" s="46" t="s">
        <v>249</v>
      </c>
      <c r="I511" s="7" t="s">
        <v>160</v>
      </c>
      <c r="J511" s="7" t="s">
        <v>148</v>
      </c>
      <c r="K511" s="7"/>
      <c r="L511" s="7"/>
      <c r="M511" s="7"/>
    </row>
    <row r="512" ht="15.75" customHeight="1">
      <c r="A512" s="7" t="s">
        <v>2798</v>
      </c>
      <c r="B512" s="45" t="s">
        <v>2799</v>
      </c>
      <c r="C512" s="7" t="s">
        <v>2800</v>
      </c>
      <c r="D512" s="7" t="s">
        <v>2801</v>
      </c>
      <c r="E512" s="7" t="s">
        <v>2802</v>
      </c>
      <c r="F512" s="7" t="s">
        <v>2803</v>
      </c>
      <c r="G512" s="7"/>
      <c r="H512" s="46" t="s">
        <v>249</v>
      </c>
      <c r="I512" s="7" t="s">
        <v>160</v>
      </c>
      <c r="J512" s="7" t="s">
        <v>148</v>
      </c>
      <c r="K512" s="7"/>
      <c r="L512" s="7"/>
      <c r="M512" s="7"/>
    </row>
    <row r="513" ht="15.75" customHeight="1">
      <c r="A513" s="7" t="s">
        <v>2804</v>
      </c>
      <c r="B513" s="45" t="s">
        <v>2805</v>
      </c>
      <c r="C513" s="7" t="s">
        <v>2806</v>
      </c>
      <c r="D513" s="7" t="s">
        <v>2801</v>
      </c>
      <c r="E513" s="7" t="s">
        <v>2807</v>
      </c>
      <c r="F513" s="7" t="s">
        <v>2803</v>
      </c>
      <c r="G513" s="7"/>
      <c r="H513" s="46" t="s">
        <v>249</v>
      </c>
      <c r="I513" s="7" t="s">
        <v>160</v>
      </c>
      <c r="J513" s="7" t="s">
        <v>148</v>
      </c>
      <c r="K513" s="7"/>
      <c r="L513" s="7"/>
      <c r="M513" s="7"/>
    </row>
    <row r="514" ht="15.75" customHeight="1">
      <c r="A514" s="7" t="s">
        <v>2808</v>
      </c>
      <c r="B514" s="45" t="s">
        <v>2809</v>
      </c>
      <c r="C514" s="7" t="s">
        <v>2810</v>
      </c>
      <c r="D514" s="7" t="s">
        <v>2811</v>
      </c>
      <c r="E514" s="7" t="s">
        <v>2812</v>
      </c>
      <c r="F514" s="7" t="s">
        <v>2813</v>
      </c>
      <c r="G514" s="7"/>
      <c r="H514" s="46" t="s">
        <v>249</v>
      </c>
      <c r="I514" s="7" t="s">
        <v>160</v>
      </c>
      <c r="J514" s="7" t="s">
        <v>148</v>
      </c>
      <c r="K514" s="7"/>
      <c r="L514" s="7"/>
      <c r="M514" s="7"/>
    </row>
    <row r="515" ht="15.75" customHeight="1">
      <c r="A515" s="7" t="s">
        <v>2814</v>
      </c>
      <c r="B515" s="45" t="s">
        <v>2815</v>
      </c>
      <c r="C515" s="7" t="s">
        <v>2810</v>
      </c>
      <c r="D515" s="7" t="s">
        <v>2811</v>
      </c>
      <c r="E515" s="7" t="s">
        <v>2812</v>
      </c>
      <c r="F515" s="7" t="s">
        <v>2813</v>
      </c>
      <c r="G515" s="7"/>
      <c r="H515" s="46" t="s">
        <v>249</v>
      </c>
      <c r="I515" s="7" t="s">
        <v>160</v>
      </c>
      <c r="J515" s="7" t="s">
        <v>148</v>
      </c>
      <c r="K515" s="7"/>
      <c r="L515" s="7"/>
      <c r="M515" s="7"/>
    </row>
    <row r="516" ht="15.75" customHeight="1">
      <c r="A516" s="7" t="s">
        <v>2816</v>
      </c>
      <c r="B516" s="45" t="s">
        <v>2817</v>
      </c>
      <c r="C516" s="7" t="s">
        <v>2818</v>
      </c>
      <c r="D516" s="7" t="s">
        <v>2819</v>
      </c>
      <c r="E516" s="7" t="s">
        <v>2820</v>
      </c>
      <c r="F516" s="7" t="s">
        <v>2821</v>
      </c>
      <c r="G516" s="7"/>
      <c r="H516" s="46" t="s">
        <v>249</v>
      </c>
      <c r="I516" s="7" t="s">
        <v>160</v>
      </c>
      <c r="J516" s="7" t="s">
        <v>148</v>
      </c>
      <c r="K516" s="7"/>
      <c r="L516" s="7"/>
      <c r="M516" s="7"/>
    </row>
    <row r="517" ht="15.75" customHeight="1">
      <c r="A517" s="7" t="s">
        <v>2822</v>
      </c>
      <c r="B517" s="45" t="s">
        <v>2823</v>
      </c>
      <c r="C517" s="7" t="s">
        <v>2824</v>
      </c>
      <c r="D517" s="7" t="s">
        <v>2825</v>
      </c>
      <c r="E517" s="7" t="s">
        <v>2826</v>
      </c>
      <c r="F517" s="7" t="s">
        <v>2827</v>
      </c>
      <c r="G517" s="7" t="s">
        <v>2828</v>
      </c>
      <c r="H517" s="46" t="s">
        <v>249</v>
      </c>
      <c r="I517" s="7" t="s">
        <v>160</v>
      </c>
      <c r="J517" s="7" t="s">
        <v>148</v>
      </c>
      <c r="K517" s="7"/>
      <c r="L517" s="7"/>
      <c r="M517" s="7"/>
    </row>
    <row r="518" ht="15.75" customHeight="1">
      <c r="A518" s="7" t="s">
        <v>2829</v>
      </c>
      <c r="B518" s="45" t="s">
        <v>2830</v>
      </c>
      <c r="C518" s="7" t="s">
        <v>2831</v>
      </c>
      <c r="D518" s="7" t="s">
        <v>2832</v>
      </c>
      <c r="E518" s="7" t="s">
        <v>2833</v>
      </c>
      <c r="F518" s="7" t="s">
        <v>2834</v>
      </c>
      <c r="G518" s="7"/>
      <c r="H518" s="46" t="s">
        <v>249</v>
      </c>
      <c r="I518" s="7" t="s">
        <v>160</v>
      </c>
      <c r="J518" s="7" t="s">
        <v>148</v>
      </c>
      <c r="K518" s="7"/>
      <c r="L518" s="7"/>
      <c r="M518" s="7"/>
    </row>
    <row r="519" ht="15.75" customHeight="1">
      <c r="A519" s="7" t="s">
        <v>2835</v>
      </c>
      <c r="B519" s="45" t="s">
        <v>2836</v>
      </c>
      <c r="C519" s="7" t="s">
        <v>2837</v>
      </c>
      <c r="D519" s="7" t="s">
        <v>2838</v>
      </c>
      <c r="E519" s="7" t="s">
        <v>2839</v>
      </c>
      <c r="F519" s="7" t="s">
        <v>2840</v>
      </c>
      <c r="G519" s="7"/>
      <c r="H519" s="46" t="s">
        <v>249</v>
      </c>
      <c r="I519" s="7" t="s">
        <v>160</v>
      </c>
      <c r="J519" s="7" t="s">
        <v>148</v>
      </c>
      <c r="K519" s="7"/>
      <c r="L519" s="7"/>
      <c r="M519" s="7"/>
    </row>
    <row r="520" ht="15.75" customHeight="1">
      <c r="A520" s="7" t="s">
        <v>2841</v>
      </c>
      <c r="B520" s="45" t="s">
        <v>2842</v>
      </c>
      <c r="C520" s="7" t="s">
        <v>2843</v>
      </c>
      <c r="D520" s="7" t="s">
        <v>2838</v>
      </c>
      <c r="E520" s="7" t="s">
        <v>2839</v>
      </c>
      <c r="F520" s="7" t="s">
        <v>2840</v>
      </c>
      <c r="G520" s="7"/>
      <c r="H520" s="46" t="s">
        <v>249</v>
      </c>
      <c r="I520" s="7" t="s">
        <v>160</v>
      </c>
      <c r="J520" s="7" t="s">
        <v>148</v>
      </c>
      <c r="K520" s="7"/>
      <c r="L520" s="7"/>
      <c r="M520" s="7"/>
    </row>
    <row r="521" ht="15.75" customHeight="1">
      <c r="A521" s="7" t="s">
        <v>2844</v>
      </c>
      <c r="B521" s="45" t="s">
        <v>2845</v>
      </c>
      <c r="C521" s="7" t="s">
        <v>2846</v>
      </c>
      <c r="D521" s="7" t="s">
        <v>2847</v>
      </c>
      <c r="E521" s="7" t="s">
        <v>2848</v>
      </c>
      <c r="F521" s="7" t="s">
        <v>2849</v>
      </c>
      <c r="G521" s="7"/>
      <c r="H521" s="46" t="s">
        <v>249</v>
      </c>
      <c r="I521" s="7" t="s">
        <v>160</v>
      </c>
      <c r="J521" s="7" t="s">
        <v>148</v>
      </c>
      <c r="K521" s="7"/>
      <c r="L521" s="7"/>
      <c r="M521" s="7"/>
    </row>
    <row r="522" ht="15.75" customHeight="1">
      <c r="A522" s="7" t="s">
        <v>2850</v>
      </c>
      <c r="B522" s="45" t="s">
        <v>2851</v>
      </c>
      <c r="C522" s="7" t="s">
        <v>2846</v>
      </c>
      <c r="D522" s="7" t="s">
        <v>2852</v>
      </c>
      <c r="E522" s="7" t="s">
        <v>2853</v>
      </c>
      <c r="F522" s="7" t="s">
        <v>2849</v>
      </c>
      <c r="G522" s="7"/>
      <c r="H522" s="46" t="s">
        <v>249</v>
      </c>
      <c r="I522" s="7" t="s">
        <v>160</v>
      </c>
      <c r="J522" s="7" t="s">
        <v>148</v>
      </c>
      <c r="K522" s="7"/>
      <c r="L522" s="7"/>
      <c r="M522" s="7"/>
    </row>
    <row r="523" ht="15.75" customHeight="1">
      <c r="A523" s="7" t="s">
        <v>2854</v>
      </c>
      <c r="B523" s="45" t="s">
        <v>2855</v>
      </c>
      <c r="C523" s="7" t="s">
        <v>2856</v>
      </c>
      <c r="D523" s="7" t="s">
        <v>2857</v>
      </c>
      <c r="E523" s="7" t="s">
        <v>2382</v>
      </c>
      <c r="F523" s="7" t="s">
        <v>2834</v>
      </c>
      <c r="G523" s="7"/>
      <c r="H523" s="46" t="s">
        <v>249</v>
      </c>
      <c r="I523" s="7" t="s">
        <v>160</v>
      </c>
      <c r="J523" s="7" t="s">
        <v>148</v>
      </c>
      <c r="K523" s="7"/>
      <c r="L523" s="7"/>
      <c r="M523" s="7"/>
    </row>
    <row r="524" ht="15.75" customHeight="1">
      <c r="A524" s="7" t="s">
        <v>2858</v>
      </c>
      <c r="B524" s="45" t="s">
        <v>2859</v>
      </c>
      <c r="C524" s="7" t="s">
        <v>2860</v>
      </c>
      <c r="D524" s="7" t="s">
        <v>2861</v>
      </c>
      <c r="E524" s="7" t="s">
        <v>2862</v>
      </c>
      <c r="F524" s="7" t="s">
        <v>2863</v>
      </c>
      <c r="G524" s="7"/>
      <c r="H524" s="46" t="s">
        <v>249</v>
      </c>
      <c r="I524" s="7" t="s">
        <v>160</v>
      </c>
      <c r="J524" s="7" t="s">
        <v>148</v>
      </c>
      <c r="K524" s="7"/>
      <c r="L524" s="7"/>
      <c r="M524" s="7"/>
    </row>
    <row r="525" ht="15.75" customHeight="1">
      <c r="A525" s="7" t="s">
        <v>2864</v>
      </c>
      <c r="B525" s="45" t="s">
        <v>2865</v>
      </c>
      <c r="C525" s="7" t="s">
        <v>2866</v>
      </c>
      <c r="D525" s="7" t="s">
        <v>2867</v>
      </c>
      <c r="E525" s="7" t="s">
        <v>2868</v>
      </c>
      <c r="F525" s="7" t="s">
        <v>2869</v>
      </c>
      <c r="G525" s="7"/>
      <c r="H525" s="46" t="s">
        <v>249</v>
      </c>
      <c r="I525" s="7" t="s">
        <v>160</v>
      </c>
      <c r="J525" s="7" t="s">
        <v>148</v>
      </c>
      <c r="K525" s="7"/>
      <c r="L525" s="7"/>
      <c r="M525" s="7"/>
    </row>
    <row r="526" ht="15.75" customHeight="1">
      <c r="A526" s="7" t="s">
        <v>2870</v>
      </c>
      <c r="B526" s="45" t="s">
        <v>2871</v>
      </c>
      <c r="C526" s="7" t="s">
        <v>2872</v>
      </c>
      <c r="D526" s="7" t="s">
        <v>2873</v>
      </c>
      <c r="E526" s="7" t="s">
        <v>2874</v>
      </c>
      <c r="F526" s="7" t="s">
        <v>2869</v>
      </c>
      <c r="G526" s="7"/>
      <c r="H526" s="46" t="s">
        <v>249</v>
      </c>
      <c r="I526" s="7" t="s">
        <v>160</v>
      </c>
      <c r="J526" s="7" t="s">
        <v>148</v>
      </c>
      <c r="K526" s="7"/>
      <c r="L526" s="7"/>
      <c r="M526" s="7"/>
    </row>
    <row r="527" ht="15.75" customHeight="1">
      <c r="A527" s="7" t="s">
        <v>2875</v>
      </c>
      <c r="B527" s="45" t="s">
        <v>2876</v>
      </c>
      <c r="C527" s="7" t="s">
        <v>2877</v>
      </c>
      <c r="D527" s="7" t="s">
        <v>2878</v>
      </c>
      <c r="E527" s="7" t="s">
        <v>2879</v>
      </c>
      <c r="F527" s="7" t="s">
        <v>2869</v>
      </c>
      <c r="G527" s="7"/>
      <c r="H527" s="46" t="s">
        <v>249</v>
      </c>
      <c r="I527" s="7" t="s">
        <v>160</v>
      </c>
      <c r="J527" s="7" t="s">
        <v>148</v>
      </c>
      <c r="K527" s="7"/>
      <c r="L527" s="7"/>
      <c r="M527" s="7"/>
    </row>
    <row r="528" ht="15.75" customHeight="1">
      <c r="A528" s="7" t="s">
        <v>2880</v>
      </c>
      <c r="B528" s="45" t="s">
        <v>2881</v>
      </c>
      <c r="C528" s="7" t="s">
        <v>2882</v>
      </c>
      <c r="D528" s="7" t="s">
        <v>2883</v>
      </c>
      <c r="E528" s="7" t="s">
        <v>2884</v>
      </c>
      <c r="F528" s="7" t="s">
        <v>2869</v>
      </c>
      <c r="G528" s="7"/>
      <c r="H528" s="46" t="s">
        <v>249</v>
      </c>
      <c r="I528" s="7" t="s">
        <v>160</v>
      </c>
      <c r="J528" s="7" t="s">
        <v>148</v>
      </c>
      <c r="K528" s="7"/>
      <c r="L528" s="7"/>
      <c r="M528" s="7"/>
    </row>
    <row r="529" ht="15.75" customHeight="1">
      <c r="A529" s="7" t="s">
        <v>2885</v>
      </c>
      <c r="B529" s="45" t="s">
        <v>2886</v>
      </c>
      <c r="C529" s="7" t="s">
        <v>2887</v>
      </c>
      <c r="D529" s="7" t="s">
        <v>2888</v>
      </c>
      <c r="E529" s="7" t="s">
        <v>2889</v>
      </c>
      <c r="F529" s="7" t="s">
        <v>2869</v>
      </c>
      <c r="G529" s="7"/>
      <c r="H529" s="46" t="s">
        <v>249</v>
      </c>
      <c r="I529" s="7" t="s">
        <v>160</v>
      </c>
      <c r="J529" s="7" t="s">
        <v>148</v>
      </c>
      <c r="K529" s="7"/>
      <c r="L529" s="7"/>
      <c r="M529" s="7"/>
    </row>
    <row r="530" ht="15.75" customHeight="1">
      <c r="A530" s="7" t="s">
        <v>2890</v>
      </c>
      <c r="B530" s="45" t="s">
        <v>2891</v>
      </c>
      <c r="C530" s="7" t="s">
        <v>863</v>
      </c>
      <c r="D530" s="7" t="s">
        <v>2892</v>
      </c>
      <c r="E530" s="7" t="s">
        <v>2884</v>
      </c>
      <c r="F530" s="7" t="s">
        <v>2869</v>
      </c>
      <c r="G530" s="7"/>
      <c r="H530" s="46" t="s">
        <v>249</v>
      </c>
      <c r="I530" s="7" t="s">
        <v>160</v>
      </c>
      <c r="J530" s="7" t="s">
        <v>148</v>
      </c>
      <c r="K530" s="7"/>
      <c r="L530" s="7"/>
      <c r="M530" s="7"/>
    </row>
    <row r="531" ht="15.75" customHeight="1">
      <c r="A531" s="7" t="s">
        <v>2893</v>
      </c>
      <c r="B531" s="45" t="s">
        <v>2894</v>
      </c>
      <c r="C531" s="7" t="s">
        <v>2895</v>
      </c>
      <c r="D531" s="7" t="s">
        <v>2896</v>
      </c>
      <c r="E531" s="7" t="s">
        <v>2897</v>
      </c>
      <c r="F531" s="7" t="s">
        <v>2869</v>
      </c>
      <c r="G531" s="7"/>
      <c r="H531" s="46" t="s">
        <v>249</v>
      </c>
      <c r="I531" s="7" t="s">
        <v>160</v>
      </c>
      <c r="J531" s="7" t="s">
        <v>148</v>
      </c>
      <c r="K531" s="7"/>
      <c r="L531" s="7"/>
      <c r="M531" s="7"/>
    </row>
    <row r="532" ht="15.75" customHeight="1">
      <c r="A532" s="7" t="s">
        <v>2898</v>
      </c>
      <c r="B532" s="45" t="s">
        <v>2899</v>
      </c>
      <c r="C532" s="7" t="s">
        <v>1566</v>
      </c>
      <c r="D532" s="7" t="s">
        <v>2900</v>
      </c>
      <c r="E532" s="7" t="s">
        <v>1568</v>
      </c>
      <c r="F532" s="7" t="s">
        <v>1569</v>
      </c>
      <c r="G532" s="7"/>
      <c r="H532" s="46" t="s">
        <v>249</v>
      </c>
      <c r="I532" s="7" t="s">
        <v>160</v>
      </c>
      <c r="J532" s="7" t="s">
        <v>148</v>
      </c>
      <c r="K532" s="7"/>
      <c r="L532" s="7"/>
      <c r="M532" s="7"/>
    </row>
    <row r="533" ht="15.75" customHeight="1">
      <c r="A533" s="7" t="s">
        <v>2901</v>
      </c>
      <c r="B533" s="45" t="s">
        <v>2902</v>
      </c>
      <c r="C533" s="7" t="s">
        <v>2903</v>
      </c>
      <c r="D533" s="7" t="s">
        <v>2904</v>
      </c>
      <c r="E533" s="7" t="s">
        <v>2905</v>
      </c>
      <c r="F533" s="7" t="s">
        <v>2906</v>
      </c>
      <c r="G533" s="7"/>
      <c r="H533" s="46" t="s">
        <v>249</v>
      </c>
      <c r="I533" s="7" t="s">
        <v>160</v>
      </c>
      <c r="J533" s="7" t="s">
        <v>148</v>
      </c>
      <c r="K533" s="7"/>
      <c r="L533" s="7"/>
      <c r="M533" s="7"/>
    </row>
    <row r="534" ht="15.75" customHeight="1">
      <c r="A534" s="7" t="s">
        <v>2907</v>
      </c>
      <c r="B534" s="45" t="s">
        <v>2908</v>
      </c>
      <c r="C534" s="7" t="s">
        <v>2909</v>
      </c>
      <c r="D534" s="7" t="s">
        <v>2910</v>
      </c>
      <c r="E534" s="7" t="s">
        <v>2911</v>
      </c>
      <c r="F534" s="7" t="s">
        <v>2912</v>
      </c>
      <c r="G534" s="7"/>
      <c r="H534" s="46" t="s">
        <v>249</v>
      </c>
      <c r="I534" s="7" t="s">
        <v>160</v>
      </c>
      <c r="J534" s="7" t="s">
        <v>148</v>
      </c>
      <c r="K534" s="7"/>
      <c r="L534" s="7"/>
      <c r="M534" s="7"/>
    </row>
    <row r="535" ht="15.75" customHeight="1">
      <c r="A535" s="7" t="s">
        <v>2913</v>
      </c>
      <c r="B535" s="45" t="s">
        <v>2914</v>
      </c>
      <c r="C535" s="7" t="s">
        <v>2915</v>
      </c>
      <c r="D535" s="7" t="s">
        <v>2916</v>
      </c>
      <c r="E535" s="7" t="s">
        <v>2917</v>
      </c>
      <c r="F535" s="7" t="s">
        <v>2918</v>
      </c>
      <c r="G535" s="7"/>
      <c r="H535" s="46" t="s">
        <v>249</v>
      </c>
      <c r="I535" s="7" t="s">
        <v>160</v>
      </c>
      <c r="J535" s="7" t="s">
        <v>148</v>
      </c>
      <c r="K535" s="7"/>
      <c r="L535" s="7"/>
      <c r="M535" s="7"/>
    </row>
    <row r="536" ht="15.75" customHeight="1">
      <c r="A536" s="7" t="s">
        <v>2919</v>
      </c>
      <c r="B536" s="45" t="s">
        <v>2920</v>
      </c>
      <c r="C536" s="7" t="s">
        <v>2921</v>
      </c>
      <c r="D536" s="7" t="s">
        <v>2922</v>
      </c>
      <c r="E536" s="7" t="s">
        <v>2923</v>
      </c>
      <c r="F536" s="7" t="s">
        <v>2924</v>
      </c>
      <c r="G536" s="7"/>
      <c r="H536" s="46" t="s">
        <v>249</v>
      </c>
      <c r="I536" s="7" t="s">
        <v>160</v>
      </c>
      <c r="J536" s="7" t="s">
        <v>148</v>
      </c>
      <c r="K536" s="7"/>
      <c r="L536" s="7"/>
      <c r="M536" s="7"/>
    </row>
    <row r="537" ht="15.75" customHeight="1">
      <c r="A537" s="7" t="s">
        <v>2925</v>
      </c>
      <c r="B537" s="45" t="s">
        <v>2926</v>
      </c>
      <c r="C537" s="7" t="s">
        <v>1922</v>
      </c>
      <c r="D537" s="7" t="s">
        <v>2927</v>
      </c>
      <c r="E537" s="7" t="s">
        <v>1924</v>
      </c>
      <c r="F537" s="7" t="s">
        <v>1925</v>
      </c>
      <c r="G537" s="7"/>
      <c r="H537" s="46" t="s">
        <v>249</v>
      </c>
      <c r="I537" s="7" t="s">
        <v>160</v>
      </c>
      <c r="J537" s="7" t="s">
        <v>148</v>
      </c>
      <c r="K537" s="7"/>
      <c r="L537" s="7"/>
      <c r="M537" s="7"/>
    </row>
    <row r="538" ht="15.75" customHeight="1">
      <c r="A538" s="7" t="s">
        <v>2928</v>
      </c>
      <c r="B538" s="45" t="s">
        <v>2929</v>
      </c>
      <c r="C538" s="7" t="s">
        <v>2930</v>
      </c>
      <c r="D538" s="7" t="s">
        <v>2931</v>
      </c>
      <c r="E538" s="7" t="s">
        <v>2932</v>
      </c>
      <c r="F538" s="7" t="s">
        <v>2933</v>
      </c>
      <c r="G538" s="7"/>
      <c r="H538" s="46" t="s">
        <v>249</v>
      </c>
      <c r="I538" s="7" t="s">
        <v>160</v>
      </c>
      <c r="J538" s="7" t="s">
        <v>148</v>
      </c>
      <c r="K538" s="7"/>
      <c r="L538" s="7"/>
      <c r="M538" s="7"/>
    </row>
    <row r="539" ht="15.75" customHeight="1">
      <c r="A539" s="7" t="s">
        <v>2934</v>
      </c>
      <c r="B539" s="45" t="s">
        <v>2935</v>
      </c>
      <c r="C539" s="7" t="s">
        <v>2936</v>
      </c>
      <c r="D539" s="7" t="s">
        <v>2937</v>
      </c>
      <c r="E539" s="7" t="s">
        <v>2938</v>
      </c>
      <c r="F539" s="7" t="s">
        <v>2939</v>
      </c>
      <c r="G539" s="7"/>
      <c r="H539" s="46" t="s">
        <v>249</v>
      </c>
      <c r="I539" s="7" t="s">
        <v>160</v>
      </c>
      <c r="J539" s="7" t="s">
        <v>148</v>
      </c>
      <c r="K539" s="7"/>
      <c r="L539" s="7"/>
      <c r="M539" s="7"/>
    </row>
    <row r="540" ht="15.75" customHeight="1">
      <c r="A540" s="7" t="s">
        <v>2940</v>
      </c>
      <c r="B540" s="45" t="s">
        <v>2941</v>
      </c>
      <c r="C540" s="7" t="s">
        <v>1922</v>
      </c>
      <c r="D540" s="7" t="s">
        <v>2942</v>
      </c>
      <c r="E540" s="7" t="s">
        <v>1924</v>
      </c>
      <c r="F540" s="7" t="s">
        <v>1925</v>
      </c>
      <c r="G540" s="7"/>
      <c r="H540" s="46" t="s">
        <v>249</v>
      </c>
      <c r="I540" s="7" t="s">
        <v>160</v>
      </c>
      <c r="J540" s="7" t="s">
        <v>148</v>
      </c>
      <c r="K540" s="7"/>
      <c r="L540" s="7"/>
      <c r="M540" s="7"/>
    </row>
    <row r="541" ht="15.75" customHeight="1">
      <c r="A541" s="7" t="s">
        <v>2943</v>
      </c>
      <c r="B541" s="45" t="s">
        <v>2944</v>
      </c>
      <c r="C541" s="7" t="s">
        <v>2945</v>
      </c>
      <c r="D541" s="7" t="s">
        <v>2946</v>
      </c>
      <c r="E541" s="7" t="s">
        <v>2947</v>
      </c>
      <c r="F541" s="7" t="s">
        <v>2948</v>
      </c>
      <c r="G541" s="7"/>
      <c r="H541" s="46" t="s">
        <v>249</v>
      </c>
      <c r="I541" s="7" t="s">
        <v>160</v>
      </c>
      <c r="J541" s="7" t="s">
        <v>148</v>
      </c>
      <c r="K541" s="7"/>
      <c r="L541" s="7"/>
      <c r="M541" s="7"/>
    </row>
    <row r="542" ht="15.75" customHeight="1">
      <c r="A542" s="7" t="s">
        <v>2949</v>
      </c>
      <c r="B542" s="45" t="s">
        <v>2950</v>
      </c>
      <c r="C542" s="7" t="s">
        <v>2951</v>
      </c>
      <c r="D542" s="7" t="s">
        <v>2952</v>
      </c>
      <c r="E542" s="7" t="s">
        <v>2953</v>
      </c>
      <c r="F542" s="7" t="s">
        <v>2954</v>
      </c>
      <c r="G542" s="7"/>
      <c r="H542" s="46" t="s">
        <v>249</v>
      </c>
      <c r="I542" s="7" t="s">
        <v>160</v>
      </c>
      <c r="J542" s="7" t="s">
        <v>148</v>
      </c>
      <c r="K542" s="7"/>
      <c r="L542" s="7"/>
      <c r="M542" s="7"/>
    </row>
    <row r="543" ht="15.75" customHeight="1">
      <c r="A543" s="7" t="s">
        <v>2955</v>
      </c>
      <c r="B543" s="45" t="s">
        <v>2956</v>
      </c>
      <c r="C543" s="7" t="s">
        <v>2957</v>
      </c>
      <c r="D543" s="7" t="s">
        <v>2958</v>
      </c>
      <c r="E543" s="7" t="s">
        <v>2959</v>
      </c>
      <c r="F543" s="7" t="s">
        <v>2960</v>
      </c>
      <c r="G543" s="7"/>
      <c r="H543" s="46" t="s">
        <v>249</v>
      </c>
      <c r="I543" s="7" t="s">
        <v>160</v>
      </c>
      <c r="J543" s="7" t="s">
        <v>148</v>
      </c>
      <c r="K543" s="7"/>
      <c r="L543" s="7"/>
      <c r="M543" s="7"/>
    </row>
    <row r="544" ht="15.75" customHeight="1">
      <c r="A544" s="7" t="s">
        <v>2961</v>
      </c>
      <c r="B544" s="45" t="s">
        <v>2962</v>
      </c>
      <c r="C544" s="7" t="s">
        <v>2963</v>
      </c>
      <c r="D544" s="7" t="s">
        <v>2964</v>
      </c>
      <c r="E544" s="7" t="s">
        <v>2965</v>
      </c>
      <c r="F544" s="7" t="s">
        <v>2966</v>
      </c>
      <c r="G544" s="7"/>
      <c r="H544" s="46" t="s">
        <v>249</v>
      </c>
      <c r="I544" s="7" t="s">
        <v>160</v>
      </c>
      <c r="J544" s="7" t="s">
        <v>148</v>
      </c>
      <c r="K544" s="7"/>
      <c r="L544" s="7"/>
      <c r="M544" s="7"/>
    </row>
    <row r="545" ht="15.75" customHeight="1">
      <c r="A545" s="7" t="s">
        <v>2967</v>
      </c>
      <c r="B545" s="45" t="s">
        <v>2968</v>
      </c>
      <c r="C545" s="7" t="s">
        <v>2969</v>
      </c>
      <c r="D545" s="7" t="s">
        <v>2970</v>
      </c>
      <c r="E545" s="7" t="s">
        <v>2971</v>
      </c>
      <c r="F545" s="7" t="s">
        <v>2966</v>
      </c>
      <c r="G545" s="7"/>
      <c r="H545" s="46" t="s">
        <v>249</v>
      </c>
      <c r="I545" s="7" t="s">
        <v>160</v>
      </c>
      <c r="J545" s="7" t="s">
        <v>148</v>
      </c>
      <c r="K545" s="7"/>
      <c r="L545" s="7"/>
      <c r="M545" s="7"/>
    </row>
    <row r="546" ht="15.75" customHeight="1">
      <c r="A546" s="7" t="s">
        <v>2972</v>
      </c>
      <c r="B546" s="45" t="s">
        <v>2973</v>
      </c>
      <c r="C546" s="7" t="s">
        <v>2974</v>
      </c>
      <c r="D546" s="7" t="s">
        <v>2975</v>
      </c>
      <c r="E546" s="7" t="s">
        <v>2976</v>
      </c>
      <c r="F546" s="7" t="s">
        <v>2977</v>
      </c>
      <c r="G546" s="7"/>
      <c r="H546" s="46" t="s">
        <v>249</v>
      </c>
      <c r="I546" s="7" t="s">
        <v>160</v>
      </c>
      <c r="J546" s="7" t="s">
        <v>148</v>
      </c>
      <c r="K546" s="7"/>
      <c r="L546" s="7"/>
      <c r="M546" s="7"/>
    </row>
    <row r="547" ht="15.75" customHeight="1">
      <c r="A547" s="7" t="s">
        <v>2978</v>
      </c>
      <c r="B547" s="45" t="s">
        <v>2979</v>
      </c>
      <c r="C547" s="7" t="s">
        <v>2963</v>
      </c>
      <c r="D547" s="7" t="s">
        <v>2980</v>
      </c>
      <c r="E547" s="7" t="s">
        <v>2971</v>
      </c>
      <c r="F547" s="7" t="s">
        <v>2977</v>
      </c>
      <c r="G547" s="7"/>
      <c r="H547" s="46" t="s">
        <v>249</v>
      </c>
      <c r="I547" s="7" t="s">
        <v>160</v>
      </c>
      <c r="J547" s="7" t="s">
        <v>148</v>
      </c>
      <c r="K547" s="7"/>
      <c r="L547" s="7"/>
      <c r="M547" s="7"/>
    </row>
    <row r="548" ht="15.75" customHeight="1">
      <c r="A548" s="7" t="s">
        <v>2981</v>
      </c>
      <c r="B548" s="45" t="s">
        <v>2982</v>
      </c>
      <c r="C548" s="7" t="s">
        <v>2983</v>
      </c>
      <c r="D548" s="7" t="s">
        <v>2984</v>
      </c>
      <c r="E548" s="7" t="s">
        <v>2985</v>
      </c>
      <c r="F548" s="7" t="s">
        <v>2986</v>
      </c>
      <c r="G548" s="7"/>
      <c r="H548" s="46" t="s">
        <v>249</v>
      </c>
      <c r="I548" s="7" t="s">
        <v>160</v>
      </c>
      <c r="J548" s="7" t="s">
        <v>148</v>
      </c>
      <c r="K548" s="7"/>
      <c r="L548" s="7"/>
      <c r="M548" s="7"/>
    </row>
    <row r="549" ht="15.75" customHeight="1">
      <c r="A549" s="7" t="s">
        <v>2987</v>
      </c>
      <c r="B549" s="45" t="s">
        <v>2988</v>
      </c>
      <c r="C549" s="7" t="s">
        <v>2989</v>
      </c>
      <c r="D549" s="7" t="s">
        <v>2990</v>
      </c>
      <c r="E549" s="7" t="s">
        <v>2991</v>
      </c>
      <c r="F549" s="7" t="s">
        <v>2992</v>
      </c>
      <c r="G549" s="7"/>
      <c r="H549" s="46" t="s">
        <v>249</v>
      </c>
      <c r="I549" s="7" t="s">
        <v>160</v>
      </c>
      <c r="J549" s="7" t="s">
        <v>148</v>
      </c>
      <c r="K549" s="7"/>
      <c r="L549" s="7"/>
      <c r="M549" s="7"/>
    </row>
    <row r="550" ht="15.75" customHeight="1">
      <c r="A550" s="7" t="s">
        <v>2993</v>
      </c>
      <c r="B550" s="45" t="s">
        <v>2994</v>
      </c>
      <c r="C550" s="7" t="s">
        <v>2995</v>
      </c>
      <c r="D550" s="7" t="s">
        <v>2996</v>
      </c>
      <c r="E550" s="7" t="s">
        <v>2997</v>
      </c>
      <c r="F550" s="7" t="s">
        <v>2998</v>
      </c>
      <c r="G550" s="7"/>
      <c r="H550" s="46" t="s">
        <v>249</v>
      </c>
      <c r="I550" s="7" t="s">
        <v>160</v>
      </c>
      <c r="J550" s="7" t="s">
        <v>148</v>
      </c>
      <c r="K550" s="7"/>
      <c r="L550" s="7"/>
      <c r="M550" s="7"/>
    </row>
    <row r="551" ht="15.75" customHeight="1">
      <c r="A551" s="7" t="s">
        <v>2999</v>
      </c>
      <c r="B551" s="45" t="s">
        <v>3000</v>
      </c>
      <c r="C551" s="7" t="s">
        <v>3001</v>
      </c>
      <c r="D551" s="7" t="s">
        <v>3002</v>
      </c>
      <c r="E551" s="7" t="s">
        <v>3003</v>
      </c>
      <c r="F551" s="7" t="s">
        <v>3004</v>
      </c>
      <c r="G551" s="7"/>
      <c r="H551" s="46" t="s">
        <v>249</v>
      </c>
      <c r="I551" s="7" t="s">
        <v>160</v>
      </c>
      <c r="J551" s="7" t="s">
        <v>148</v>
      </c>
      <c r="K551" s="7"/>
      <c r="L551" s="7"/>
      <c r="M551" s="7"/>
    </row>
    <row r="552" ht="15.75" customHeight="1">
      <c r="A552" s="7" t="s">
        <v>3005</v>
      </c>
      <c r="B552" s="45" t="s">
        <v>3006</v>
      </c>
      <c r="C552" s="7" t="s">
        <v>1566</v>
      </c>
      <c r="D552" s="7" t="s">
        <v>3007</v>
      </c>
      <c r="E552" s="7" t="s">
        <v>1568</v>
      </c>
      <c r="F552" s="7" t="s">
        <v>1569</v>
      </c>
      <c r="G552" s="7"/>
      <c r="H552" s="46" t="s">
        <v>249</v>
      </c>
      <c r="I552" s="7" t="s">
        <v>160</v>
      </c>
      <c r="J552" s="7" t="s">
        <v>148</v>
      </c>
      <c r="K552" s="7"/>
      <c r="L552" s="7"/>
      <c r="M552" s="7"/>
    </row>
    <row r="553" ht="15.75" customHeight="1">
      <c r="A553" s="7" t="s">
        <v>3008</v>
      </c>
      <c r="B553" s="45" t="s">
        <v>3009</v>
      </c>
      <c r="C553" s="7" t="s">
        <v>3010</v>
      </c>
      <c r="D553" s="7" t="s">
        <v>3011</v>
      </c>
      <c r="E553" s="7" t="s">
        <v>3012</v>
      </c>
      <c r="F553" s="7" t="s">
        <v>3013</v>
      </c>
      <c r="G553" s="7"/>
      <c r="H553" s="46" t="s">
        <v>249</v>
      </c>
      <c r="I553" s="7" t="s">
        <v>160</v>
      </c>
      <c r="J553" s="7" t="s">
        <v>148</v>
      </c>
      <c r="K553" s="7"/>
      <c r="L553" s="7"/>
      <c r="M553" s="7"/>
    </row>
    <row r="554" ht="15.75" customHeight="1">
      <c r="A554" s="7" t="s">
        <v>3014</v>
      </c>
      <c r="B554" s="45" t="s">
        <v>3015</v>
      </c>
      <c r="C554" s="7" t="s">
        <v>3016</v>
      </c>
      <c r="D554" s="7" t="s">
        <v>3017</v>
      </c>
      <c r="E554" s="7" t="s">
        <v>3018</v>
      </c>
      <c r="F554" s="7" t="s">
        <v>3019</v>
      </c>
      <c r="G554" s="7"/>
      <c r="H554" s="46" t="s">
        <v>249</v>
      </c>
      <c r="I554" s="7" t="s">
        <v>160</v>
      </c>
      <c r="J554" s="7" t="s">
        <v>148</v>
      </c>
      <c r="K554" s="7"/>
      <c r="L554" s="7"/>
      <c r="M554" s="7"/>
    </row>
    <row r="555" ht="15.75" customHeight="1">
      <c r="A555" s="7" t="s">
        <v>3020</v>
      </c>
      <c r="B555" s="45" t="s">
        <v>3021</v>
      </c>
      <c r="C555" s="7" t="s">
        <v>3022</v>
      </c>
      <c r="D555" s="7" t="s">
        <v>3023</v>
      </c>
      <c r="E555" s="7" t="s">
        <v>3024</v>
      </c>
      <c r="F555" s="7" t="s">
        <v>3025</v>
      </c>
      <c r="G555" s="7"/>
      <c r="H555" s="46" t="s">
        <v>249</v>
      </c>
      <c r="I555" s="7" t="s">
        <v>160</v>
      </c>
      <c r="J555" s="7" t="s">
        <v>148</v>
      </c>
      <c r="K555" s="7"/>
      <c r="L555" s="7"/>
      <c r="M555" s="7"/>
    </row>
    <row r="556" ht="15.75" customHeight="1">
      <c r="A556" s="7" t="s">
        <v>3026</v>
      </c>
      <c r="B556" s="45" t="s">
        <v>3027</v>
      </c>
      <c r="C556" s="7" t="s">
        <v>3028</v>
      </c>
      <c r="D556" s="7" t="s">
        <v>3023</v>
      </c>
      <c r="E556" s="7" t="s">
        <v>3024</v>
      </c>
      <c r="F556" s="7" t="s">
        <v>3025</v>
      </c>
      <c r="G556" s="7"/>
      <c r="H556" s="46" t="s">
        <v>249</v>
      </c>
      <c r="I556" s="7" t="s">
        <v>160</v>
      </c>
      <c r="J556" s="7" t="s">
        <v>148</v>
      </c>
      <c r="K556" s="7"/>
      <c r="L556" s="7"/>
      <c r="M556" s="7"/>
    </row>
    <row r="557" ht="15.75" customHeight="1">
      <c r="A557" s="7" t="s">
        <v>3029</v>
      </c>
      <c r="B557" s="45" t="s">
        <v>3030</v>
      </c>
      <c r="C557" s="7" t="s">
        <v>3031</v>
      </c>
      <c r="D557" s="7" t="s">
        <v>3032</v>
      </c>
      <c r="E557" s="7" t="s">
        <v>3033</v>
      </c>
      <c r="F557" s="7" t="s">
        <v>3034</v>
      </c>
      <c r="G557" s="7" t="s">
        <v>3035</v>
      </c>
      <c r="H557" s="46" t="s">
        <v>249</v>
      </c>
      <c r="I557" s="7" t="s">
        <v>160</v>
      </c>
      <c r="J557" s="7" t="s">
        <v>148</v>
      </c>
      <c r="K557" s="7"/>
      <c r="L557" s="7"/>
      <c r="M557" s="7"/>
    </row>
    <row r="558" ht="15.75" customHeight="1">
      <c r="A558" s="7" t="s">
        <v>3036</v>
      </c>
      <c r="B558" s="45" t="s">
        <v>3037</v>
      </c>
      <c r="C558" s="7" t="s">
        <v>3038</v>
      </c>
      <c r="D558" s="7" t="s">
        <v>3039</v>
      </c>
      <c r="E558" s="7" t="s">
        <v>3040</v>
      </c>
      <c r="F558" s="7" t="s">
        <v>3034</v>
      </c>
      <c r="G558" s="7"/>
      <c r="H558" s="46" t="s">
        <v>249</v>
      </c>
      <c r="I558" s="7" t="s">
        <v>160</v>
      </c>
      <c r="J558" s="7" t="s">
        <v>148</v>
      </c>
      <c r="K558" s="7"/>
      <c r="L558" s="7"/>
      <c r="M558" s="7"/>
    </row>
    <row r="559" ht="15.75" customHeight="1">
      <c r="A559" s="7" t="s">
        <v>3041</v>
      </c>
      <c r="B559" s="45" t="s">
        <v>3042</v>
      </c>
      <c r="C559" s="7" t="s">
        <v>3038</v>
      </c>
      <c r="D559" s="7" t="s">
        <v>3043</v>
      </c>
      <c r="E559" s="7" t="s">
        <v>3044</v>
      </c>
      <c r="F559" s="7" t="s">
        <v>3034</v>
      </c>
      <c r="G559" s="7"/>
      <c r="H559" s="46" t="s">
        <v>249</v>
      </c>
      <c r="I559" s="7" t="s">
        <v>160</v>
      </c>
      <c r="J559" s="7" t="s">
        <v>148</v>
      </c>
      <c r="K559" s="7"/>
      <c r="L559" s="7"/>
      <c r="M559" s="7"/>
    </row>
    <row r="560" ht="15.75" customHeight="1">
      <c r="A560" s="7" t="s">
        <v>3045</v>
      </c>
      <c r="B560" s="45" t="s">
        <v>3046</v>
      </c>
      <c r="C560" s="7" t="s">
        <v>3047</v>
      </c>
      <c r="D560" s="7" t="s">
        <v>3048</v>
      </c>
      <c r="E560" s="7" t="s">
        <v>3049</v>
      </c>
      <c r="F560" s="7" t="s">
        <v>3050</v>
      </c>
      <c r="G560" s="7"/>
      <c r="H560" s="46" t="s">
        <v>249</v>
      </c>
      <c r="I560" s="7" t="s">
        <v>160</v>
      </c>
      <c r="J560" s="7" t="s">
        <v>148</v>
      </c>
      <c r="K560" s="7"/>
      <c r="L560" s="7"/>
      <c r="M560" s="7"/>
    </row>
    <row r="561" ht="15.75" customHeight="1">
      <c r="A561" s="7" t="s">
        <v>3051</v>
      </c>
      <c r="B561" s="45" t="s">
        <v>3052</v>
      </c>
      <c r="C561" s="7" t="s">
        <v>3053</v>
      </c>
      <c r="D561" s="7" t="s">
        <v>3054</v>
      </c>
      <c r="E561" s="7" t="s">
        <v>3049</v>
      </c>
      <c r="F561" s="7" t="s">
        <v>3050</v>
      </c>
      <c r="G561" s="7"/>
      <c r="H561" s="46" t="s">
        <v>249</v>
      </c>
      <c r="I561" s="7" t="s">
        <v>160</v>
      </c>
      <c r="J561" s="7" t="s">
        <v>148</v>
      </c>
      <c r="K561" s="7"/>
      <c r="L561" s="7"/>
      <c r="M561" s="7"/>
    </row>
    <row r="562" ht="15.75" customHeight="1">
      <c r="A562" s="7" t="s">
        <v>3055</v>
      </c>
      <c r="B562" s="45" t="s">
        <v>3056</v>
      </c>
      <c r="C562" s="7" t="s">
        <v>2345</v>
      </c>
      <c r="D562" s="7" t="s">
        <v>3057</v>
      </c>
      <c r="E562" s="7" t="s">
        <v>3058</v>
      </c>
      <c r="F562" s="7" t="s">
        <v>2348</v>
      </c>
      <c r="G562" s="7"/>
      <c r="H562" s="46" t="s">
        <v>249</v>
      </c>
      <c r="I562" s="7" t="s">
        <v>160</v>
      </c>
      <c r="J562" s="7" t="s">
        <v>148</v>
      </c>
      <c r="K562" s="7"/>
      <c r="L562" s="7"/>
      <c r="M562" s="7"/>
    </row>
    <row r="563" ht="15.75" customHeight="1">
      <c r="A563" s="7" t="s">
        <v>3059</v>
      </c>
      <c r="B563" s="45" t="s">
        <v>3060</v>
      </c>
      <c r="C563" s="7" t="s">
        <v>3061</v>
      </c>
      <c r="D563" s="7" t="s">
        <v>3062</v>
      </c>
      <c r="E563" s="7" t="s">
        <v>3063</v>
      </c>
      <c r="F563" s="7" t="s">
        <v>3064</v>
      </c>
      <c r="G563" s="7"/>
      <c r="H563" s="46" t="s">
        <v>249</v>
      </c>
      <c r="I563" s="7" t="s">
        <v>160</v>
      </c>
      <c r="J563" s="7" t="s">
        <v>148</v>
      </c>
      <c r="K563" s="7"/>
      <c r="L563" s="7"/>
      <c r="M563" s="7"/>
    </row>
    <row r="564" ht="15.75" customHeight="1">
      <c r="A564" s="7" t="s">
        <v>3065</v>
      </c>
      <c r="B564" s="45" t="s">
        <v>3066</v>
      </c>
      <c r="C564" s="7" t="s">
        <v>385</v>
      </c>
      <c r="D564" s="7" t="s">
        <v>386</v>
      </c>
      <c r="E564" s="7" t="s">
        <v>387</v>
      </c>
      <c r="F564" s="7" t="s">
        <v>388</v>
      </c>
      <c r="G564" s="7"/>
      <c r="H564" s="46" t="s">
        <v>249</v>
      </c>
      <c r="I564" s="7" t="s">
        <v>160</v>
      </c>
      <c r="J564" s="7" t="s">
        <v>148</v>
      </c>
      <c r="K564" s="7"/>
      <c r="L564" s="7"/>
      <c r="M564" s="7"/>
    </row>
    <row r="565" ht="15.75" customHeight="1">
      <c r="A565" s="7" t="s">
        <v>3067</v>
      </c>
      <c r="B565" s="45" t="s">
        <v>3068</v>
      </c>
      <c r="C565" s="7" t="s">
        <v>330</v>
      </c>
      <c r="D565" s="7" t="s">
        <v>3069</v>
      </c>
      <c r="E565" s="7" t="s">
        <v>332</v>
      </c>
      <c r="F565" s="7" t="s">
        <v>333</v>
      </c>
      <c r="G565" s="7"/>
      <c r="H565" s="46" t="s">
        <v>249</v>
      </c>
      <c r="I565" s="7" t="s">
        <v>160</v>
      </c>
      <c r="J565" s="7" t="s">
        <v>148</v>
      </c>
      <c r="K565" s="7"/>
      <c r="L565" s="7"/>
      <c r="M565" s="7"/>
    </row>
    <row r="566" ht="15.75" customHeight="1">
      <c r="A566" s="7" t="s">
        <v>3070</v>
      </c>
      <c r="B566" s="45" t="s">
        <v>3071</v>
      </c>
      <c r="C566" s="7" t="s">
        <v>330</v>
      </c>
      <c r="D566" s="7" t="s">
        <v>3072</v>
      </c>
      <c r="E566" s="7" t="s">
        <v>332</v>
      </c>
      <c r="F566" s="7" t="s">
        <v>333</v>
      </c>
      <c r="G566" s="7"/>
      <c r="H566" s="46" t="s">
        <v>249</v>
      </c>
      <c r="I566" s="7" t="s">
        <v>160</v>
      </c>
      <c r="J566" s="7" t="s">
        <v>148</v>
      </c>
      <c r="K566" s="7"/>
      <c r="L566" s="7"/>
      <c r="M566" s="7"/>
    </row>
    <row r="567" ht="15.75" customHeight="1">
      <c r="A567" s="7" t="s">
        <v>3073</v>
      </c>
      <c r="B567" s="45" t="s">
        <v>3074</v>
      </c>
      <c r="C567" s="7" t="s">
        <v>3075</v>
      </c>
      <c r="D567" s="7" t="s">
        <v>3076</v>
      </c>
      <c r="E567" s="7" t="s">
        <v>3077</v>
      </c>
      <c r="F567" s="7" t="s">
        <v>3078</v>
      </c>
      <c r="G567" s="7"/>
      <c r="H567" s="46" t="s">
        <v>249</v>
      </c>
      <c r="I567" s="7" t="s">
        <v>160</v>
      </c>
      <c r="J567" s="7" t="s">
        <v>148</v>
      </c>
      <c r="K567" s="7"/>
      <c r="L567" s="7"/>
      <c r="M567" s="7"/>
    </row>
    <row r="568" ht="15.75" customHeight="1">
      <c r="A568" s="7" t="s">
        <v>3079</v>
      </c>
      <c r="B568" s="45" t="s">
        <v>3080</v>
      </c>
      <c r="C568" s="7" t="s">
        <v>3081</v>
      </c>
      <c r="D568" s="7" t="s">
        <v>3082</v>
      </c>
      <c r="E568" s="7" t="s">
        <v>3083</v>
      </c>
      <c r="F568" s="7" t="s">
        <v>3084</v>
      </c>
      <c r="G568" s="7"/>
      <c r="H568" s="46" t="s">
        <v>249</v>
      </c>
      <c r="I568" s="7" t="s">
        <v>160</v>
      </c>
      <c r="J568" s="7" t="s">
        <v>148</v>
      </c>
      <c r="K568" s="7"/>
      <c r="L568" s="7"/>
      <c r="M568" s="7"/>
    </row>
    <row r="569" ht="15.75" customHeight="1">
      <c r="A569" s="7" t="s">
        <v>3085</v>
      </c>
      <c r="B569" s="45" t="s">
        <v>3086</v>
      </c>
      <c r="C569" s="7" t="s">
        <v>3081</v>
      </c>
      <c r="D569" s="7" t="s">
        <v>3087</v>
      </c>
      <c r="E569" s="7" t="s">
        <v>3083</v>
      </c>
      <c r="F569" s="7" t="s">
        <v>3084</v>
      </c>
      <c r="G569" s="7"/>
      <c r="H569" s="46" t="s">
        <v>249</v>
      </c>
      <c r="I569" s="7" t="s">
        <v>160</v>
      </c>
      <c r="J569" s="7" t="s">
        <v>148</v>
      </c>
      <c r="K569" s="7"/>
      <c r="L569" s="7"/>
      <c r="M569" s="7"/>
    </row>
    <row r="570" ht="15.75" customHeight="1">
      <c r="A570" s="7" t="s">
        <v>3088</v>
      </c>
      <c r="B570" s="45" t="s">
        <v>3089</v>
      </c>
      <c r="C570" s="7" t="s">
        <v>3090</v>
      </c>
      <c r="D570" s="7" t="s">
        <v>3076</v>
      </c>
      <c r="E570" s="7" t="s">
        <v>3091</v>
      </c>
      <c r="F570" s="7" t="s">
        <v>3078</v>
      </c>
      <c r="G570" s="7"/>
      <c r="H570" s="46" t="s">
        <v>249</v>
      </c>
      <c r="I570" s="7" t="s">
        <v>160</v>
      </c>
      <c r="J570" s="7" t="s">
        <v>148</v>
      </c>
      <c r="K570" s="7"/>
      <c r="L570" s="7"/>
      <c r="M570" s="7"/>
    </row>
    <row r="571" ht="15.75" customHeight="1">
      <c r="A571" s="7" t="s">
        <v>3092</v>
      </c>
      <c r="B571" s="45" t="s">
        <v>3093</v>
      </c>
      <c r="C571" s="7" t="s">
        <v>3094</v>
      </c>
      <c r="D571" s="7" t="s">
        <v>3095</v>
      </c>
      <c r="E571" s="7" t="s">
        <v>3096</v>
      </c>
      <c r="F571" s="7" t="s">
        <v>3097</v>
      </c>
      <c r="G571" s="7"/>
      <c r="H571" s="46" t="s">
        <v>249</v>
      </c>
      <c r="I571" s="7" t="s">
        <v>160</v>
      </c>
      <c r="J571" s="7" t="s">
        <v>148</v>
      </c>
      <c r="K571" s="7"/>
      <c r="L571" s="7"/>
      <c r="M571" s="7"/>
    </row>
    <row r="572" ht="15.75" customHeight="1">
      <c r="A572" s="7" t="s">
        <v>3098</v>
      </c>
      <c r="B572" s="45" t="s">
        <v>3099</v>
      </c>
      <c r="C572" s="7" t="s">
        <v>3100</v>
      </c>
      <c r="D572" s="7" t="s">
        <v>3101</v>
      </c>
      <c r="E572" s="7" t="s">
        <v>3102</v>
      </c>
      <c r="F572" s="7" t="s">
        <v>3103</v>
      </c>
      <c r="G572" s="7"/>
      <c r="H572" s="46" t="s">
        <v>249</v>
      </c>
      <c r="I572" s="7" t="s">
        <v>160</v>
      </c>
      <c r="J572" s="7" t="s">
        <v>148</v>
      </c>
      <c r="K572" s="7"/>
      <c r="L572" s="7"/>
      <c r="M572" s="7"/>
    </row>
    <row r="573" ht="15.75" customHeight="1">
      <c r="A573" s="7" t="s">
        <v>3104</v>
      </c>
      <c r="B573" s="45" t="s">
        <v>3105</v>
      </c>
      <c r="C573" s="7" t="s">
        <v>3106</v>
      </c>
      <c r="D573" s="7" t="s">
        <v>3107</v>
      </c>
      <c r="E573" s="7" t="s">
        <v>3108</v>
      </c>
      <c r="F573" s="7" t="s">
        <v>3109</v>
      </c>
      <c r="G573" s="7"/>
      <c r="H573" s="46" t="s">
        <v>249</v>
      </c>
      <c r="I573" s="7" t="s">
        <v>160</v>
      </c>
      <c r="J573" s="7" t="s">
        <v>148</v>
      </c>
      <c r="K573" s="7"/>
      <c r="L573" s="7"/>
      <c r="M573" s="7"/>
    </row>
    <row r="574" ht="15.75" customHeight="1">
      <c r="A574" s="7" t="s">
        <v>3110</v>
      </c>
      <c r="B574" s="45" t="s">
        <v>3111</v>
      </c>
      <c r="C574" s="7" t="s">
        <v>3112</v>
      </c>
      <c r="D574" s="7" t="s">
        <v>3113</v>
      </c>
      <c r="E574" s="7" t="s">
        <v>3114</v>
      </c>
      <c r="F574" s="7" t="s">
        <v>3115</v>
      </c>
      <c r="G574" s="7"/>
      <c r="H574" s="46" t="s">
        <v>249</v>
      </c>
      <c r="I574" s="7" t="s">
        <v>160</v>
      </c>
      <c r="J574" s="7" t="s">
        <v>148</v>
      </c>
      <c r="K574" s="7"/>
      <c r="L574" s="7"/>
      <c r="M574" s="7"/>
    </row>
    <row r="575" ht="15.75" customHeight="1">
      <c r="A575" s="7" t="s">
        <v>3116</v>
      </c>
      <c r="B575" s="45" t="s">
        <v>3117</v>
      </c>
      <c r="C575" s="7" t="s">
        <v>3118</v>
      </c>
      <c r="D575" s="7" t="s">
        <v>3119</v>
      </c>
      <c r="E575" s="7" t="s">
        <v>3120</v>
      </c>
      <c r="F575" s="7" t="s">
        <v>3121</v>
      </c>
      <c r="G575" s="7"/>
      <c r="H575" s="46" t="s">
        <v>249</v>
      </c>
      <c r="I575" s="7" t="s">
        <v>160</v>
      </c>
      <c r="J575" s="7" t="s">
        <v>148</v>
      </c>
      <c r="K575" s="7"/>
      <c r="L575" s="7"/>
      <c r="M575" s="7"/>
    </row>
    <row r="576" ht="15.75" customHeight="1">
      <c r="A576" s="7" t="s">
        <v>3122</v>
      </c>
      <c r="B576" s="45" t="s">
        <v>3123</v>
      </c>
      <c r="C576" s="7" t="s">
        <v>3118</v>
      </c>
      <c r="D576" s="7" t="s">
        <v>3124</v>
      </c>
      <c r="E576" s="7" t="s">
        <v>3120</v>
      </c>
      <c r="F576" s="7" t="s">
        <v>3121</v>
      </c>
      <c r="G576" s="7"/>
      <c r="H576" s="46" t="s">
        <v>249</v>
      </c>
      <c r="I576" s="7" t="s">
        <v>160</v>
      </c>
      <c r="J576" s="7" t="s">
        <v>148</v>
      </c>
      <c r="K576" s="7"/>
      <c r="L576" s="7"/>
      <c r="M576" s="7"/>
    </row>
    <row r="577" ht="15.75" customHeight="1">
      <c r="A577" s="7" t="s">
        <v>3125</v>
      </c>
      <c r="B577" s="45" t="s">
        <v>3126</v>
      </c>
      <c r="C577" s="7" t="s">
        <v>3127</v>
      </c>
      <c r="D577" s="7" t="s">
        <v>3128</v>
      </c>
      <c r="E577" s="7" t="s">
        <v>3129</v>
      </c>
      <c r="F577" s="7" t="s">
        <v>3130</v>
      </c>
      <c r="G577" s="7"/>
      <c r="H577" s="46" t="s">
        <v>249</v>
      </c>
      <c r="I577" s="7" t="s">
        <v>160</v>
      </c>
      <c r="J577" s="7" t="s">
        <v>148</v>
      </c>
      <c r="K577" s="7"/>
      <c r="L577" s="7"/>
      <c r="M577" s="7"/>
    </row>
    <row r="578" ht="15.75" customHeight="1">
      <c r="A578" s="7" t="s">
        <v>3131</v>
      </c>
      <c r="B578" s="45" t="s">
        <v>3132</v>
      </c>
      <c r="C578" s="7" t="s">
        <v>3133</v>
      </c>
      <c r="D578" s="7" t="s">
        <v>3134</v>
      </c>
      <c r="E578" s="7" t="s">
        <v>3135</v>
      </c>
      <c r="F578" s="7" t="s">
        <v>3130</v>
      </c>
      <c r="G578" s="7"/>
      <c r="H578" s="46" t="s">
        <v>249</v>
      </c>
      <c r="I578" s="7" t="s">
        <v>160</v>
      </c>
      <c r="J578" s="7" t="s">
        <v>148</v>
      </c>
      <c r="K578" s="7"/>
      <c r="L578" s="7"/>
      <c r="M578" s="7"/>
    </row>
    <row r="579" ht="15.75" customHeight="1">
      <c r="A579" s="7" t="s">
        <v>3136</v>
      </c>
      <c r="B579" s="45" t="s">
        <v>3137</v>
      </c>
      <c r="C579" s="7" t="s">
        <v>3118</v>
      </c>
      <c r="D579" s="7" t="s">
        <v>3138</v>
      </c>
      <c r="E579" s="7" t="s">
        <v>3120</v>
      </c>
      <c r="F579" s="7" t="s">
        <v>3121</v>
      </c>
      <c r="G579" s="7"/>
      <c r="H579" s="46" t="s">
        <v>249</v>
      </c>
      <c r="I579" s="7" t="s">
        <v>160</v>
      </c>
      <c r="J579" s="7" t="s">
        <v>148</v>
      </c>
      <c r="K579" s="7"/>
      <c r="L579" s="7"/>
      <c r="M579" s="7"/>
    </row>
    <row r="580" ht="15.75" customHeight="1">
      <c r="A580" s="7" t="s">
        <v>3139</v>
      </c>
      <c r="B580" s="45" t="s">
        <v>3140</v>
      </c>
      <c r="C580" s="7" t="s">
        <v>3141</v>
      </c>
      <c r="D580" s="7" t="s">
        <v>3142</v>
      </c>
      <c r="E580" s="7" t="s">
        <v>3143</v>
      </c>
      <c r="F580" s="7" t="s">
        <v>3144</v>
      </c>
      <c r="G580" s="7"/>
      <c r="H580" s="46" t="s">
        <v>249</v>
      </c>
      <c r="I580" s="7" t="s">
        <v>160</v>
      </c>
      <c r="J580" s="7" t="s">
        <v>148</v>
      </c>
      <c r="K580" s="7"/>
      <c r="L580" s="7"/>
      <c r="M580" s="7"/>
    </row>
    <row r="581" ht="15.75" customHeight="1">
      <c r="A581" s="7" t="s">
        <v>3145</v>
      </c>
      <c r="B581" s="45" t="s">
        <v>3146</v>
      </c>
      <c r="C581" s="7" t="s">
        <v>3147</v>
      </c>
      <c r="D581" s="7" t="s">
        <v>3148</v>
      </c>
      <c r="E581" s="7" t="s">
        <v>3149</v>
      </c>
      <c r="F581" s="7" t="s">
        <v>3144</v>
      </c>
      <c r="G581" s="7"/>
      <c r="H581" s="46" t="s">
        <v>249</v>
      </c>
      <c r="I581" s="7" t="s">
        <v>160</v>
      </c>
      <c r="J581" s="7" t="s">
        <v>148</v>
      </c>
      <c r="K581" s="7"/>
      <c r="L581" s="7"/>
      <c r="M581" s="7"/>
    </row>
    <row r="582" ht="15.75" customHeight="1">
      <c r="A582" s="7" t="s">
        <v>3150</v>
      </c>
      <c r="B582" s="45" t="s">
        <v>3151</v>
      </c>
      <c r="C582" s="7" t="s">
        <v>3152</v>
      </c>
      <c r="D582" s="7" t="s">
        <v>3153</v>
      </c>
      <c r="E582" s="7" t="s">
        <v>3154</v>
      </c>
      <c r="F582" s="7" t="s">
        <v>3155</v>
      </c>
      <c r="G582" s="7"/>
      <c r="H582" s="46" t="s">
        <v>249</v>
      </c>
      <c r="I582" s="7" t="s">
        <v>160</v>
      </c>
      <c r="J582" s="7" t="s">
        <v>148</v>
      </c>
      <c r="K582" s="7"/>
      <c r="L582" s="7"/>
      <c r="M582" s="7"/>
    </row>
    <row r="583" ht="15.75" customHeight="1">
      <c r="A583" s="7" t="s">
        <v>3156</v>
      </c>
      <c r="B583" s="45" t="s">
        <v>3157</v>
      </c>
      <c r="C583" s="7" t="s">
        <v>3158</v>
      </c>
      <c r="D583" s="7" t="s">
        <v>3159</v>
      </c>
      <c r="E583" s="7" t="s">
        <v>3160</v>
      </c>
      <c r="F583" s="7" t="s">
        <v>3161</v>
      </c>
      <c r="G583" s="7"/>
      <c r="H583" s="46" t="s">
        <v>249</v>
      </c>
      <c r="I583" s="7" t="s">
        <v>160</v>
      </c>
      <c r="J583" s="7" t="s">
        <v>148</v>
      </c>
      <c r="K583" s="7"/>
      <c r="L583" s="7"/>
      <c r="M583" s="7"/>
    </row>
    <row r="584" ht="15.75" customHeight="1">
      <c r="A584" s="7" t="s">
        <v>3162</v>
      </c>
      <c r="B584" s="45" t="s">
        <v>3163</v>
      </c>
      <c r="C584" s="7" t="s">
        <v>3164</v>
      </c>
      <c r="D584" s="7" t="s">
        <v>3165</v>
      </c>
      <c r="E584" s="7" t="s">
        <v>3166</v>
      </c>
      <c r="F584" s="7" t="s">
        <v>3167</v>
      </c>
      <c r="G584" s="7"/>
      <c r="H584" s="46" t="s">
        <v>249</v>
      </c>
      <c r="I584" s="7" t="s">
        <v>160</v>
      </c>
      <c r="J584" s="7" t="s">
        <v>148</v>
      </c>
      <c r="K584" s="7"/>
      <c r="L584" s="7"/>
      <c r="M584" s="7"/>
    </row>
    <row r="585" ht="15.75" customHeight="1">
      <c r="A585" s="7" t="s">
        <v>3168</v>
      </c>
      <c r="B585" s="45" t="s">
        <v>3169</v>
      </c>
      <c r="C585" s="7" t="s">
        <v>2279</v>
      </c>
      <c r="D585" s="7" t="s">
        <v>3170</v>
      </c>
      <c r="E585" s="7" t="s">
        <v>3171</v>
      </c>
      <c r="F585" s="7" t="s">
        <v>2282</v>
      </c>
      <c r="G585" s="7"/>
      <c r="H585" s="46" t="s">
        <v>249</v>
      </c>
      <c r="I585" s="7" t="s">
        <v>160</v>
      </c>
      <c r="J585" s="7" t="s">
        <v>148</v>
      </c>
      <c r="K585" s="7"/>
      <c r="L585" s="7"/>
      <c r="M585" s="7"/>
    </row>
    <row r="586" ht="15.75" customHeight="1">
      <c r="A586" s="7" t="s">
        <v>3172</v>
      </c>
      <c r="B586" s="45" t="s">
        <v>3173</v>
      </c>
      <c r="C586" s="7" t="s">
        <v>3174</v>
      </c>
      <c r="D586" s="7" t="s">
        <v>3175</v>
      </c>
      <c r="E586" s="7" t="s">
        <v>3176</v>
      </c>
      <c r="F586" s="7" t="s">
        <v>3177</v>
      </c>
      <c r="G586" s="7"/>
      <c r="H586" s="46" t="s">
        <v>249</v>
      </c>
      <c r="I586" s="7" t="s">
        <v>160</v>
      </c>
      <c r="J586" s="7" t="s">
        <v>148</v>
      </c>
      <c r="K586" s="7"/>
      <c r="L586" s="7"/>
      <c r="M586" s="7"/>
    </row>
    <row r="587" ht="15.75" customHeight="1">
      <c r="A587" s="7" t="s">
        <v>3178</v>
      </c>
      <c r="B587" s="45" t="s">
        <v>3179</v>
      </c>
      <c r="C587" s="7" t="s">
        <v>3180</v>
      </c>
      <c r="D587" s="7" t="s">
        <v>3181</v>
      </c>
      <c r="E587" s="7" t="s">
        <v>3182</v>
      </c>
      <c r="F587" s="7" t="s">
        <v>3183</v>
      </c>
      <c r="G587" s="7"/>
      <c r="H587" s="46" t="s">
        <v>249</v>
      </c>
      <c r="I587" s="7" t="s">
        <v>160</v>
      </c>
      <c r="J587" s="7" t="s">
        <v>148</v>
      </c>
      <c r="K587" s="7"/>
      <c r="L587" s="7"/>
      <c r="M587" s="7"/>
    </row>
    <row r="588" ht="15.75" customHeight="1">
      <c r="A588" s="7" t="s">
        <v>3184</v>
      </c>
      <c r="B588" s="45" t="s">
        <v>3185</v>
      </c>
      <c r="C588" s="7" t="s">
        <v>3186</v>
      </c>
      <c r="D588" s="7" t="s">
        <v>3187</v>
      </c>
      <c r="E588" s="7" t="s">
        <v>3188</v>
      </c>
      <c r="F588" s="7" t="s">
        <v>3189</v>
      </c>
      <c r="G588" s="7"/>
      <c r="H588" s="46" t="s">
        <v>249</v>
      </c>
      <c r="I588" s="7" t="s">
        <v>160</v>
      </c>
      <c r="J588" s="7" t="s">
        <v>148</v>
      </c>
      <c r="K588" s="7"/>
      <c r="L588" s="7"/>
      <c r="M588" s="7"/>
    </row>
    <row r="589" ht="15.75" customHeight="1">
      <c r="A589" s="7" t="s">
        <v>3190</v>
      </c>
      <c r="B589" s="45" t="s">
        <v>3191</v>
      </c>
      <c r="C589" s="7" t="s">
        <v>3192</v>
      </c>
      <c r="D589" s="7" t="s">
        <v>3193</v>
      </c>
      <c r="E589" s="7" t="s">
        <v>3194</v>
      </c>
      <c r="F589" s="7" t="s">
        <v>3195</v>
      </c>
      <c r="G589" s="7"/>
      <c r="H589" s="46" t="s">
        <v>249</v>
      </c>
      <c r="I589" s="7" t="s">
        <v>160</v>
      </c>
      <c r="J589" s="7" t="s">
        <v>148</v>
      </c>
      <c r="K589" s="7"/>
      <c r="L589" s="7"/>
      <c r="M589" s="7"/>
    </row>
    <row r="590" ht="15.75" customHeight="1">
      <c r="A590" s="7" t="s">
        <v>3196</v>
      </c>
      <c r="B590" s="45" t="s">
        <v>3197</v>
      </c>
      <c r="C590" s="7" t="s">
        <v>3198</v>
      </c>
      <c r="D590" s="7" t="s">
        <v>3199</v>
      </c>
      <c r="E590" s="7" t="s">
        <v>3200</v>
      </c>
      <c r="F590" s="7" t="s">
        <v>3201</v>
      </c>
      <c r="G590" s="7"/>
      <c r="H590" s="46" t="s">
        <v>249</v>
      </c>
      <c r="I590" s="7" t="s">
        <v>160</v>
      </c>
      <c r="J590" s="7" t="s">
        <v>148</v>
      </c>
      <c r="K590" s="7"/>
      <c r="L590" s="7"/>
      <c r="M590" s="7"/>
    </row>
    <row r="591" ht="15.75" customHeight="1">
      <c r="A591" s="7" t="s">
        <v>3202</v>
      </c>
      <c r="B591" s="45" t="s">
        <v>3203</v>
      </c>
      <c r="C591" s="7" t="s">
        <v>3204</v>
      </c>
      <c r="D591" s="7" t="s">
        <v>3205</v>
      </c>
      <c r="E591" s="7" t="s">
        <v>3206</v>
      </c>
      <c r="F591" s="7" t="s">
        <v>3207</v>
      </c>
      <c r="G591" s="7"/>
      <c r="H591" s="46" t="s">
        <v>249</v>
      </c>
      <c r="I591" s="7" t="s">
        <v>160</v>
      </c>
      <c r="J591" s="7" t="s">
        <v>148</v>
      </c>
      <c r="K591" s="7"/>
      <c r="L591" s="7"/>
      <c r="M591" s="7"/>
    </row>
    <row r="592" ht="15.75" customHeight="1">
      <c r="A592" s="7" t="s">
        <v>3208</v>
      </c>
      <c r="B592" s="45" t="s">
        <v>3209</v>
      </c>
      <c r="C592" s="7" t="s">
        <v>3210</v>
      </c>
      <c r="D592" s="7" t="s">
        <v>3211</v>
      </c>
      <c r="E592" s="7" t="s">
        <v>3212</v>
      </c>
      <c r="F592" s="7" t="s">
        <v>3213</v>
      </c>
      <c r="G592" s="7"/>
      <c r="H592" s="46" t="s">
        <v>249</v>
      </c>
      <c r="I592" s="7" t="s">
        <v>160</v>
      </c>
      <c r="J592" s="7" t="s">
        <v>148</v>
      </c>
      <c r="K592" s="7"/>
      <c r="L592" s="7"/>
      <c r="M592" s="7"/>
    </row>
    <row r="593" ht="15.75" customHeight="1">
      <c r="A593" s="7" t="s">
        <v>3214</v>
      </c>
      <c r="B593" s="45" t="s">
        <v>3215</v>
      </c>
      <c r="C593" s="7" t="s">
        <v>3216</v>
      </c>
      <c r="D593" s="7" t="s">
        <v>3217</v>
      </c>
      <c r="E593" s="7" t="s">
        <v>3218</v>
      </c>
      <c r="F593" s="7" t="s">
        <v>3219</v>
      </c>
      <c r="G593" s="7"/>
      <c r="H593" s="46" t="s">
        <v>249</v>
      </c>
      <c r="I593" s="7" t="s">
        <v>160</v>
      </c>
      <c r="J593" s="7" t="s">
        <v>148</v>
      </c>
      <c r="K593" s="7"/>
      <c r="L593" s="7"/>
      <c r="M593" s="7"/>
    </row>
    <row r="594" ht="15.75" customHeight="1">
      <c r="A594" s="7" t="s">
        <v>3220</v>
      </c>
      <c r="B594" s="45" t="s">
        <v>3221</v>
      </c>
      <c r="C594" s="7" t="s">
        <v>3222</v>
      </c>
      <c r="D594" s="7" t="s">
        <v>3223</v>
      </c>
      <c r="E594" s="7" t="s">
        <v>2382</v>
      </c>
      <c r="F594" s="7" t="s">
        <v>3219</v>
      </c>
      <c r="G594" s="7"/>
      <c r="H594" s="46" t="s">
        <v>249</v>
      </c>
      <c r="I594" s="7" t="s">
        <v>160</v>
      </c>
      <c r="J594" s="7" t="s">
        <v>148</v>
      </c>
      <c r="K594" s="7"/>
      <c r="L594" s="7"/>
      <c r="M594" s="7"/>
    </row>
    <row r="595" ht="15.75" customHeight="1">
      <c r="A595" s="7" t="s">
        <v>3224</v>
      </c>
      <c r="B595" s="45" t="s">
        <v>3225</v>
      </c>
      <c r="C595" s="7" t="s">
        <v>3216</v>
      </c>
      <c r="D595" s="7" t="s">
        <v>3217</v>
      </c>
      <c r="E595" s="7" t="s">
        <v>3218</v>
      </c>
      <c r="F595" s="7" t="s">
        <v>3219</v>
      </c>
      <c r="G595" s="7"/>
      <c r="H595" s="46" t="s">
        <v>249</v>
      </c>
      <c r="I595" s="7" t="s">
        <v>160</v>
      </c>
      <c r="J595" s="7" t="s">
        <v>148</v>
      </c>
      <c r="K595" s="7"/>
      <c r="L595" s="7"/>
      <c r="M595" s="7"/>
    </row>
    <row r="596" ht="15.75" customHeight="1">
      <c r="A596" s="7" t="s">
        <v>3226</v>
      </c>
      <c r="B596" s="45" t="s">
        <v>3227</v>
      </c>
      <c r="C596" s="7" t="s">
        <v>3228</v>
      </c>
      <c r="D596" s="7" t="s">
        <v>3229</v>
      </c>
      <c r="E596" s="7" t="s">
        <v>3230</v>
      </c>
      <c r="F596" s="7" t="s">
        <v>3231</v>
      </c>
      <c r="G596" s="7"/>
      <c r="H596" s="46" t="s">
        <v>249</v>
      </c>
      <c r="I596" s="7" t="s">
        <v>160</v>
      </c>
      <c r="J596" s="7" t="s">
        <v>148</v>
      </c>
      <c r="K596" s="7"/>
      <c r="L596" s="7"/>
      <c r="M596" s="7"/>
    </row>
    <row r="597" ht="15.75" customHeight="1">
      <c r="A597" s="7" t="s">
        <v>3232</v>
      </c>
      <c r="B597" s="45" t="s">
        <v>3233</v>
      </c>
      <c r="C597" s="7" t="s">
        <v>3234</v>
      </c>
      <c r="D597" s="7" t="s">
        <v>3235</v>
      </c>
      <c r="E597" s="7" t="s">
        <v>3236</v>
      </c>
      <c r="F597" s="7" t="s">
        <v>3237</v>
      </c>
      <c r="G597" s="7"/>
      <c r="H597" s="46" t="s">
        <v>249</v>
      </c>
      <c r="I597" s="7" t="s">
        <v>160</v>
      </c>
      <c r="J597" s="7" t="s">
        <v>148</v>
      </c>
      <c r="K597" s="7"/>
      <c r="L597" s="7"/>
      <c r="M597" s="7"/>
    </row>
    <row r="598" ht="15.75" customHeight="1">
      <c r="A598" s="7" t="s">
        <v>3238</v>
      </c>
      <c r="B598" s="45" t="s">
        <v>3239</v>
      </c>
      <c r="C598" s="7" t="s">
        <v>3240</v>
      </c>
      <c r="D598" s="7" t="s">
        <v>3241</v>
      </c>
      <c r="E598" s="7" t="s">
        <v>3242</v>
      </c>
      <c r="F598" s="7" t="s">
        <v>3243</v>
      </c>
      <c r="G598" s="7"/>
      <c r="H598" s="46" t="s">
        <v>249</v>
      </c>
      <c r="I598" s="7" t="s">
        <v>160</v>
      </c>
      <c r="J598" s="7" t="s">
        <v>148</v>
      </c>
      <c r="K598" s="7"/>
      <c r="L598" s="7"/>
      <c r="M598" s="7"/>
    </row>
    <row r="599" ht="15.75" customHeight="1">
      <c r="A599" s="7" t="s">
        <v>3244</v>
      </c>
      <c r="B599" s="45" t="s">
        <v>3245</v>
      </c>
      <c r="C599" s="7" t="s">
        <v>3246</v>
      </c>
      <c r="D599" s="7" t="s">
        <v>3247</v>
      </c>
      <c r="E599" s="7" t="s">
        <v>3248</v>
      </c>
      <c r="F599" s="7" t="s">
        <v>3249</v>
      </c>
      <c r="G599" s="7" t="s">
        <v>3250</v>
      </c>
      <c r="H599" s="46" t="s">
        <v>249</v>
      </c>
      <c r="I599" s="7" t="s">
        <v>160</v>
      </c>
      <c r="J599" s="7" t="s">
        <v>148</v>
      </c>
      <c r="K599" s="7"/>
      <c r="L599" s="7"/>
      <c r="M599" s="7"/>
    </row>
    <row r="600" ht="15.75" customHeight="1">
      <c r="A600" s="7" t="s">
        <v>3251</v>
      </c>
      <c r="B600" s="45" t="s">
        <v>3252</v>
      </c>
      <c r="C600" s="7" t="s">
        <v>3246</v>
      </c>
      <c r="D600" s="7" t="s">
        <v>3253</v>
      </c>
      <c r="E600" s="7" t="s">
        <v>3254</v>
      </c>
      <c r="F600" s="7" t="s">
        <v>3249</v>
      </c>
      <c r="G600" s="7"/>
      <c r="H600" s="46" t="s">
        <v>249</v>
      </c>
      <c r="I600" s="7" t="s">
        <v>160</v>
      </c>
      <c r="J600" s="7" t="s">
        <v>148</v>
      </c>
      <c r="K600" s="7"/>
      <c r="L600" s="7"/>
      <c r="M600" s="7"/>
    </row>
    <row r="601" ht="15.75" customHeight="1">
      <c r="A601" s="7" t="s">
        <v>3255</v>
      </c>
      <c r="B601" s="45" t="s">
        <v>3256</v>
      </c>
      <c r="C601" s="7" t="s">
        <v>3257</v>
      </c>
      <c r="D601" s="7" t="s">
        <v>3258</v>
      </c>
      <c r="E601" s="7" t="s">
        <v>3259</v>
      </c>
      <c r="F601" s="7" t="s">
        <v>3260</v>
      </c>
      <c r="G601" s="7"/>
      <c r="H601" s="46" t="s">
        <v>249</v>
      </c>
      <c r="I601" s="7" t="s">
        <v>160</v>
      </c>
      <c r="J601" s="7" t="s">
        <v>148</v>
      </c>
      <c r="K601" s="7"/>
      <c r="L601" s="7"/>
      <c r="M601" s="7"/>
    </row>
    <row r="602" ht="15.75" customHeight="1">
      <c r="A602" s="7" t="s">
        <v>3261</v>
      </c>
      <c r="B602" s="45" t="s">
        <v>3262</v>
      </c>
      <c r="C602" s="7" t="s">
        <v>3263</v>
      </c>
      <c r="D602" s="7" t="s">
        <v>3264</v>
      </c>
      <c r="E602" s="7" t="s">
        <v>3265</v>
      </c>
      <c r="F602" s="7" t="s">
        <v>1521</v>
      </c>
      <c r="G602" s="7"/>
      <c r="H602" s="46" t="s">
        <v>249</v>
      </c>
      <c r="I602" s="7" t="s">
        <v>160</v>
      </c>
      <c r="J602" s="7" t="s">
        <v>148</v>
      </c>
      <c r="K602" s="7"/>
      <c r="L602" s="7"/>
      <c r="M602" s="7"/>
    </row>
    <row r="603" ht="15.75" customHeight="1">
      <c r="A603" s="7" t="s">
        <v>3266</v>
      </c>
      <c r="B603" s="45" t="s">
        <v>3267</v>
      </c>
      <c r="C603" s="7" t="s">
        <v>3268</v>
      </c>
      <c r="D603" s="7" t="s">
        <v>3269</v>
      </c>
      <c r="E603" s="7" t="s">
        <v>3270</v>
      </c>
      <c r="F603" s="7" t="s">
        <v>1521</v>
      </c>
      <c r="G603" s="7"/>
      <c r="H603" s="46" t="s">
        <v>249</v>
      </c>
      <c r="I603" s="7" t="s">
        <v>160</v>
      </c>
      <c r="J603" s="7" t="s">
        <v>148</v>
      </c>
      <c r="K603" s="7"/>
      <c r="L603" s="7"/>
      <c r="M603" s="7"/>
    </row>
    <row r="604" ht="15.75" customHeight="1">
      <c r="A604" s="7" t="s">
        <v>3271</v>
      </c>
      <c r="B604" s="45" t="s">
        <v>3272</v>
      </c>
      <c r="C604" s="7" t="s">
        <v>1140</v>
      </c>
      <c r="D604" s="7" t="s">
        <v>1141</v>
      </c>
      <c r="E604" s="7" t="s">
        <v>1142</v>
      </c>
      <c r="F604" s="7" t="s">
        <v>1143</v>
      </c>
      <c r="G604" s="7"/>
      <c r="H604" s="46" t="s">
        <v>249</v>
      </c>
      <c r="I604" s="7" t="s">
        <v>160</v>
      </c>
      <c r="J604" s="7" t="s">
        <v>148</v>
      </c>
      <c r="K604" s="7"/>
      <c r="L604" s="7"/>
      <c r="M604" s="7"/>
    </row>
    <row r="605" ht="15.75" customHeight="1">
      <c r="A605" s="7" t="s">
        <v>3273</v>
      </c>
      <c r="B605" s="45" t="s">
        <v>3274</v>
      </c>
      <c r="C605" s="7" t="s">
        <v>3275</v>
      </c>
      <c r="D605" s="7" t="s">
        <v>3276</v>
      </c>
      <c r="E605" s="7" t="s">
        <v>3277</v>
      </c>
      <c r="F605" s="7" t="s">
        <v>3278</v>
      </c>
      <c r="G605" s="7"/>
      <c r="H605" s="46" t="s">
        <v>249</v>
      </c>
      <c r="I605" s="7" t="s">
        <v>160</v>
      </c>
      <c r="J605" s="7" t="s">
        <v>148</v>
      </c>
      <c r="K605" s="7"/>
      <c r="L605" s="7"/>
      <c r="M605" s="7"/>
    </row>
    <row r="606" ht="15.75" customHeight="1">
      <c r="A606" s="7" t="s">
        <v>3279</v>
      </c>
      <c r="B606" s="45" t="s">
        <v>3280</v>
      </c>
      <c r="C606" s="7" t="s">
        <v>3281</v>
      </c>
      <c r="D606" s="7" t="s">
        <v>3282</v>
      </c>
      <c r="E606" s="7" t="s">
        <v>3283</v>
      </c>
      <c r="F606" s="7" t="s">
        <v>3284</v>
      </c>
      <c r="G606" s="7"/>
      <c r="H606" s="46" t="s">
        <v>249</v>
      </c>
      <c r="I606" s="7" t="s">
        <v>160</v>
      </c>
      <c r="J606" s="7" t="s">
        <v>148</v>
      </c>
      <c r="K606" s="7"/>
      <c r="L606" s="7"/>
      <c r="M606" s="7"/>
    </row>
    <row r="607" ht="15.75" customHeight="1">
      <c r="A607" s="7" t="s">
        <v>3285</v>
      </c>
      <c r="B607" s="45" t="s">
        <v>3286</v>
      </c>
      <c r="C607" s="7" t="s">
        <v>3287</v>
      </c>
      <c r="D607" s="7" t="s">
        <v>3288</v>
      </c>
      <c r="E607" s="7" t="s">
        <v>3289</v>
      </c>
      <c r="F607" s="7" t="s">
        <v>3290</v>
      </c>
      <c r="G607" s="7"/>
      <c r="H607" s="46" t="s">
        <v>249</v>
      </c>
      <c r="I607" s="7" t="s">
        <v>160</v>
      </c>
      <c r="J607" s="7" t="s">
        <v>148</v>
      </c>
      <c r="K607" s="7"/>
      <c r="L607" s="7"/>
      <c r="M607" s="7"/>
    </row>
    <row r="608" ht="15.75" customHeight="1">
      <c r="A608" s="7" t="s">
        <v>3291</v>
      </c>
      <c r="B608" s="45" t="s">
        <v>3292</v>
      </c>
      <c r="C608" s="7" t="s">
        <v>3293</v>
      </c>
      <c r="D608" s="7" t="s">
        <v>3294</v>
      </c>
      <c r="E608" s="7" t="s">
        <v>3295</v>
      </c>
      <c r="F608" s="7" t="s">
        <v>3296</v>
      </c>
      <c r="G608" s="7"/>
      <c r="H608" s="46" t="s">
        <v>249</v>
      </c>
      <c r="I608" s="7" t="s">
        <v>160</v>
      </c>
      <c r="J608" s="7" t="s">
        <v>148</v>
      </c>
      <c r="K608" s="7"/>
      <c r="L608" s="7"/>
      <c r="M608" s="7"/>
    </row>
    <row r="609" ht="15.75" customHeight="1">
      <c r="A609" s="7" t="s">
        <v>3297</v>
      </c>
      <c r="B609" s="45" t="s">
        <v>3298</v>
      </c>
      <c r="C609" s="7" t="s">
        <v>3299</v>
      </c>
      <c r="D609" s="7" t="s">
        <v>3300</v>
      </c>
      <c r="E609" s="7" t="s">
        <v>3301</v>
      </c>
      <c r="F609" s="7" t="s">
        <v>1816</v>
      </c>
      <c r="G609" s="7"/>
      <c r="H609" s="46" t="s">
        <v>249</v>
      </c>
      <c r="I609" s="7" t="s">
        <v>160</v>
      </c>
      <c r="J609" s="7" t="s">
        <v>148</v>
      </c>
      <c r="K609" s="7"/>
      <c r="L609" s="7"/>
      <c r="M609" s="7"/>
    </row>
    <row r="610" ht="15.75" customHeight="1">
      <c r="A610" s="7" t="s">
        <v>3302</v>
      </c>
      <c r="B610" s="45" t="s">
        <v>3303</v>
      </c>
      <c r="C610" s="7" t="s">
        <v>3304</v>
      </c>
      <c r="D610" s="7" t="s">
        <v>3300</v>
      </c>
      <c r="E610" s="7" t="s">
        <v>3301</v>
      </c>
      <c r="F610" s="7" t="s">
        <v>1816</v>
      </c>
      <c r="G610" s="7"/>
      <c r="H610" s="46" t="s">
        <v>249</v>
      </c>
      <c r="I610" s="7" t="s">
        <v>160</v>
      </c>
      <c r="J610" s="7" t="s">
        <v>148</v>
      </c>
      <c r="K610" s="7"/>
      <c r="L610" s="7"/>
      <c r="M610" s="7"/>
    </row>
    <row r="611" ht="15.75" customHeight="1">
      <c r="A611" s="7" t="s">
        <v>3305</v>
      </c>
      <c r="B611" s="45" t="s">
        <v>3306</v>
      </c>
      <c r="C611" s="7" t="s">
        <v>3307</v>
      </c>
      <c r="D611" s="7" t="s">
        <v>3308</v>
      </c>
      <c r="E611" s="7" t="s">
        <v>3309</v>
      </c>
      <c r="F611" s="7" t="s">
        <v>3310</v>
      </c>
      <c r="G611" s="7"/>
      <c r="H611" s="46" t="s">
        <v>249</v>
      </c>
      <c r="I611" s="7" t="s">
        <v>160</v>
      </c>
      <c r="J611" s="7" t="s">
        <v>148</v>
      </c>
      <c r="K611" s="7"/>
      <c r="L611" s="7"/>
      <c r="M611" s="7"/>
    </row>
    <row r="612" ht="15.75" customHeight="1">
      <c r="A612" s="7" t="s">
        <v>3311</v>
      </c>
      <c r="B612" s="45" t="s">
        <v>3312</v>
      </c>
      <c r="C612" s="7" t="s">
        <v>3307</v>
      </c>
      <c r="D612" s="7" t="s">
        <v>3313</v>
      </c>
      <c r="E612" s="7" t="s">
        <v>3314</v>
      </c>
      <c r="F612" s="7" t="s">
        <v>3310</v>
      </c>
      <c r="G612" s="7"/>
      <c r="H612" s="46" t="s">
        <v>249</v>
      </c>
      <c r="I612" s="7" t="s">
        <v>160</v>
      </c>
      <c r="J612" s="7" t="s">
        <v>148</v>
      </c>
      <c r="K612" s="7"/>
      <c r="L612" s="7"/>
      <c r="M612" s="7"/>
    </row>
    <row r="613" ht="15.75" customHeight="1">
      <c r="A613" s="7" t="s">
        <v>3315</v>
      </c>
      <c r="B613" s="45" t="s">
        <v>3316</v>
      </c>
      <c r="C613" s="7" t="s">
        <v>3317</v>
      </c>
      <c r="D613" s="7" t="s">
        <v>3318</v>
      </c>
      <c r="E613" s="7" t="s">
        <v>3319</v>
      </c>
      <c r="F613" s="7" t="s">
        <v>3310</v>
      </c>
      <c r="G613" s="7"/>
      <c r="H613" s="46" t="s">
        <v>249</v>
      </c>
      <c r="I613" s="7" t="s">
        <v>160</v>
      </c>
      <c r="J613" s="7" t="s">
        <v>148</v>
      </c>
      <c r="K613" s="7"/>
      <c r="L613" s="7"/>
      <c r="M613" s="7"/>
    </row>
    <row r="614" ht="15.75" customHeight="1">
      <c r="A614" s="7" t="s">
        <v>3320</v>
      </c>
      <c r="B614" s="45" t="s">
        <v>3321</v>
      </c>
      <c r="C614" s="7" t="s">
        <v>3307</v>
      </c>
      <c r="D614" s="7" t="s">
        <v>3308</v>
      </c>
      <c r="E614" s="7" t="s">
        <v>3309</v>
      </c>
      <c r="F614" s="7" t="s">
        <v>3310</v>
      </c>
      <c r="G614" s="7"/>
      <c r="H614" s="46" t="s">
        <v>249</v>
      </c>
      <c r="I614" s="7" t="s">
        <v>160</v>
      </c>
      <c r="J614" s="7" t="s">
        <v>148</v>
      </c>
      <c r="K614" s="7"/>
      <c r="L614" s="7"/>
      <c r="M614" s="7"/>
    </row>
    <row r="615" ht="15.75" customHeight="1">
      <c r="A615" s="7" t="s">
        <v>3322</v>
      </c>
      <c r="B615" s="45" t="s">
        <v>3323</v>
      </c>
      <c r="C615" s="7" t="s">
        <v>3324</v>
      </c>
      <c r="D615" s="7" t="s">
        <v>3325</v>
      </c>
      <c r="E615" s="7" t="s">
        <v>3326</v>
      </c>
      <c r="F615" s="7" t="s">
        <v>3327</v>
      </c>
      <c r="G615" s="7"/>
      <c r="H615" s="46" t="s">
        <v>249</v>
      </c>
      <c r="I615" s="7" t="s">
        <v>160</v>
      </c>
      <c r="J615" s="7" t="s">
        <v>148</v>
      </c>
      <c r="K615" s="7"/>
      <c r="L615" s="7"/>
      <c r="M615" s="7"/>
    </row>
    <row r="616" ht="15.75" customHeight="1">
      <c r="A616" s="7" t="s">
        <v>3328</v>
      </c>
      <c r="B616" s="45" t="s">
        <v>3329</v>
      </c>
      <c r="C616" s="7" t="s">
        <v>3330</v>
      </c>
      <c r="D616" s="7" t="s">
        <v>3331</v>
      </c>
      <c r="E616" s="7" t="s">
        <v>3332</v>
      </c>
      <c r="F616" s="7" t="s">
        <v>3333</v>
      </c>
      <c r="G616" s="7"/>
      <c r="H616" s="46" t="s">
        <v>249</v>
      </c>
      <c r="I616" s="7" t="s">
        <v>160</v>
      </c>
      <c r="J616" s="7" t="s">
        <v>148</v>
      </c>
      <c r="K616" s="7"/>
      <c r="L616" s="7"/>
      <c r="M616" s="7"/>
    </row>
    <row r="617" ht="15.75" customHeight="1">
      <c r="A617" s="7" t="s">
        <v>3334</v>
      </c>
      <c r="B617" s="45" t="s">
        <v>3335</v>
      </c>
      <c r="C617" s="7" t="s">
        <v>3336</v>
      </c>
      <c r="D617" s="7" t="s">
        <v>3337</v>
      </c>
      <c r="E617" s="7" t="s">
        <v>3338</v>
      </c>
      <c r="F617" s="7" t="s">
        <v>3339</v>
      </c>
      <c r="G617" s="7"/>
      <c r="H617" s="46" t="s">
        <v>249</v>
      </c>
      <c r="I617" s="7" t="s">
        <v>160</v>
      </c>
      <c r="J617" s="7" t="s">
        <v>148</v>
      </c>
      <c r="K617" s="7"/>
      <c r="L617" s="7"/>
      <c r="M617" s="7"/>
    </row>
    <row r="618" ht="15.75" customHeight="1">
      <c r="A618" s="7" t="s">
        <v>3340</v>
      </c>
      <c r="B618" s="45" t="s">
        <v>3341</v>
      </c>
      <c r="C618" s="7" t="s">
        <v>3342</v>
      </c>
      <c r="D618" s="7" t="s">
        <v>3343</v>
      </c>
      <c r="E618" s="7" t="s">
        <v>3344</v>
      </c>
      <c r="F618" s="7" t="s">
        <v>3345</v>
      </c>
      <c r="G618" s="7"/>
      <c r="H618" s="46" t="s">
        <v>249</v>
      </c>
      <c r="I618" s="7" t="s">
        <v>160</v>
      </c>
      <c r="J618" s="7" t="s">
        <v>148</v>
      </c>
      <c r="K618" s="7"/>
      <c r="L618" s="7"/>
      <c r="M618" s="7"/>
    </row>
    <row r="619" ht="15.75" customHeight="1">
      <c r="A619" s="7" t="s">
        <v>3346</v>
      </c>
      <c r="B619" s="45" t="s">
        <v>3347</v>
      </c>
      <c r="C619" s="7" t="s">
        <v>3348</v>
      </c>
      <c r="D619" s="7" t="s">
        <v>3349</v>
      </c>
      <c r="E619" s="7"/>
      <c r="F619" s="7" t="s">
        <v>3350</v>
      </c>
      <c r="G619" s="7"/>
      <c r="H619" s="46" t="s">
        <v>249</v>
      </c>
      <c r="I619" s="7" t="s">
        <v>160</v>
      </c>
      <c r="J619" s="7" t="s">
        <v>148</v>
      </c>
      <c r="K619" s="7"/>
      <c r="L619" s="7"/>
      <c r="M619" s="7"/>
    </row>
    <row r="620" ht="15.75" customHeight="1">
      <c r="A620" s="7" t="s">
        <v>3351</v>
      </c>
      <c r="B620" s="45" t="s">
        <v>3352</v>
      </c>
      <c r="C620" s="7" t="s">
        <v>3353</v>
      </c>
      <c r="D620" s="7" t="s">
        <v>3354</v>
      </c>
      <c r="E620" s="7" t="s">
        <v>3355</v>
      </c>
      <c r="F620" s="7" t="s">
        <v>3356</v>
      </c>
      <c r="G620" s="7"/>
      <c r="H620" s="46" t="s">
        <v>249</v>
      </c>
      <c r="I620" s="7" t="s">
        <v>160</v>
      </c>
      <c r="J620" s="7" t="s">
        <v>148</v>
      </c>
      <c r="K620" s="7"/>
      <c r="L620" s="7"/>
      <c r="M620" s="7"/>
    </row>
    <row r="621" ht="15.75" customHeight="1">
      <c r="A621" s="7" t="s">
        <v>3357</v>
      </c>
      <c r="B621" s="45" t="s">
        <v>3358</v>
      </c>
      <c r="C621" s="7" t="s">
        <v>3359</v>
      </c>
      <c r="D621" s="7" t="s">
        <v>3360</v>
      </c>
      <c r="E621" s="7" t="s">
        <v>3361</v>
      </c>
      <c r="F621" s="7" t="s">
        <v>3362</v>
      </c>
      <c r="G621" s="7"/>
      <c r="H621" s="46" t="s">
        <v>249</v>
      </c>
      <c r="I621" s="7" t="s">
        <v>160</v>
      </c>
      <c r="J621" s="7" t="s">
        <v>148</v>
      </c>
      <c r="K621" s="7"/>
      <c r="L621" s="7"/>
      <c r="M621" s="7"/>
    </row>
    <row r="622" ht="15.75" customHeight="1">
      <c r="A622" s="7" t="s">
        <v>3363</v>
      </c>
      <c r="B622" s="45" t="s">
        <v>3364</v>
      </c>
      <c r="C622" s="7" t="s">
        <v>3365</v>
      </c>
      <c r="D622" s="7" t="s">
        <v>3366</v>
      </c>
      <c r="E622" s="7" t="s">
        <v>3367</v>
      </c>
      <c r="F622" s="7" t="s">
        <v>3368</v>
      </c>
      <c r="G622" s="7"/>
      <c r="H622" s="46" t="s">
        <v>249</v>
      </c>
      <c r="I622" s="7" t="s">
        <v>160</v>
      </c>
      <c r="J622" s="7" t="s">
        <v>148</v>
      </c>
      <c r="K622" s="7"/>
      <c r="L622" s="7"/>
      <c r="M622" s="7"/>
    </row>
    <row r="623" ht="15.75" customHeight="1">
      <c r="A623" s="7" t="s">
        <v>3369</v>
      </c>
      <c r="B623" s="45" t="s">
        <v>3370</v>
      </c>
      <c r="C623" s="7" t="s">
        <v>330</v>
      </c>
      <c r="D623" s="7" t="s">
        <v>3371</v>
      </c>
      <c r="E623" s="7" t="s">
        <v>338</v>
      </c>
      <c r="F623" s="7" t="s">
        <v>339</v>
      </c>
      <c r="G623" s="7"/>
      <c r="H623" s="46" t="s">
        <v>249</v>
      </c>
      <c r="I623" s="7" t="s">
        <v>160</v>
      </c>
      <c r="J623" s="7" t="s">
        <v>148</v>
      </c>
      <c r="K623" s="7"/>
      <c r="L623" s="7"/>
      <c r="M623" s="7"/>
    </row>
    <row r="624" ht="15.75" customHeight="1">
      <c r="A624" s="7" t="s">
        <v>3372</v>
      </c>
      <c r="B624" s="45" t="s">
        <v>3373</v>
      </c>
      <c r="C624" s="7" t="s">
        <v>330</v>
      </c>
      <c r="D624" s="7" t="s">
        <v>3374</v>
      </c>
      <c r="E624" s="7" t="s">
        <v>338</v>
      </c>
      <c r="F624" s="7" t="s">
        <v>339</v>
      </c>
      <c r="G624" s="7"/>
      <c r="H624" s="46" t="s">
        <v>249</v>
      </c>
      <c r="I624" s="7" t="s">
        <v>160</v>
      </c>
      <c r="J624" s="7" t="s">
        <v>148</v>
      </c>
      <c r="K624" s="7"/>
      <c r="L624" s="7"/>
      <c r="M624" s="7"/>
    </row>
    <row r="625" ht="15.75" customHeight="1">
      <c r="A625" s="7" t="s">
        <v>3375</v>
      </c>
      <c r="B625" s="45" t="s">
        <v>3376</v>
      </c>
      <c r="C625" s="7" t="s">
        <v>3377</v>
      </c>
      <c r="D625" s="7" t="s">
        <v>3378</v>
      </c>
      <c r="E625" s="7" t="s">
        <v>3379</v>
      </c>
      <c r="F625" s="7" t="s">
        <v>3380</v>
      </c>
      <c r="G625" s="7" t="s">
        <v>3381</v>
      </c>
      <c r="H625" s="46" t="s">
        <v>249</v>
      </c>
      <c r="I625" s="7" t="s">
        <v>160</v>
      </c>
      <c r="J625" s="7" t="s">
        <v>148</v>
      </c>
      <c r="K625" s="7"/>
      <c r="L625" s="7"/>
      <c r="M625" s="7"/>
    </row>
    <row r="626" ht="15.75" customHeight="1">
      <c r="A626" s="7" t="s">
        <v>3382</v>
      </c>
      <c r="B626" s="45" t="s">
        <v>3383</v>
      </c>
      <c r="C626" s="7" t="s">
        <v>3384</v>
      </c>
      <c r="D626" s="7" t="s">
        <v>3385</v>
      </c>
      <c r="E626" s="7" t="s">
        <v>3386</v>
      </c>
      <c r="F626" s="7" t="s">
        <v>3387</v>
      </c>
      <c r="G626" s="7" t="s">
        <v>3388</v>
      </c>
      <c r="H626" s="46" t="s">
        <v>249</v>
      </c>
      <c r="I626" s="7" t="s">
        <v>160</v>
      </c>
      <c r="J626" s="7" t="s">
        <v>148</v>
      </c>
      <c r="K626" s="7"/>
      <c r="L626" s="7"/>
      <c r="M626" s="7"/>
    </row>
    <row r="627" ht="15.75" customHeight="1">
      <c r="A627" s="7" t="s">
        <v>3389</v>
      </c>
      <c r="B627" s="45" t="s">
        <v>3390</v>
      </c>
      <c r="C627" s="7" t="s">
        <v>3391</v>
      </c>
      <c r="D627" s="7" t="s">
        <v>3392</v>
      </c>
      <c r="E627" s="7" t="s">
        <v>3386</v>
      </c>
      <c r="F627" s="7" t="s">
        <v>3393</v>
      </c>
      <c r="G627" s="7"/>
      <c r="H627" s="46" t="s">
        <v>249</v>
      </c>
      <c r="I627" s="7" t="s">
        <v>160</v>
      </c>
      <c r="J627" s="7" t="s">
        <v>148</v>
      </c>
      <c r="K627" s="7"/>
      <c r="L627" s="7"/>
      <c r="M627" s="7"/>
    </row>
    <row r="628" ht="15.75" customHeight="1">
      <c r="A628" s="7" t="s">
        <v>3394</v>
      </c>
      <c r="B628" s="45" t="s">
        <v>3395</v>
      </c>
      <c r="C628" s="7" t="s">
        <v>3396</v>
      </c>
      <c r="D628" s="7" t="s">
        <v>3397</v>
      </c>
      <c r="E628" s="7" t="s">
        <v>3398</v>
      </c>
      <c r="F628" s="7" t="s">
        <v>3399</v>
      </c>
      <c r="G628" s="7"/>
      <c r="H628" s="46" t="s">
        <v>249</v>
      </c>
      <c r="I628" s="7" t="s">
        <v>160</v>
      </c>
      <c r="J628" s="7" t="s">
        <v>148</v>
      </c>
      <c r="K628" s="7"/>
      <c r="L628" s="7"/>
      <c r="M628" s="7"/>
    </row>
    <row r="629" ht="15.75" customHeight="1">
      <c r="A629" s="7" t="s">
        <v>3400</v>
      </c>
      <c r="B629" s="45" t="s">
        <v>3401</v>
      </c>
      <c r="C629" s="7" t="s">
        <v>3402</v>
      </c>
      <c r="D629" s="7" t="s">
        <v>3403</v>
      </c>
      <c r="E629" s="7" t="s">
        <v>1924</v>
      </c>
      <c r="F629" s="7" t="s">
        <v>3399</v>
      </c>
      <c r="G629" s="7"/>
      <c r="H629" s="46" t="s">
        <v>249</v>
      </c>
      <c r="I629" s="7" t="s">
        <v>160</v>
      </c>
      <c r="J629" s="7" t="s">
        <v>148</v>
      </c>
      <c r="K629" s="7"/>
      <c r="L629" s="7"/>
      <c r="M629" s="7"/>
    </row>
    <row r="630" ht="15.75" customHeight="1">
      <c r="A630" s="7" t="s">
        <v>3404</v>
      </c>
      <c r="B630" s="45" t="s">
        <v>3405</v>
      </c>
      <c r="C630" s="7" t="s">
        <v>3402</v>
      </c>
      <c r="D630" s="7" t="s">
        <v>3406</v>
      </c>
      <c r="E630" s="7" t="s">
        <v>3407</v>
      </c>
      <c r="F630" s="7" t="s">
        <v>3399</v>
      </c>
      <c r="G630" s="7"/>
      <c r="H630" s="46" t="s">
        <v>249</v>
      </c>
      <c r="I630" s="7" t="s">
        <v>160</v>
      </c>
      <c r="J630" s="7" t="s">
        <v>148</v>
      </c>
      <c r="K630" s="7"/>
      <c r="L630" s="7"/>
      <c r="M630" s="7"/>
    </row>
    <row r="631" ht="15.75" customHeight="1">
      <c r="A631" s="7" t="s">
        <v>3408</v>
      </c>
      <c r="B631" s="45" t="s">
        <v>3409</v>
      </c>
      <c r="C631" s="7" t="s">
        <v>3402</v>
      </c>
      <c r="D631" s="7" t="s">
        <v>3410</v>
      </c>
      <c r="E631" s="7" t="s">
        <v>3407</v>
      </c>
      <c r="F631" s="7" t="s">
        <v>3399</v>
      </c>
      <c r="G631" s="7"/>
      <c r="H631" s="46" t="s">
        <v>249</v>
      </c>
      <c r="I631" s="7" t="s">
        <v>160</v>
      </c>
      <c r="J631" s="7" t="s">
        <v>148</v>
      </c>
      <c r="K631" s="7"/>
      <c r="L631" s="7"/>
      <c r="M631" s="7"/>
    </row>
    <row r="632" ht="15.75" customHeight="1">
      <c r="A632" s="7" t="s">
        <v>3411</v>
      </c>
      <c r="B632" s="45" t="s">
        <v>3412</v>
      </c>
      <c r="C632" s="7" t="s">
        <v>3402</v>
      </c>
      <c r="D632" s="7" t="s">
        <v>3413</v>
      </c>
      <c r="E632" s="7" t="s">
        <v>3407</v>
      </c>
      <c r="F632" s="7" t="s">
        <v>3399</v>
      </c>
      <c r="G632" s="7"/>
      <c r="H632" s="46" t="s">
        <v>249</v>
      </c>
      <c r="I632" s="7" t="s">
        <v>160</v>
      </c>
      <c r="J632" s="7" t="s">
        <v>148</v>
      </c>
      <c r="K632" s="7"/>
      <c r="L632" s="7"/>
      <c r="M632" s="7"/>
    </row>
    <row r="633" ht="15.75" customHeight="1">
      <c r="A633" s="7" t="s">
        <v>3414</v>
      </c>
      <c r="B633" s="45" t="s">
        <v>3415</v>
      </c>
      <c r="C633" s="7" t="s">
        <v>3402</v>
      </c>
      <c r="D633" s="7" t="s">
        <v>3416</v>
      </c>
      <c r="E633" s="7" t="s">
        <v>3417</v>
      </c>
      <c r="F633" s="7" t="s">
        <v>3399</v>
      </c>
      <c r="G633" s="7"/>
      <c r="H633" s="46" t="s">
        <v>249</v>
      </c>
      <c r="I633" s="7" t="s">
        <v>160</v>
      </c>
      <c r="J633" s="7" t="s">
        <v>148</v>
      </c>
      <c r="K633" s="7"/>
      <c r="L633" s="7"/>
      <c r="M633" s="7"/>
    </row>
    <row r="634" ht="15.75" customHeight="1">
      <c r="A634" s="7" t="s">
        <v>3418</v>
      </c>
      <c r="B634" s="45" t="s">
        <v>3419</v>
      </c>
      <c r="C634" s="7" t="s">
        <v>3402</v>
      </c>
      <c r="D634" s="7" t="s">
        <v>3420</v>
      </c>
      <c r="E634" s="7" t="s">
        <v>3407</v>
      </c>
      <c r="F634" s="7" t="s">
        <v>3399</v>
      </c>
      <c r="G634" s="7"/>
      <c r="H634" s="46" t="s">
        <v>249</v>
      </c>
      <c r="I634" s="7" t="s">
        <v>160</v>
      </c>
      <c r="J634" s="7" t="s">
        <v>148</v>
      </c>
      <c r="K634" s="7"/>
      <c r="L634" s="7"/>
      <c r="M634" s="7"/>
    </row>
    <row r="635" ht="15.75" customHeight="1">
      <c r="A635" s="7" t="s">
        <v>3421</v>
      </c>
      <c r="B635" s="45" t="s">
        <v>3422</v>
      </c>
      <c r="C635" s="7" t="s">
        <v>3423</v>
      </c>
      <c r="D635" s="7" t="s">
        <v>3424</v>
      </c>
      <c r="E635" s="7" t="s">
        <v>3425</v>
      </c>
      <c r="F635" s="7" t="s">
        <v>3426</v>
      </c>
      <c r="G635" s="7"/>
      <c r="H635" s="46" t="s">
        <v>249</v>
      </c>
      <c r="I635" s="7" t="s">
        <v>160</v>
      </c>
      <c r="J635" s="7" t="s">
        <v>148</v>
      </c>
      <c r="K635" s="7"/>
      <c r="L635" s="7"/>
      <c r="M635" s="7"/>
    </row>
    <row r="636" ht="15.75" customHeight="1">
      <c r="A636" s="7" t="s">
        <v>3427</v>
      </c>
      <c r="B636" s="45" t="s">
        <v>3428</v>
      </c>
      <c r="C636" s="7" t="s">
        <v>3396</v>
      </c>
      <c r="D636" s="7" t="s">
        <v>3429</v>
      </c>
      <c r="E636" s="7" t="s">
        <v>3417</v>
      </c>
      <c r="F636" s="7" t="s">
        <v>3399</v>
      </c>
      <c r="G636" s="7"/>
      <c r="H636" s="46" t="s">
        <v>249</v>
      </c>
      <c r="I636" s="7" t="s">
        <v>160</v>
      </c>
      <c r="J636" s="7" t="s">
        <v>148</v>
      </c>
      <c r="K636" s="7"/>
      <c r="L636" s="7"/>
      <c r="M636" s="7"/>
    </row>
    <row r="637" ht="15.75" customHeight="1">
      <c r="A637" s="7" t="s">
        <v>3430</v>
      </c>
      <c r="B637" s="45" t="s">
        <v>3431</v>
      </c>
      <c r="C637" s="7" t="s">
        <v>3432</v>
      </c>
      <c r="D637" s="7" t="s">
        <v>3433</v>
      </c>
      <c r="E637" s="7" t="s">
        <v>3434</v>
      </c>
      <c r="F637" s="7" t="s">
        <v>3435</v>
      </c>
      <c r="G637" s="7"/>
      <c r="H637" s="46" t="s">
        <v>249</v>
      </c>
      <c r="I637" s="7" t="s">
        <v>160</v>
      </c>
      <c r="J637" s="7" t="s">
        <v>148</v>
      </c>
      <c r="K637" s="7"/>
      <c r="L637" s="7"/>
      <c r="M637" s="7"/>
    </row>
    <row r="638" ht="15.75" customHeight="1">
      <c r="A638" s="7" t="s">
        <v>3436</v>
      </c>
      <c r="B638" s="45" t="s">
        <v>3437</v>
      </c>
      <c r="C638" s="7" t="s">
        <v>3438</v>
      </c>
      <c r="D638" s="7" t="s">
        <v>3439</v>
      </c>
      <c r="E638" s="7" t="s">
        <v>3440</v>
      </c>
      <c r="F638" s="7" t="s">
        <v>3441</v>
      </c>
      <c r="G638" s="7"/>
      <c r="H638" s="46" t="s">
        <v>249</v>
      </c>
      <c r="I638" s="7" t="s">
        <v>160</v>
      </c>
      <c r="J638" s="7" t="s">
        <v>148</v>
      </c>
      <c r="K638" s="7"/>
      <c r="L638" s="7"/>
      <c r="M638" s="7"/>
    </row>
    <row r="639" ht="15.75" customHeight="1">
      <c r="A639" s="7" t="s">
        <v>3442</v>
      </c>
      <c r="B639" s="45" t="s">
        <v>3443</v>
      </c>
      <c r="C639" s="7" t="s">
        <v>3444</v>
      </c>
      <c r="D639" s="7" t="s">
        <v>3445</v>
      </c>
      <c r="E639" s="7" t="s">
        <v>3417</v>
      </c>
      <c r="F639" s="7" t="s">
        <v>3399</v>
      </c>
      <c r="G639" s="7"/>
      <c r="H639" s="46" t="s">
        <v>249</v>
      </c>
      <c r="I639" s="7" t="s">
        <v>160</v>
      </c>
      <c r="J639" s="7" t="s">
        <v>148</v>
      </c>
      <c r="K639" s="7"/>
      <c r="L639" s="7"/>
      <c r="M639" s="7"/>
    </row>
    <row r="640" ht="15.75" customHeight="1">
      <c r="A640" s="7" t="s">
        <v>3446</v>
      </c>
      <c r="B640" s="45" t="s">
        <v>3447</v>
      </c>
      <c r="C640" s="7" t="s">
        <v>3448</v>
      </c>
      <c r="D640" s="7" t="s">
        <v>3449</v>
      </c>
      <c r="E640" s="7" t="s">
        <v>3450</v>
      </c>
      <c r="F640" s="7" t="s">
        <v>3451</v>
      </c>
      <c r="G640" s="7"/>
      <c r="H640" s="46" t="s">
        <v>249</v>
      </c>
      <c r="I640" s="7" t="s">
        <v>160</v>
      </c>
      <c r="J640" s="7" t="s">
        <v>148</v>
      </c>
      <c r="K640" s="7"/>
      <c r="L640" s="7"/>
      <c r="M640" s="7"/>
    </row>
    <row r="641" ht="15.75" customHeight="1">
      <c r="A641" s="7" t="s">
        <v>3452</v>
      </c>
      <c r="B641" s="45" t="s">
        <v>3453</v>
      </c>
      <c r="C641" s="7" t="s">
        <v>3454</v>
      </c>
      <c r="D641" s="7" t="s">
        <v>3455</v>
      </c>
      <c r="E641" s="7" t="s">
        <v>3456</v>
      </c>
      <c r="F641" s="7" t="s">
        <v>3457</v>
      </c>
      <c r="G641" s="7"/>
      <c r="H641" s="46" t="s">
        <v>249</v>
      </c>
      <c r="I641" s="7" t="s">
        <v>160</v>
      </c>
      <c r="J641" s="7" t="s">
        <v>148</v>
      </c>
      <c r="K641" s="7"/>
      <c r="L641" s="7"/>
      <c r="M641" s="7"/>
    </row>
    <row r="642" ht="15.75" customHeight="1">
      <c r="A642" s="7" t="s">
        <v>3458</v>
      </c>
      <c r="B642" s="45" t="s">
        <v>3459</v>
      </c>
      <c r="C642" s="7" t="s">
        <v>3454</v>
      </c>
      <c r="D642" s="7" t="s">
        <v>3460</v>
      </c>
      <c r="E642" s="7" t="s">
        <v>3461</v>
      </c>
      <c r="F642" s="7" t="s">
        <v>3462</v>
      </c>
      <c r="G642" s="7"/>
      <c r="H642" s="46" t="s">
        <v>249</v>
      </c>
      <c r="I642" s="7" t="s">
        <v>160</v>
      </c>
      <c r="J642" s="7" t="s">
        <v>148</v>
      </c>
      <c r="K642" s="7"/>
      <c r="L642" s="7"/>
      <c r="M642" s="7"/>
    </row>
    <row r="643" ht="15.75" customHeight="1">
      <c r="A643" s="7" t="s">
        <v>3463</v>
      </c>
      <c r="B643" s="45" t="s">
        <v>3464</v>
      </c>
      <c r="C643" s="7" t="s">
        <v>3465</v>
      </c>
      <c r="D643" s="7" t="s">
        <v>3466</v>
      </c>
      <c r="E643" s="7" t="s">
        <v>3467</v>
      </c>
      <c r="F643" s="7" t="s">
        <v>3468</v>
      </c>
      <c r="G643" s="7"/>
      <c r="H643" s="46" t="s">
        <v>249</v>
      </c>
      <c r="I643" s="7" t="s">
        <v>160</v>
      </c>
      <c r="J643" s="7" t="s">
        <v>148</v>
      </c>
      <c r="K643" s="7"/>
      <c r="L643" s="7"/>
      <c r="M643" s="7"/>
    </row>
    <row r="644" ht="15.75" customHeight="1">
      <c r="A644" s="7" t="s">
        <v>3469</v>
      </c>
      <c r="B644" s="45" t="s">
        <v>3470</v>
      </c>
      <c r="C644" s="7" t="s">
        <v>3471</v>
      </c>
      <c r="D644" s="7" t="s">
        <v>3472</v>
      </c>
      <c r="E644" s="7" t="s">
        <v>3473</v>
      </c>
      <c r="F644" s="7" t="s">
        <v>3474</v>
      </c>
      <c r="G644" s="7"/>
      <c r="H644" s="46" t="s">
        <v>249</v>
      </c>
      <c r="I644" s="7" t="s">
        <v>160</v>
      </c>
      <c r="J644" s="7" t="s">
        <v>148</v>
      </c>
      <c r="K644" s="7"/>
      <c r="L644" s="7"/>
      <c r="M644" s="7"/>
    </row>
    <row r="645" ht="15.75" customHeight="1">
      <c r="A645" s="7" t="s">
        <v>3475</v>
      </c>
      <c r="B645" s="45" t="s">
        <v>3476</v>
      </c>
      <c r="C645" s="7" t="s">
        <v>3477</v>
      </c>
      <c r="D645" s="7" t="s">
        <v>3478</v>
      </c>
      <c r="E645" s="7" t="s">
        <v>3479</v>
      </c>
      <c r="F645" s="7" t="s">
        <v>3356</v>
      </c>
      <c r="G645" s="7"/>
      <c r="H645" s="46" t="s">
        <v>249</v>
      </c>
      <c r="I645" s="7" t="s">
        <v>160</v>
      </c>
      <c r="J645" s="7" t="s">
        <v>148</v>
      </c>
      <c r="K645" s="7"/>
      <c r="L645" s="7"/>
      <c r="M645" s="7"/>
    </row>
    <row r="646" ht="15.75" customHeight="1">
      <c r="A646" s="7" t="s">
        <v>3480</v>
      </c>
      <c r="B646" s="45" t="s">
        <v>3481</v>
      </c>
      <c r="C646" s="7" t="s">
        <v>3482</v>
      </c>
      <c r="D646" s="7" t="s">
        <v>3483</v>
      </c>
      <c r="E646" s="7" t="s">
        <v>3484</v>
      </c>
      <c r="F646" s="7" t="s">
        <v>1521</v>
      </c>
      <c r="G646" s="7"/>
      <c r="H646" s="46" t="s">
        <v>249</v>
      </c>
      <c r="I646" s="7" t="s">
        <v>160</v>
      </c>
      <c r="J646" s="7" t="s">
        <v>148</v>
      </c>
      <c r="K646" s="7"/>
      <c r="L646" s="7"/>
      <c r="M646" s="7"/>
    </row>
    <row r="647" ht="15.75" customHeight="1">
      <c r="A647" s="7" t="s">
        <v>3485</v>
      </c>
      <c r="B647" s="45" t="s">
        <v>3486</v>
      </c>
      <c r="C647" s="7" t="s">
        <v>3487</v>
      </c>
      <c r="D647" s="7" t="s">
        <v>3488</v>
      </c>
      <c r="E647" s="7" t="s">
        <v>3489</v>
      </c>
      <c r="F647" s="7" t="s">
        <v>3490</v>
      </c>
      <c r="G647" s="7"/>
      <c r="H647" s="46" t="s">
        <v>249</v>
      </c>
      <c r="I647" s="7" t="s">
        <v>160</v>
      </c>
      <c r="J647" s="7" t="s">
        <v>148</v>
      </c>
      <c r="K647" s="7"/>
      <c r="L647" s="7"/>
      <c r="M647" s="7"/>
    </row>
    <row r="648" ht="15.75" customHeight="1">
      <c r="A648" s="7" t="s">
        <v>3491</v>
      </c>
      <c r="B648" s="45" t="s">
        <v>3492</v>
      </c>
      <c r="C648" s="7" t="s">
        <v>3493</v>
      </c>
      <c r="D648" s="7" t="s">
        <v>3494</v>
      </c>
      <c r="E648" s="7" t="s">
        <v>3495</v>
      </c>
      <c r="F648" s="7" t="s">
        <v>3496</v>
      </c>
      <c r="G648" s="7"/>
      <c r="H648" s="46" t="s">
        <v>249</v>
      </c>
      <c r="I648" s="7" t="s">
        <v>160</v>
      </c>
      <c r="J648" s="7" t="s">
        <v>148</v>
      </c>
      <c r="K648" s="7"/>
      <c r="L648" s="7"/>
      <c r="M648" s="7"/>
    </row>
    <row r="649" ht="15.75" customHeight="1">
      <c r="A649" s="7" t="s">
        <v>3497</v>
      </c>
      <c r="B649" s="45" t="s">
        <v>3498</v>
      </c>
      <c r="C649" s="7" t="s">
        <v>3499</v>
      </c>
      <c r="D649" s="7" t="s">
        <v>3500</v>
      </c>
      <c r="E649" s="7" t="s">
        <v>3501</v>
      </c>
      <c r="F649" s="7" t="s">
        <v>3502</v>
      </c>
      <c r="G649" s="7"/>
      <c r="H649" s="46" t="s">
        <v>249</v>
      </c>
      <c r="I649" s="7" t="s">
        <v>160</v>
      </c>
      <c r="J649" s="7" t="s">
        <v>148</v>
      </c>
      <c r="K649" s="7"/>
      <c r="L649" s="7"/>
      <c r="M649" s="7"/>
    </row>
    <row r="650" ht="15.75" customHeight="1">
      <c r="A650" s="7" t="s">
        <v>3503</v>
      </c>
      <c r="B650" s="45" t="s">
        <v>3504</v>
      </c>
      <c r="C650" s="7" t="s">
        <v>3505</v>
      </c>
      <c r="D650" s="7" t="s">
        <v>3506</v>
      </c>
      <c r="E650" s="7" t="s">
        <v>3507</v>
      </c>
      <c r="F650" s="7" t="s">
        <v>3508</v>
      </c>
      <c r="G650" s="7"/>
      <c r="H650" s="46" t="s">
        <v>249</v>
      </c>
      <c r="I650" s="7" t="s">
        <v>160</v>
      </c>
      <c r="J650" s="7" t="s">
        <v>148</v>
      </c>
      <c r="K650" s="7"/>
      <c r="L650" s="7"/>
      <c r="M650" s="7"/>
    </row>
    <row r="651" ht="15.75" customHeight="1">
      <c r="A651" s="7" t="s">
        <v>3509</v>
      </c>
      <c r="B651" s="45" t="s">
        <v>3510</v>
      </c>
      <c r="C651" s="7" t="s">
        <v>3511</v>
      </c>
      <c r="D651" s="7" t="s">
        <v>3512</v>
      </c>
      <c r="E651" s="7" t="s">
        <v>3513</v>
      </c>
      <c r="F651" s="7" t="s">
        <v>3514</v>
      </c>
      <c r="G651" s="7" t="s">
        <v>3515</v>
      </c>
      <c r="H651" s="46" t="s">
        <v>249</v>
      </c>
      <c r="I651" s="7" t="s">
        <v>160</v>
      </c>
      <c r="J651" s="7" t="s">
        <v>148</v>
      </c>
      <c r="K651" s="7"/>
      <c r="L651" s="7"/>
      <c r="M651" s="7"/>
    </row>
    <row r="652" ht="15.75" customHeight="1">
      <c r="A652" s="7" t="s">
        <v>3516</v>
      </c>
      <c r="B652" s="45" t="s">
        <v>3517</v>
      </c>
      <c r="C652" s="7" t="s">
        <v>3518</v>
      </c>
      <c r="D652" s="7" t="s">
        <v>3519</v>
      </c>
      <c r="E652" s="7" t="s">
        <v>3520</v>
      </c>
      <c r="F652" s="7" t="s">
        <v>3521</v>
      </c>
      <c r="G652" s="7"/>
      <c r="H652" s="46" t="s">
        <v>249</v>
      </c>
      <c r="I652" s="7" t="s">
        <v>160</v>
      </c>
      <c r="J652" s="7" t="s">
        <v>148</v>
      </c>
      <c r="K652" s="7"/>
      <c r="L652" s="7"/>
      <c r="M652" s="7"/>
    </row>
    <row r="653" ht="15.75" customHeight="1">
      <c r="A653" s="7" t="s">
        <v>3522</v>
      </c>
      <c r="B653" s="45" t="s">
        <v>3523</v>
      </c>
      <c r="C653" s="7" t="s">
        <v>3524</v>
      </c>
      <c r="D653" s="7" t="s">
        <v>3525</v>
      </c>
      <c r="E653" s="7" t="s">
        <v>3526</v>
      </c>
      <c r="F653" s="7" t="s">
        <v>3527</v>
      </c>
      <c r="G653" s="7"/>
      <c r="H653" s="46" t="s">
        <v>249</v>
      </c>
      <c r="I653" s="7" t="s">
        <v>160</v>
      </c>
      <c r="J653" s="7" t="s">
        <v>148</v>
      </c>
      <c r="K653" s="7"/>
      <c r="L653" s="7"/>
      <c r="M653" s="7"/>
    </row>
    <row r="654" ht="15.75" customHeight="1">
      <c r="A654" s="7" t="s">
        <v>3528</v>
      </c>
      <c r="B654" s="45" t="s">
        <v>3529</v>
      </c>
      <c r="C654" s="7" t="s">
        <v>3530</v>
      </c>
      <c r="D654" s="7" t="s">
        <v>3531</v>
      </c>
      <c r="E654" s="7" t="s">
        <v>3532</v>
      </c>
      <c r="F654" s="7" t="s">
        <v>3533</v>
      </c>
      <c r="G654" s="7"/>
      <c r="H654" s="46" t="s">
        <v>249</v>
      </c>
      <c r="I654" s="7" t="s">
        <v>160</v>
      </c>
      <c r="J654" s="7" t="s">
        <v>148</v>
      </c>
      <c r="K654" s="7"/>
      <c r="L654" s="7"/>
      <c r="M654" s="7"/>
    </row>
    <row r="655" ht="15.75" customHeight="1">
      <c r="A655" s="7" t="s">
        <v>3534</v>
      </c>
      <c r="B655" s="45" t="s">
        <v>3535</v>
      </c>
      <c r="C655" s="7" t="s">
        <v>3536</v>
      </c>
      <c r="D655" s="7" t="s">
        <v>3537</v>
      </c>
      <c r="E655" s="7" t="s">
        <v>3538</v>
      </c>
      <c r="F655" s="7" t="s">
        <v>3539</v>
      </c>
      <c r="G655" s="7" t="s">
        <v>3540</v>
      </c>
      <c r="H655" s="46" t="s">
        <v>249</v>
      </c>
      <c r="I655" s="7" t="s">
        <v>160</v>
      </c>
      <c r="J655" s="7" t="s">
        <v>148</v>
      </c>
      <c r="K655" s="7"/>
      <c r="L655" s="7"/>
      <c r="M655" s="7"/>
    </row>
    <row r="656" ht="15.75" customHeight="1">
      <c r="A656" s="7" t="s">
        <v>3541</v>
      </c>
      <c r="B656" s="45" t="s">
        <v>3542</v>
      </c>
      <c r="C656" s="7" t="s">
        <v>3543</v>
      </c>
      <c r="D656" s="7" t="s">
        <v>3544</v>
      </c>
      <c r="E656" s="7" t="s">
        <v>3545</v>
      </c>
      <c r="F656" s="7" t="s">
        <v>3546</v>
      </c>
      <c r="G656" s="7"/>
      <c r="H656" s="46" t="s">
        <v>249</v>
      </c>
      <c r="I656" s="7" t="s">
        <v>160</v>
      </c>
      <c r="J656" s="7" t="s">
        <v>148</v>
      </c>
      <c r="K656" s="7"/>
      <c r="L656" s="7"/>
      <c r="M656" s="7"/>
    </row>
    <row r="657" ht="15.75" customHeight="1">
      <c r="A657" s="7" t="s">
        <v>3547</v>
      </c>
      <c r="B657" s="45" t="s">
        <v>3548</v>
      </c>
      <c r="C657" s="7" t="s">
        <v>3549</v>
      </c>
      <c r="D657" s="7" t="s">
        <v>3550</v>
      </c>
      <c r="E657" s="7" t="s">
        <v>3551</v>
      </c>
      <c r="F657" s="7" t="s">
        <v>3552</v>
      </c>
      <c r="G657" s="7"/>
      <c r="H657" s="46" t="s">
        <v>249</v>
      </c>
      <c r="I657" s="7" t="s">
        <v>160</v>
      </c>
      <c r="J657" s="7" t="s">
        <v>148</v>
      </c>
      <c r="K657" s="7"/>
      <c r="L657" s="7"/>
      <c r="M657" s="7"/>
    </row>
    <row r="658" ht="15.75" customHeight="1">
      <c r="A658" s="7" t="s">
        <v>3553</v>
      </c>
      <c r="B658" s="45" t="s">
        <v>3554</v>
      </c>
      <c r="C658" s="7" t="s">
        <v>3555</v>
      </c>
      <c r="D658" s="7" t="s">
        <v>3556</v>
      </c>
      <c r="E658" s="7" t="s">
        <v>3557</v>
      </c>
      <c r="F658" s="7" t="s">
        <v>3558</v>
      </c>
      <c r="G658" s="7"/>
      <c r="H658" s="46" t="s">
        <v>249</v>
      </c>
      <c r="I658" s="7" t="s">
        <v>160</v>
      </c>
      <c r="J658" s="7" t="s">
        <v>148</v>
      </c>
      <c r="K658" s="7"/>
      <c r="L658" s="7"/>
      <c r="M658" s="7"/>
    </row>
    <row r="659" ht="15.75" customHeight="1">
      <c r="A659" s="7" t="s">
        <v>3559</v>
      </c>
      <c r="B659" s="45" t="s">
        <v>3560</v>
      </c>
      <c r="C659" s="7" t="s">
        <v>3561</v>
      </c>
      <c r="D659" s="7" t="s">
        <v>3562</v>
      </c>
      <c r="E659" s="7" t="s">
        <v>3563</v>
      </c>
      <c r="F659" s="7" t="s">
        <v>3564</v>
      </c>
      <c r="G659" s="7"/>
      <c r="H659" s="46" t="s">
        <v>249</v>
      </c>
      <c r="I659" s="7" t="s">
        <v>160</v>
      </c>
      <c r="J659" s="7" t="s">
        <v>148</v>
      </c>
      <c r="K659" s="7"/>
      <c r="L659" s="7"/>
      <c r="M659" s="7"/>
    </row>
    <row r="660" ht="15.75" customHeight="1">
      <c r="A660" s="7" t="s">
        <v>3565</v>
      </c>
      <c r="B660" s="45" t="s">
        <v>3566</v>
      </c>
      <c r="C660" s="7" t="s">
        <v>3561</v>
      </c>
      <c r="D660" s="7" t="s">
        <v>3567</v>
      </c>
      <c r="E660" s="7" t="s">
        <v>3568</v>
      </c>
      <c r="F660" s="7" t="s">
        <v>3564</v>
      </c>
      <c r="G660" s="7"/>
      <c r="H660" s="46" t="s">
        <v>249</v>
      </c>
      <c r="I660" s="7" t="s">
        <v>160</v>
      </c>
      <c r="J660" s="7" t="s">
        <v>148</v>
      </c>
      <c r="K660" s="7"/>
      <c r="L660" s="7"/>
      <c r="M660" s="7"/>
    </row>
    <row r="661" ht="15.75" customHeight="1">
      <c r="A661" s="7" t="s">
        <v>3569</v>
      </c>
      <c r="B661" s="45" t="s">
        <v>3570</v>
      </c>
      <c r="C661" s="7" t="s">
        <v>3571</v>
      </c>
      <c r="D661" s="7" t="s">
        <v>3562</v>
      </c>
      <c r="E661" s="7" t="s">
        <v>3572</v>
      </c>
      <c r="F661" s="7" t="s">
        <v>3564</v>
      </c>
      <c r="G661" s="7"/>
      <c r="H661" s="46" t="s">
        <v>249</v>
      </c>
      <c r="I661" s="7" t="s">
        <v>160</v>
      </c>
      <c r="J661" s="7" t="s">
        <v>148</v>
      </c>
      <c r="K661" s="7"/>
      <c r="L661" s="7"/>
      <c r="M661" s="7"/>
    </row>
    <row r="662" ht="15.75" customHeight="1">
      <c r="A662" s="7" t="s">
        <v>3573</v>
      </c>
      <c r="B662" s="45" t="s">
        <v>3574</v>
      </c>
      <c r="C662" s="7" t="s">
        <v>3575</v>
      </c>
      <c r="D662" s="7" t="s">
        <v>3576</v>
      </c>
      <c r="E662" s="7" t="s">
        <v>3577</v>
      </c>
      <c r="F662" s="7" t="s">
        <v>3578</v>
      </c>
      <c r="G662" s="7"/>
      <c r="H662" s="46" t="s">
        <v>249</v>
      </c>
      <c r="I662" s="7" t="s">
        <v>160</v>
      </c>
      <c r="J662" s="7" t="s">
        <v>148</v>
      </c>
      <c r="K662" s="7"/>
      <c r="L662" s="7"/>
      <c r="M662" s="7"/>
    </row>
    <row r="663" ht="15.75" customHeight="1">
      <c r="A663" s="7" t="s">
        <v>3579</v>
      </c>
      <c r="B663" s="45" t="s">
        <v>3580</v>
      </c>
      <c r="C663" s="7" t="s">
        <v>3581</v>
      </c>
      <c r="D663" s="7" t="s">
        <v>3582</v>
      </c>
      <c r="E663" s="7" t="s">
        <v>3583</v>
      </c>
      <c r="F663" s="7" t="s">
        <v>3584</v>
      </c>
      <c r="G663" s="7"/>
      <c r="H663" s="46" t="s">
        <v>249</v>
      </c>
      <c r="I663" s="7" t="s">
        <v>160</v>
      </c>
      <c r="J663" s="7" t="s">
        <v>148</v>
      </c>
      <c r="K663" s="7"/>
      <c r="L663" s="7"/>
      <c r="M663" s="7"/>
    </row>
    <row r="664" ht="15.75" customHeight="1">
      <c r="A664" s="7" t="s">
        <v>3585</v>
      </c>
      <c r="B664" s="45" t="s">
        <v>3586</v>
      </c>
      <c r="C664" s="7" t="s">
        <v>3587</v>
      </c>
      <c r="D664" s="7" t="s">
        <v>3588</v>
      </c>
      <c r="E664" s="7" t="s">
        <v>3589</v>
      </c>
      <c r="F664" s="7" t="s">
        <v>3590</v>
      </c>
      <c r="G664" s="7"/>
      <c r="H664" s="46" t="s">
        <v>249</v>
      </c>
      <c r="I664" s="7" t="s">
        <v>160</v>
      </c>
      <c r="J664" s="7" t="s">
        <v>148</v>
      </c>
      <c r="K664" s="7"/>
      <c r="L664" s="7"/>
      <c r="M664" s="7"/>
    </row>
    <row r="665" ht="15.75" customHeight="1">
      <c r="A665" s="7" t="s">
        <v>3591</v>
      </c>
      <c r="B665" s="45" t="s">
        <v>3592</v>
      </c>
      <c r="C665" s="7" t="s">
        <v>3593</v>
      </c>
      <c r="D665" s="7" t="s">
        <v>3594</v>
      </c>
      <c r="E665" s="7" t="s">
        <v>3595</v>
      </c>
      <c r="F665" s="7" t="s">
        <v>3596</v>
      </c>
      <c r="G665" s="7"/>
      <c r="H665" s="46" t="s">
        <v>249</v>
      </c>
      <c r="I665" s="7" t="s">
        <v>160</v>
      </c>
      <c r="J665" s="7" t="s">
        <v>148</v>
      </c>
      <c r="K665" s="7"/>
      <c r="L665" s="7"/>
      <c r="M665" s="7"/>
    </row>
    <row r="666" ht="15.75" customHeight="1">
      <c r="A666" s="7" t="s">
        <v>3597</v>
      </c>
      <c r="B666" s="45" t="s">
        <v>3598</v>
      </c>
      <c r="C666" s="7" t="s">
        <v>3599</v>
      </c>
      <c r="D666" s="7" t="s">
        <v>3600</v>
      </c>
      <c r="E666" s="7" t="s">
        <v>3601</v>
      </c>
      <c r="F666" s="7" t="s">
        <v>3596</v>
      </c>
      <c r="G666" s="7"/>
      <c r="H666" s="46" t="s">
        <v>249</v>
      </c>
      <c r="I666" s="7" t="s">
        <v>160</v>
      </c>
      <c r="J666" s="7" t="s">
        <v>148</v>
      </c>
      <c r="K666" s="7"/>
      <c r="L666" s="7"/>
      <c r="M666" s="7"/>
    </row>
    <row r="667" ht="15.75" customHeight="1">
      <c r="A667" s="7" t="s">
        <v>3602</v>
      </c>
      <c r="B667" s="45" t="s">
        <v>3603</v>
      </c>
      <c r="C667" s="7" t="s">
        <v>3599</v>
      </c>
      <c r="D667" s="7" t="s">
        <v>3604</v>
      </c>
      <c r="E667" s="7" t="s">
        <v>3605</v>
      </c>
      <c r="F667" s="7" t="s">
        <v>3596</v>
      </c>
      <c r="G667" s="7"/>
      <c r="H667" s="46" t="s">
        <v>249</v>
      </c>
      <c r="I667" s="7" t="s">
        <v>160</v>
      </c>
      <c r="J667" s="7" t="s">
        <v>148</v>
      </c>
      <c r="K667" s="7"/>
      <c r="L667" s="7"/>
      <c r="M667" s="7"/>
    </row>
    <row r="668" ht="15.75" customHeight="1">
      <c r="A668" s="7" t="s">
        <v>3606</v>
      </c>
      <c r="B668" s="45" t="s">
        <v>3607</v>
      </c>
      <c r="C668" s="7" t="s">
        <v>3599</v>
      </c>
      <c r="D668" s="7" t="s">
        <v>3608</v>
      </c>
      <c r="E668" s="7" t="s">
        <v>3601</v>
      </c>
      <c r="F668" s="7" t="s">
        <v>3596</v>
      </c>
      <c r="G668" s="7"/>
      <c r="H668" s="46" t="s">
        <v>249</v>
      </c>
      <c r="I668" s="7" t="s">
        <v>160</v>
      </c>
      <c r="J668" s="7" t="s">
        <v>148</v>
      </c>
      <c r="K668" s="7"/>
      <c r="L668" s="7"/>
      <c r="M668" s="7"/>
    </row>
    <row r="669" ht="15.75" customHeight="1">
      <c r="A669" s="7" t="s">
        <v>3609</v>
      </c>
      <c r="B669" s="45" t="s">
        <v>3610</v>
      </c>
      <c r="C669" s="7" t="s">
        <v>3599</v>
      </c>
      <c r="D669" s="7" t="s">
        <v>3611</v>
      </c>
      <c r="E669" s="7" t="s">
        <v>3601</v>
      </c>
      <c r="F669" s="7" t="s">
        <v>3596</v>
      </c>
      <c r="G669" s="7"/>
      <c r="H669" s="46" t="s">
        <v>249</v>
      </c>
      <c r="I669" s="7" t="s">
        <v>160</v>
      </c>
      <c r="J669" s="7" t="s">
        <v>148</v>
      </c>
      <c r="K669" s="7"/>
      <c r="L669" s="7"/>
      <c r="M669" s="7"/>
    </row>
    <row r="670" ht="15.75" customHeight="1">
      <c r="A670" s="7" t="s">
        <v>3612</v>
      </c>
      <c r="B670" s="45" t="s">
        <v>3613</v>
      </c>
      <c r="C670" s="7" t="s">
        <v>3614</v>
      </c>
      <c r="D670" s="7" t="s">
        <v>3615</v>
      </c>
      <c r="E670" s="7" t="s">
        <v>3616</v>
      </c>
      <c r="F670" s="7" t="s">
        <v>3617</v>
      </c>
      <c r="G670" s="7"/>
      <c r="H670" s="46" t="s">
        <v>249</v>
      </c>
      <c r="I670" s="7" t="s">
        <v>160</v>
      </c>
      <c r="J670" s="7" t="s">
        <v>148</v>
      </c>
      <c r="K670" s="7"/>
      <c r="L670" s="7"/>
      <c r="M670" s="7"/>
    </row>
    <row r="671" ht="15.75" customHeight="1">
      <c r="A671" s="7" t="s">
        <v>3618</v>
      </c>
      <c r="B671" s="45" t="s">
        <v>3619</v>
      </c>
      <c r="C671" s="7" t="s">
        <v>3614</v>
      </c>
      <c r="D671" s="7" t="s">
        <v>3615</v>
      </c>
      <c r="E671" s="7" t="s">
        <v>3620</v>
      </c>
      <c r="F671" s="7" t="s">
        <v>3621</v>
      </c>
      <c r="G671" s="7"/>
      <c r="H671" s="46" t="s">
        <v>249</v>
      </c>
      <c r="I671" s="7" t="s">
        <v>160</v>
      </c>
      <c r="J671" s="7" t="s">
        <v>148</v>
      </c>
      <c r="K671" s="7"/>
      <c r="L671" s="7"/>
      <c r="M671" s="7"/>
    </row>
    <row r="672" ht="15.75" customHeight="1">
      <c r="A672" s="7" t="s">
        <v>3622</v>
      </c>
      <c r="B672" s="45" t="s">
        <v>3623</v>
      </c>
      <c r="C672" s="7" t="s">
        <v>3624</v>
      </c>
      <c r="D672" s="7" t="s">
        <v>3625</v>
      </c>
      <c r="E672" s="7" t="s">
        <v>3626</v>
      </c>
      <c r="F672" s="7" t="s">
        <v>3627</v>
      </c>
      <c r="G672" s="7"/>
      <c r="H672" s="46" t="s">
        <v>249</v>
      </c>
      <c r="I672" s="7" t="s">
        <v>160</v>
      </c>
      <c r="J672" s="7" t="s">
        <v>148</v>
      </c>
      <c r="K672" s="7"/>
      <c r="L672" s="7"/>
      <c r="M672" s="7"/>
    </row>
    <row r="673" ht="15.75" customHeight="1">
      <c r="A673" s="7" t="s">
        <v>3628</v>
      </c>
      <c r="B673" s="45" t="s">
        <v>3629</v>
      </c>
      <c r="C673" s="7" t="s">
        <v>3630</v>
      </c>
      <c r="D673" s="7" t="s">
        <v>3631</v>
      </c>
      <c r="E673" s="7" t="s">
        <v>3632</v>
      </c>
      <c r="F673" s="7" t="s">
        <v>3633</v>
      </c>
      <c r="G673" s="7"/>
      <c r="H673" s="46" t="s">
        <v>249</v>
      </c>
      <c r="I673" s="7" t="s">
        <v>160</v>
      </c>
      <c r="J673" s="7" t="s">
        <v>148</v>
      </c>
      <c r="K673" s="7"/>
      <c r="L673" s="7"/>
      <c r="M673" s="7"/>
    </row>
    <row r="674" ht="15.75" customHeight="1">
      <c r="A674" s="7" t="s">
        <v>3634</v>
      </c>
      <c r="B674" s="45" t="s">
        <v>3635</v>
      </c>
      <c r="C674" s="7" t="s">
        <v>3636</v>
      </c>
      <c r="D674" s="7" t="s">
        <v>3637</v>
      </c>
      <c r="E674" s="7" t="s">
        <v>3638</v>
      </c>
      <c r="F674" s="7" t="s">
        <v>3639</v>
      </c>
      <c r="G674" s="7"/>
      <c r="H674" s="46" t="s">
        <v>249</v>
      </c>
      <c r="I674" s="7" t="s">
        <v>160</v>
      </c>
      <c r="J674" s="7" t="s">
        <v>148</v>
      </c>
      <c r="K674" s="7"/>
      <c r="L674" s="7"/>
      <c r="M674" s="7"/>
    </row>
    <row r="675" ht="15.75" customHeight="1">
      <c r="A675" s="7" t="s">
        <v>3640</v>
      </c>
      <c r="B675" s="45" t="s">
        <v>3641</v>
      </c>
      <c r="C675" s="7" t="s">
        <v>3642</v>
      </c>
      <c r="D675" s="7" t="s">
        <v>3643</v>
      </c>
      <c r="E675" s="7" t="s">
        <v>3644</v>
      </c>
      <c r="F675" s="7" t="s">
        <v>3645</v>
      </c>
      <c r="G675" s="7"/>
      <c r="H675" s="46" t="s">
        <v>249</v>
      </c>
      <c r="I675" s="7" t="s">
        <v>160</v>
      </c>
      <c r="J675" s="7" t="s">
        <v>148</v>
      </c>
      <c r="K675" s="7"/>
      <c r="L675" s="7"/>
      <c r="M675" s="7"/>
    </row>
    <row r="676" ht="15.75" customHeight="1">
      <c r="A676" s="7" t="s">
        <v>3646</v>
      </c>
      <c r="B676" s="45" t="s">
        <v>3647</v>
      </c>
      <c r="C676" s="7" t="s">
        <v>3648</v>
      </c>
      <c r="D676" s="7" t="s">
        <v>3649</v>
      </c>
      <c r="E676" s="7" t="s">
        <v>3650</v>
      </c>
      <c r="F676" s="7" t="s">
        <v>3645</v>
      </c>
      <c r="G676" s="7"/>
      <c r="H676" s="46" t="s">
        <v>249</v>
      </c>
      <c r="I676" s="7" t="s">
        <v>160</v>
      </c>
      <c r="J676" s="7" t="s">
        <v>148</v>
      </c>
      <c r="K676" s="7"/>
      <c r="L676" s="7"/>
      <c r="M676" s="7"/>
    </row>
    <row r="677" ht="15.75" customHeight="1">
      <c r="A677" s="7" t="s">
        <v>3651</v>
      </c>
      <c r="B677" s="45" t="s">
        <v>3652</v>
      </c>
      <c r="C677" s="7" t="s">
        <v>3642</v>
      </c>
      <c r="D677" s="7" t="s">
        <v>3643</v>
      </c>
      <c r="E677" s="7" t="s">
        <v>3653</v>
      </c>
      <c r="F677" s="7" t="s">
        <v>3654</v>
      </c>
      <c r="G677" s="7" t="s">
        <v>3655</v>
      </c>
      <c r="H677" s="46" t="s">
        <v>249</v>
      </c>
      <c r="I677" s="7" t="s">
        <v>160</v>
      </c>
      <c r="J677" s="7" t="s">
        <v>148</v>
      </c>
      <c r="K677" s="7"/>
      <c r="L677" s="7"/>
      <c r="M677" s="7"/>
    </row>
    <row r="678" ht="15.75" customHeight="1">
      <c r="A678" s="7" t="s">
        <v>3656</v>
      </c>
      <c r="B678" s="45" t="s">
        <v>3657</v>
      </c>
      <c r="C678" s="7" t="s">
        <v>3658</v>
      </c>
      <c r="D678" s="7" t="s">
        <v>3659</v>
      </c>
      <c r="E678" s="7" t="s">
        <v>3660</v>
      </c>
      <c r="F678" s="7" t="s">
        <v>3645</v>
      </c>
      <c r="G678" s="7"/>
      <c r="H678" s="46" t="s">
        <v>249</v>
      </c>
      <c r="I678" s="7" t="s">
        <v>160</v>
      </c>
      <c r="J678" s="7" t="s">
        <v>148</v>
      </c>
      <c r="K678" s="7"/>
      <c r="L678" s="7"/>
      <c r="M678" s="7"/>
    </row>
    <row r="679" ht="15.75" customHeight="1">
      <c r="A679" s="7" t="s">
        <v>3661</v>
      </c>
      <c r="B679" s="45" t="s">
        <v>3662</v>
      </c>
      <c r="C679" s="7" t="s">
        <v>1534</v>
      </c>
      <c r="D679" s="7" t="s">
        <v>3663</v>
      </c>
      <c r="E679" s="7" t="s">
        <v>3664</v>
      </c>
      <c r="F679" s="7" t="s">
        <v>3665</v>
      </c>
      <c r="G679" s="7"/>
      <c r="H679" s="46" t="s">
        <v>249</v>
      </c>
      <c r="I679" s="7" t="s">
        <v>160</v>
      </c>
      <c r="J679" s="7" t="s">
        <v>148</v>
      </c>
      <c r="K679" s="7"/>
      <c r="L679" s="7"/>
      <c r="M679" s="7"/>
    </row>
    <row r="680" ht="15.75" customHeight="1">
      <c r="A680" s="7" t="s">
        <v>3666</v>
      </c>
      <c r="B680" s="45" t="s">
        <v>3667</v>
      </c>
      <c r="C680" s="7" t="s">
        <v>3668</v>
      </c>
      <c r="D680" s="7" t="s">
        <v>3669</v>
      </c>
      <c r="E680" s="7" t="s">
        <v>3670</v>
      </c>
      <c r="F680" s="7" t="s">
        <v>3671</v>
      </c>
      <c r="G680" s="7"/>
      <c r="H680" s="46" t="s">
        <v>249</v>
      </c>
      <c r="I680" s="7" t="s">
        <v>160</v>
      </c>
      <c r="J680" s="7" t="s">
        <v>148</v>
      </c>
      <c r="K680" s="7"/>
      <c r="L680" s="7"/>
      <c r="M680" s="7"/>
    </row>
    <row r="681" ht="15.75" customHeight="1">
      <c r="A681" s="7" t="s">
        <v>3672</v>
      </c>
      <c r="B681" s="45" t="s">
        <v>3673</v>
      </c>
      <c r="C681" s="7" t="s">
        <v>3674</v>
      </c>
      <c r="D681" s="7" t="s">
        <v>3675</v>
      </c>
      <c r="E681" s="7" t="s">
        <v>3676</v>
      </c>
      <c r="F681" s="7" t="s">
        <v>3677</v>
      </c>
      <c r="G681" s="7"/>
      <c r="H681" s="46" t="s">
        <v>249</v>
      </c>
      <c r="I681" s="7" t="s">
        <v>160</v>
      </c>
      <c r="J681" s="7" t="s">
        <v>148</v>
      </c>
      <c r="K681" s="7"/>
      <c r="L681" s="7"/>
      <c r="M681" s="7"/>
    </row>
    <row r="682" ht="15.75" customHeight="1">
      <c r="A682" s="7" t="s">
        <v>3678</v>
      </c>
      <c r="B682" s="45" t="s">
        <v>3679</v>
      </c>
      <c r="C682" s="7" t="s">
        <v>2909</v>
      </c>
      <c r="D682" s="7" t="s">
        <v>3680</v>
      </c>
      <c r="E682" s="7" t="s">
        <v>3681</v>
      </c>
      <c r="F682" s="7" t="s">
        <v>2918</v>
      </c>
      <c r="G682" s="7"/>
      <c r="H682" s="46" t="s">
        <v>249</v>
      </c>
      <c r="I682" s="7" t="s">
        <v>160</v>
      </c>
      <c r="J682" s="7" t="s">
        <v>148</v>
      </c>
      <c r="K682" s="7"/>
      <c r="L682" s="7"/>
      <c r="M682" s="7"/>
    </row>
    <row r="683" ht="15.75" customHeight="1">
      <c r="A683" s="7" t="s">
        <v>3682</v>
      </c>
      <c r="B683" s="45" t="s">
        <v>3683</v>
      </c>
      <c r="C683" s="7" t="s">
        <v>2915</v>
      </c>
      <c r="D683" s="7" t="s">
        <v>3684</v>
      </c>
      <c r="E683" s="7" t="s">
        <v>3685</v>
      </c>
      <c r="F683" s="7" t="s">
        <v>2918</v>
      </c>
      <c r="G683" s="7"/>
      <c r="H683" s="46" t="s">
        <v>249</v>
      </c>
      <c r="I683" s="7" t="s">
        <v>160</v>
      </c>
      <c r="J683" s="7" t="s">
        <v>148</v>
      </c>
      <c r="K683" s="7"/>
      <c r="L683" s="7"/>
      <c r="M683" s="7"/>
    </row>
    <row r="684" ht="15.75" customHeight="1">
      <c r="A684" s="7" t="s">
        <v>3686</v>
      </c>
      <c r="B684" s="45" t="s">
        <v>3687</v>
      </c>
      <c r="C684" s="7" t="s">
        <v>3688</v>
      </c>
      <c r="D684" s="7" t="s">
        <v>3689</v>
      </c>
      <c r="E684" s="7"/>
      <c r="F684" s="7" t="s">
        <v>3690</v>
      </c>
      <c r="G684" s="7"/>
      <c r="H684" s="46" t="s">
        <v>249</v>
      </c>
      <c r="I684" s="7" t="s">
        <v>160</v>
      </c>
      <c r="J684" s="7" t="s">
        <v>148</v>
      </c>
      <c r="K684" s="7"/>
      <c r="L684" s="7"/>
      <c r="M684" s="7"/>
    </row>
    <row r="685" ht="15.75" customHeight="1">
      <c r="A685" s="7" t="s">
        <v>3691</v>
      </c>
      <c r="B685" s="45" t="s">
        <v>3692</v>
      </c>
      <c r="C685" s="7" t="s">
        <v>3693</v>
      </c>
      <c r="D685" s="7" t="s">
        <v>3694</v>
      </c>
      <c r="E685" s="7" t="s">
        <v>3695</v>
      </c>
      <c r="F685" s="7" t="s">
        <v>3696</v>
      </c>
      <c r="G685" s="7"/>
      <c r="H685" s="46" t="s">
        <v>249</v>
      </c>
      <c r="I685" s="7" t="s">
        <v>160</v>
      </c>
      <c r="J685" s="7" t="s">
        <v>148</v>
      </c>
      <c r="K685" s="7"/>
      <c r="L685" s="7"/>
      <c r="M685" s="7"/>
    </row>
    <row r="686" ht="15.75" customHeight="1">
      <c r="A686" s="7" t="s">
        <v>3697</v>
      </c>
      <c r="B686" s="45" t="s">
        <v>3698</v>
      </c>
      <c r="C686" s="7" t="s">
        <v>3699</v>
      </c>
      <c r="D686" s="7" t="s">
        <v>3700</v>
      </c>
      <c r="E686" s="7" t="s">
        <v>3701</v>
      </c>
      <c r="F686" s="7" t="s">
        <v>3702</v>
      </c>
      <c r="G686" s="7"/>
      <c r="H686" s="46" t="s">
        <v>249</v>
      </c>
      <c r="I686" s="7" t="s">
        <v>160</v>
      </c>
      <c r="J686" s="7" t="s">
        <v>148</v>
      </c>
      <c r="K686" s="7"/>
      <c r="L686" s="7"/>
      <c r="M686" s="7"/>
    </row>
    <row r="687" ht="15.75" customHeight="1">
      <c r="A687" s="7" t="s">
        <v>3703</v>
      </c>
      <c r="B687" s="45" t="s">
        <v>3704</v>
      </c>
      <c r="C687" s="7" t="s">
        <v>3705</v>
      </c>
      <c r="D687" s="7" t="s">
        <v>3706</v>
      </c>
      <c r="E687" s="7" t="s">
        <v>3707</v>
      </c>
      <c r="F687" s="7" t="s">
        <v>3708</v>
      </c>
      <c r="G687" s="7"/>
      <c r="H687" s="46" t="s">
        <v>249</v>
      </c>
      <c r="I687" s="7" t="s">
        <v>160</v>
      </c>
      <c r="J687" s="7" t="s">
        <v>148</v>
      </c>
      <c r="K687" s="7"/>
      <c r="L687" s="7"/>
      <c r="M687" s="7"/>
    </row>
    <row r="688" ht="15.75" customHeight="1">
      <c r="A688" s="7" t="s">
        <v>3709</v>
      </c>
      <c r="B688" s="45" t="s">
        <v>3710</v>
      </c>
      <c r="C688" s="7" t="s">
        <v>2769</v>
      </c>
      <c r="D688" s="7" t="s">
        <v>3711</v>
      </c>
      <c r="E688" s="7" t="s">
        <v>3712</v>
      </c>
      <c r="F688" s="7" t="s">
        <v>2772</v>
      </c>
      <c r="G688" s="7"/>
      <c r="H688" s="46" t="s">
        <v>249</v>
      </c>
      <c r="I688" s="7" t="s">
        <v>160</v>
      </c>
      <c r="J688" s="7" t="s">
        <v>148</v>
      </c>
      <c r="K688" s="7"/>
      <c r="L688" s="7"/>
      <c r="M688" s="7"/>
    </row>
    <row r="689" ht="15.75" customHeight="1">
      <c r="A689" s="7" t="s">
        <v>3713</v>
      </c>
      <c r="B689" s="45" t="s">
        <v>3714</v>
      </c>
      <c r="C689" s="7" t="s">
        <v>485</v>
      </c>
      <c r="D689" s="7" t="s">
        <v>3715</v>
      </c>
      <c r="E689" s="7" t="s">
        <v>3716</v>
      </c>
      <c r="F689" s="7" t="s">
        <v>488</v>
      </c>
      <c r="G689" s="7"/>
      <c r="H689" s="46" t="s">
        <v>249</v>
      </c>
      <c r="I689" s="7" t="s">
        <v>160</v>
      </c>
      <c r="J689" s="7" t="s">
        <v>148</v>
      </c>
      <c r="K689" s="7"/>
      <c r="L689" s="7"/>
      <c r="M689" s="7"/>
    </row>
    <row r="690" ht="15.75" customHeight="1">
      <c r="A690" s="7" t="s">
        <v>3717</v>
      </c>
      <c r="B690" s="45" t="s">
        <v>3718</v>
      </c>
      <c r="C690" s="7" t="s">
        <v>485</v>
      </c>
      <c r="D690" s="7" t="s">
        <v>3719</v>
      </c>
      <c r="E690" s="7" t="s">
        <v>3720</v>
      </c>
      <c r="F690" s="7" t="s">
        <v>488</v>
      </c>
      <c r="G690" s="7"/>
      <c r="H690" s="46" t="s">
        <v>249</v>
      </c>
      <c r="I690" s="7" t="s">
        <v>160</v>
      </c>
      <c r="J690" s="7" t="s">
        <v>148</v>
      </c>
      <c r="K690" s="7"/>
      <c r="L690" s="7"/>
      <c r="M690" s="7"/>
    </row>
    <row r="691" ht="15.75" customHeight="1">
      <c r="A691" s="7" t="s">
        <v>3721</v>
      </c>
      <c r="B691" s="45" t="s">
        <v>3722</v>
      </c>
      <c r="C691" s="7" t="s">
        <v>3723</v>
      </c>
      <c r="D691" s="7" t="s">
        <v>3724</v>
      </c>
      <c r="E691" s="7" t="s">
        <v>3725</v>
      </c>
      <c r="F691" s="7" t="s">
        <v>3726</v>
      </c>
      <c r="G691" s="7" t="s">
        <v>3727</v>
      </c>
      <c r="H691" s="46" t="s">
        <v>249</v>
      </c>
      <c r="I691" s="7" t="s">
        <v>160</v>
      </c>
      <c r="J691" s="7" t="s">
        <v>148</v>
      </c>
      <c r="K691" s="7"/>
      <c r="L691" s="7"/>
      <c r="M691" s="7"/>
    </row>
    <row r="692" ht="15.75" customHeight="1">
      <c r="A692" s="7" t="s">
        <v>3728</v>
      </c>
      <c r="B692" s="45" t="s">
        <v>3729</v>
      </c>
      <c r="C692" s="7" t="s">
        <v>3730</v>
      </c>
      <c r="D692" s="7" t="s">
        <v>3731</v>
      </c>
      <c r="E692" s="7" t="s">
        <v>3732</v>
      </c>
      <c r="F692" s="7" t="s">
        <v>3733</v>
      </c>
      <c r="G692" s="7"/>
      <c r="H692" s="46" t="s">
        <v>249</v>
      </c>
      <c r="I692" s="7" t="s">
        <v>160</v>
      </c>
      <c r="J692" s="7" t="s">
        <v>148</v>
      </c>
      <c r="K692" s="7"/>
      <c r="L692" s="7"/>
      <c r="M692" s="7"/>
    </row>
    <row r="693" ht="15.75" customHeight="1">
      <c r="A693" s="7" t="s">
        <v>3734</v>
      </c>
      <c r="B693" s="45" t="s">
        <v>3735</v>
      </c>
      <c r="C693" s="7" t="s">
        <v>3736</v>
      </c>
      <c r="D693" s="7" t="s">
        <v>3731</v>
      </c>
      <c r="E693" s="7" t="s">
        <v>3732</v>
      </c>
      <c r="F693" s="7" t="s">
        <v>3733</v>
      </c>
      <c r="G693" s="7"/>
      <c r="H693" s="46" t="s">
        <v>249</v>
      </c>
      <c r="I693" s="7" t="s">
        <v>160</v>
      </c>
      <c r="J693" s="7" t="s">
        <v>148</v>
      </c>
      <c r="K693" s="7"/>
      <c r="L693" s="7"/>
      <c r="M693" s="7"/>
    </row>
    <row r="694" ht="15.75" customHeight="1">
      <c r="A694" s="7" t="s">
        <v>3737</v>
      </c>
      <c r="B694" s="45" t="s">
        <v>3738</v>
      </c>
      <c r="C694" s="7" t="s">
        <v>3739</v>
      </c>
      <c r="D694" s="7" t="s">
        <v>3740</v>
      </c>
      <c r="E694" s="7" t="s">
        <v>3741</v>
      </c>
      <c r="F694" s="7" t="s">
        <v>3742</v>
      </c>
      <c r="G694" s="7"/>
      <c r="H694" s="46" t="s">
        <v>249</v>
      </c>
      <c r="I694" s="7" t="s">
        <v>160</v>
      </c>
      <c r="J694" s="7" t="s">
        <v>148</v>
      </c>
      <c r="K694" s="7"/>
      <c r="L694" s="7"/>
      <c r="M694" s="7"/>
    </row>
    <row r="695" ht="15.75" customHeight="1">
      <c r="A695" s="7" t="s">
        <v>3743</v>
      </c>
      <c r="B695" s="45" t="s">
        <v>3744</v>
      </c>
      <c r="C695" s="7" t="s">
        <v>3745</v>
      </c>
      <c r="D695" s="7" t="s">
        <v>3746</v>
      </c>
      <c r="E695" s="7" t="s">
        <v>3747</v>
      </c>
      <c r="F695" s="7" t="s">
        <v>3748</v>
      </c>
      <c r="G695" s="7"/>
      <c r="H695" s="46" t="s">
        <v>249</v>
      </c>
      <c r="I695" s="7" t="s">
        <v>160</v>
      </c>
      <c r="J695" s="7" t="s">
        <v>148</v>
      </c>
      <c r="K695" s="7"/>
      <c r="L695" s="7"/>
      <c r="M695" s="7"/>
    </row>
    <row r="696" ht="15.75" customHeight="1">
      <c r="A696" s="7" t="s">
        <v>3749</v>
      </c>
      <c r="B696" s="45" t="s">
        <v>3750</v>
      </c>
      <c r="C696" s="7" t="s">
        <v>3751</v>
      </c>
      <c r="D696" s="7" t="s">
        <v>3752</v>
      </c>
      <c r="E696" s="7" t="s">
        <v>3753</v>
      </c>
      <c r="F696" s="7" t="s">
        <v>3754</v>
      </c>
      <c r="G696" s="7"/>
      <c r="H696" s="46" t="s">
        <v>249</v>
      </c>
      <c r="I696" s="7" t="s">
        <v>160</v>
      </c>
      <c r="J696" s="7" t="s">
        <v>148</v>
      </c>
      <c r="K696" s="7"/>
      <c r="L696" s="7"/>
      <c r="M696" s="7"/>
    </row>
    <row r="697" ht="15.75" customHeight="1">
      <c r="A697" s="7" t="s">
        <v>3755</v>
      </c>
      <c r="B697" s="45" t="s">
        <v>3756</v>
      </c>
      <c r="C697" s="7" t="s">
        <v>3757</v>
      </c>
      <c r="D697" s="7" t="s">
        <v>3758</v>
      </c>
      <c r="E697" s="7" t="s">
        <v>1924</v>
      </c>
      <c r="F697" s="7" t="s">
        <v>3759</v>
      </c>
      <c r="G697" s="7"/>
      <c r="H697" s="46" t="s">
        <v>249</v>
      </c>
      <c r="I697" s="7" t="s">
        <v>160</v>
      </c>
      <c r="J697" s="7" t="s">
        <v>148</v>
      </c>
      <c r="K697" s="7"/>
      <c r="L697" s="7"/>
      <c r="M697" s="7"/>
    </row>
    <row r="698" ht="15.75" customHeight="1">
      <c r="A698" s="7" t="s">
        <v>3760</v>
      </c>
      <c r="B698" s="45" t="s">
        <v>3761</v>
      </c>
      <c r="C698" s="7" t="s">
        <v>3402</v>
      </c>
      <c r="D698" s="7" t="s">
        <v>3762</v>
      </c>
      <c r="E698" s="7" t="s">
        <v>3407</v>
      </c>
      <c r="F698" s="7" t="s">
        <v>3399</v>
      </c>
      <c r="G698" s="7"/>
      <c r="H698" s="46" t="s">
        <v>249</v>
      </c>
      <c r="I698" s="7" t="s">
        <v>160</v>
      </c>
      <c r="J698" s="7" t="s">
        <v>148</v>
      </c>
      <c r="K698" s="7"/>
      <c r="L698" s="7"/>
      <c r="M698" s="7"/>
    </row>
    <row r="699" ht="15.75" customHeight="1">
      <c r="A699" s="7" t="s">
        <v>3763</v>
      </c>
      <c r="B699" s="45" t="s">
        <v>3764</v>
      </c>
      <c r="C699" s="7" t="s">
        <v>3396</v>
      </c>
      <c r="D699" s="7" t="s">
        <v>3765</v>
      </c>
      <c r="E699" s="7" t="s">
        <v>3766</v>
      </c>
      <c r="F699" s="7" t="s">
        <v>3759</v>
      </c>
      <c r="G699" s="7"/>
      <c r="H699" s="46" t="s">
        <v>249</v>
      </c>
      <c r="I699" s="7" t="s">
        <v>160</v>
      </c>
      <c r="J699" s="7" t="s">
        <v>148</v>
      </c>
      <c r="K699" s="7"/>
      <c r="L699" s="7"/>
      <c r="M699" s="7"/>
    </row>
    <row r="700" ht="15.75" customHeight="1">
      <c r="A700" s="7" t="s">
        <v>3767</v>
      </c>
      <c r="B700" s="45" t="s">
        <v>3768</v>
      </c>
      <c r="C700" s="7" t="s">
        <v>3396</v>
      </c>
      <c r="D700" s="7" t="s">
        <v>3769</v>
      </c>
      <c r="E700" s="7" t="s">
        <v>3770</v>
      </c>
      <c r="F700" s="7" t="s">
        <v>3399</v>
      </c>
      <c r="G700" s="7"/>
      <c r="H700" s="46" t="s">
        <v>249</v>
      </c>
      <c r="I700" s="7" t="s">
        <v>160</v>
      </c>
      <c r="J700" s="7" t="s">
        <v>148</v>
      </c>
      <c r="K700" s="7"/>
      <c r="L700" s="7"/>
      <c r="M700" s="7"/>
    </row>
    <row r="701" ht="15.75" customHeight="1">
      <c r="A701" s="7" t="s">
        <v>3771</v>
      </c>
      <c r="B701" s="45" t="s">
        <v>3772</v>
      </c>
      <c r="C701" s="7" t="s">
        <v>3773</v>
      </c>
      <c r="D701" s="7" t="s">
        <v>3774</v>
      </c>
      <c r="E701" s="7" t="s">
        <v>3775</v>
      </c>
      <c r="F701" s="7" t="s">
        <v>3776</v>
      </c>
      <c r="G701" s="7"/>
      <c r="H701" s="46" t="s">
        <v>249</v>
      </c>
      <c r="I701" s="7" t="s">
        <v>160</v>
      </c>
      <c r="J701" s="7" t="s">
        <v>148</v>
      </c>
      <c r="K701" s="7"/>
      <c r="L701" s="7"/>
      <c r="M701" s="7"/>
    </row>
    <row r="702" ht="15.75" customHeight="1">
      <c r="A702" s="7" t="s">
        <v>3777</v>
      </c>
      <c r="B702" s="45" t="s">
        <v>3778</v>
      </c>
      <c r="C702" s="7" t="s">
        <v>3779</v>
      </c>
      <c r="D702" s="7" t="s">
        <v>3780</v>
      </c>
      <c r="E702" s="7" t="s">
        <v>3781</v>
      </c>
      <c r="F702" s="7" t="s">
        <v>3782</v>
      </c>
      <c r="G702" s="7"/>
      <c r="H702" s="46" t="s">
        <v>249</v>
      </c>
      <c r="I702" s="7" t="s">
        <v>160</v>
      </c>
      <c r="J702" s="7" t="s">
        <v>148</v>
      </c>
      <c r="K702" s="7"/>
      <c r="L702" s="7"/>
      <c r="M702" s="7"/>
    </row>
    <row r="703" ht="15.75" customHeight="1">
      <c r="A703" s="7" t="s">
        <v>3783</v>
      </c>
      <c r="B703" s="45" t="s">
        <v>3784</v>
      </c>
      <c r="C703" s="7" t="s">
        <v>3785</v>
      </c>
      <c r="D703" s="7" t="s">
        <v>3786</v>
      </c>
      <c r="E703" s="7" t="s">
        <v>3787</v>
      </c>
      <c r="F703" s="7" t="s">
        <v>3788</v>
      </c>
      <c r="G703" s="7"/>
      <c r="H703" s="46" t="s">
        <v>249</v>
      </c>
      <c r="I703" s="7" t="s">
        <v>160</v>
      </c>
      <c r="J703" s="7" t="s">
        <v>148</v>
      </c>
      <c r="K703" s="7"/>
      <c r="L703" s="7"/>
      <c r="M703" s="7"/>
    </row>
    <row r="704" ht="15.75" customHeight="1">
      <c r="A704" s="7" t="s">
        <v>3789</v>
      </c>
      <c r="B704" s="45" t="s">
        <v>3790</v>
      </c>
      <c r="C704" s="7" t="s">
        <v>3791</v>
      </c>
      <c r="D704" s="7" t="s">
        <v>3792</v>
      </c>
      <c r="E704" s="7" t="s">
        <v>3793</v>
      </c>
      <c r="F704" s="7" t="s">
        <v>3794</v>
      </c>
      <c r="G704" s="7"/>
      <c r="H704" s="46" t="s">
        <v>249</v>
      </c>
      <c r="I704" s="7" t="s">
        <v>160</v>
      </c>
      <c r="J704" s="7" t="s">
        <v>148</v>
      </c>
      <c r="K704" s="7"/>
      <c r="L704" s="7"/>
      <c r="M704" s="7"/>
    </row>
    <row r="705" ht="15.75" customHeight="1">
      <c r="A705" s="7" t="s">
        <v>3795</v>
      </c>
      <c r="B705" s="45" t="s">
        <v>3796</v>
      </c>
      <c r="C705" s="7" t="s">
        <v>3797</v>
      </c>
      <c r="D705" s="7" t="s">
        <v>3798</v>
      </c>
      <c r="E705" s="7" t="s">
        <v>3799</v>
      </c>
      <c r="F705" s="7" t="s">
        <v>3800</v>
      </c>
      <c r="G705" s="7" t="s">
        <v>3801</v>
      </c>
      <c r="H705" s="46" t="s">
        <v>249</v>
      </c>
      <c r="I705" s="7" t="s">
        <v>160</v>
      </c>
      <c r="J705" s="7" t="s">
        <v>148</v>
      </c>
      <c r="K705" s="7"/>
      <c r="L705" s="7"/>
      <c r="M705" s="7"/>
    </row>
    <row r="706" ht="15.75" customHeight="1">
      <c r="A706" s="7" t="s">
        <v>3802</v>
      </c>
      <c r="B706" s="45" t="s">
        <v>3803</v>
      </c>
      <c r="C706" s="7" t="s">
        <v>3804</v>
      </c>
      <c r="D706" s="7" t="s">
        <v>3805</v>
      </c>
      <c r="E706" s="7" t="s">
        <v>3806</v>
      </c>
      <c r="F706" s="7" t="s">
        <v>3807</v>
      </c>
      <c r="G706" s="7" t="s">
        <v>3808</v>
      </c>
      <c r="H706" s="46" t="s">
        <v>249</v>
      </c>
      <c r="I706" s="7" t="s">
        <v>160</v>
      </c>
      <c r="J706" s="7" t="s">
        <v>148</v>
      </c>
      <c r="K706" s="7"/>
      <c r="L706" s="7"/>
      <c r="M706" s="7"/>
    </row>
    <row r="707" ht="15.75" customHeight="1">
      <c r="A707" s="7" t="s">
        <v>3809</v>
      </c>
      <c r="B707" s="45" t="s">
        <v>3810</v>
      </c>
      <c r="C707" s="7" t="s">
        <v>3804</v>
      </c>
      <c r="D707" s="7" t="s">
        <v>3811</v>
      </c>
      <c r="E707" s="7" t="s">
        <v>3806</v>
      </c>
      <c r="F707" s="7" t="s">
        <v>3807</v>
      </c>
      <c r="G707" s="7"/>
      <c r="H707" s="46" t="s">
        <v>249</v>
      </c>
      <c r="I707" s="7" t="s">
        <v>160</v>
      </c>
      <c r="J707" s="7" t="s">
        <v>148</v>
      </c>
      <c r="K707" s="7"/>
      <c r="L707" s="7"/>
      <c r="M707" s="7"/>
    </row>
    <row r="708" ht="15.75" customHeight="1">
      <c r="A708" s="7" t="s">
        <v>3812</v>
      </c>
      <c r="B708" s="45" t="s">
        <v>3813</v>
      </c>
      <c r="C708" s="7" t="s">
        <v>3814</v>
      </c>
      <c r="D708" s="7" t="s">
        <v>3815</v>
      </c>
      <c r="E708" s="7" t="s">
        <v>3816</v>
      </c>
      <c r="F708" s="7" t="s">
        <v>3817</v>
      </c>
      <c r="G708" s="7"/>
      <c r="H708" s="46" t="s">
        <v>249</v>
      </c>
      <c r="I708" s="7" t="s">
        <v>160</v>
      </c>
      <c r="J708" s="7" t="s">
        <v>148</v>
      </c>
      <c r="K708" s="7"/>
      <c r="L708" s="7"/>
      <c r="M708" s="7"/>
    </row>
    <row r="709" ht="15.75" customHeight="1">
      <c r="A709" s="7" t="s">
        <v>3818</v>
      </c>
      <c r="B709" s="45" t="s">
        <v>3819</v>
      </c>
      <c r="C709" s="7" t="s">
        <v>3820</v>
      </c>
      <c r="D709" s="7" t="s">
        <v>3821</v>
      </c>
      <c r="E709" s="7" t="s">
        <v>3822</v>
      </c>
      <c r="F709" s="7" t="s">
        <v>3823</v>
      </c>
      <c r="G709" s="7"/>
      <c r="H709" s="46" t="s">
        <v>249</v>
      </c>
      <c r="I709" s="7" t="s">
        <v>160</v>
      </c>
      <c r="J709" s="7" t="s">
        <v>148</v>
      </c>
      <c r="K709" s="7"/>
      <c r="L709" s="7"/>
      <c r="M709" s="7"/>
    </row>
    <row r="710" ht="15.75" customHeight="1">
      <c r="A710" s="7" t="s">
        <v>3824</v>
      </c>
      <c r="B710" s="45" t="s">
        <v>3825</v>
      </c>
      <c r="C710" s="7" t="s">
        <v>3826</v>
      </c>
      <c r="D710" s="7" t="s">
        <v>3827</v>
      </c>
      <c r="E710" s="7" t="s">
        <v>3828</v>
      </c>
      <c r="F710" s="7" t="s">
        <v>3823</v>
      </c>
      <c r="G710" s="7"/>
      <c r="H710" s="46" t="s">
        <v>249</v>
      </c>
      <c r="I710" s="7" t="s">
        <v>160</v>
      </c>
      <c r="J710" s="7" t="s">
        <v>148</v>
      </c>
      <c r="K710" s="7"/>
      <c r="L710" s="7"/>
      <c r="M710" s="7"/>
    </row>
    <row r="711" ht="15.75" customHeight="1">
      <c r="A711" s="7" t="s">
        <v>3829</v>
      </c>
      <c r="B711" s="45" t="s">
        <v>3830</v>
      </c>
      <c r="C711" s="7" t="s">
        <v>3831</v>
      </c>
      <c r="D711" s="7" t="s">
        <v>3832</v>
      </c>
      <c r="E711" s="7" t="s">
        <v>3833</v>
      </c>
      <c r="F711" s="7" t="s">
        <v>3834</v>
      </c>
      <c r="G711" s="7"/>
      <c r="H711" s="46" t="s">
        <v>249</v>
      </c>
      <c r="I711" s="7" t="s">
        <v>160</v>
      </c>
      <c r="J711" s="7" t="s">
        <v>148</v>
      </c>
      <c r="K711" s="7"/>
      <c r="L711" s="7"/>
      <c r="M711" s="7"/>
    </row>
    <row r="712" ht="15.75" customHeight="1">
      <c r="A712" s="7" t="s">
        <v>3835</v>
      </c>
      <c r="B712" s="45" t="s">
        <v>3836</v>
      </c>
      <c r="C712" s="7" t="s">
        <v>2436</v>
      </c>
      <c r="D712" s="7" t="s">
        <v>3837</v>
      </c>
      <c r="E712" s="7" t="s">
        <v>3838</v>
      </c>
      <c r="F712" s="7" t="s">
        <v>2433</v>
      </c>
      <c r="G712" s="7"/>
      <c r="H712" s="46" t="s">
        <v>249</v>
      </c>
      <c r="I712" s="7" t="s">
        <v>160</v>
      </c>
      <c r="J712" s="7" t="s">
        <v>148</v>
      </c>
      <c r="K712" s="7"/>
      <c r="L712" s="7"/>
      <c r="M712" s="7"/>
    </row>
    <row r="713" ht="15.75" customHeight="1">
      <c r="A713" s="7" t="s">
        <v>3839</v>
      </c>
      <c r="B713" s="45" t="s">
        <v>3840</v>
      </c>
      <c r="C713" s="7" t="s">
        <v>2436</v>
      </c>
      <c r="D713" s="7" t="s">
        <v>3841</v>
      </c>
      <c r="E713" s="7" t="s">
        <v>3407</v>
      </c>
      <c r="F713" s="7" t="s">
        <v>2433</v>
      </c>
      <c r="G713" s="7"/>
      <c r="H713" s="46" t="s">
        <v>249</v>
      </c>
      <c r="I713" s="7" t="s">
        <v>160</v>
      </c>
      <c r="J713" s="7" t="s">
        <v>148</v>
      </c>
      <c r="K713" s="7"/>
      <c r="L713" s="7"/>
      <c r="M713" s="7"/>
    </row>
    <row r="714" ht="15.75" customHeight="1">
      <c r="A714" s="7" t="s">
        <v>3842</v>
      </c>
      <c r="B714" s="45" t="s">
        <v>3843</v>
      </c>
      <c r="C714" s="7" t="s">
        <v>2436</v>
      </c>
      <c r="D714" s="7" t="s">
        <v>3844</v>
      </c>
      <c r="E714" s="7" t="s">
        <v>1924</v>
      </c>
      <c r="F714" s="7" t="s">
        <v>2433</v>
      </c>
      <c r="G714" s="7"/>
      <c r="H714" s="46" t="s">
        <v>249</v>
      </c>
      <c r="I714" s="7" t="s">
        <v>160</v>
      </c>
      <c r="J714" s="7" t="s">
        <v>148</v>
      </c>
      <c r="K714" s="7"/>
      <c r="L714" s="7"/>
      <c r="M714" s="7"/>
    </row>
    <row r="715" ht="15.75" customHeight="1">
      <c r="A715" s="7" t="s">
        <v>3845</v>
      </c>
      <c r="B715" s="45" t="s">
        <v>3846</v>
      </c>
      <c r="C715" s="7" t="s">
        <v>3847</v>
      </c>
      <c r="D715" s="7" t="s">
        <v>3848</v>
      </c>
      <c r="E715" s="7" t="s">
        <v>3849</v>
      </c>
      <c r="F715" s="7" t="s">
        <v>3850</v>
      </c>
      <c r="G715" s="7"/>
      <c r="H715" s="46" t="s">
        <v>249</v>
      </c>
      <c r="I715" s="7" t="s">
        <v>160</v>
      </c>
      <c r="J715" s="7" t="s">
        <v>148</v>
      </c>
      <c r="K715" s="7"/>
      <c r="L715" s="7"/>
      <c r="M715" s="7"/>
    </row>
    <row r="716" ht="15.75" customHeight="1">
      <c r="A716" s="7" t="s">
        <v>3851</v>
      </c>
      <c r="B716" s="45" t="s">
        <v>3852</v>
      </c>
      <c r="C716" s="7" t="s">
        <v>3853</v>
      </c>
      <c r="D716" s="7" t="s">
        <v>3848</v>
      </c>
      <c r="E716" s="7" t="s">
        <v>3854</v>
      </c>
      <c r="F716" s="7" t="s">
        <v>3850</v>
      </c>
      <c r="G716" s="7"/>
      <c r="H716" s="46" t="s">
        <v>249</v>
      </c>
      <c r="I716" s="7" t="s">
        <v>160</v>
      </c>
      <c r="J716" s="7" t="s">
        <v>148</v>
      </c>
      <c r="K716" s="7"/>
      <c r="L716" s="7"/>
      <c r="M716" s="7"/>
    </row>
    <row r="717" ht="15.75" customHeight="1">
      <c r="A717" s="7" t="s">
        <v>3855</v>
      </c>
      <c r="B717" s="45" t="s">
        <v>3856</v>
      </c>
      <c r="C717" s="7" t="s">
        <v>3857</v>
      </c>
      <c r="D717" s="7" t="s">
        <v>3858</v>
      </c>
      <c r="E717" s="7" t="s">
        <v>3859</v>
      </c>
      <c r="F717" s="7" t="s">
        <v>3860</v>
      </c>
      <c r="G717" s="7"/>
      <c r="H717" s="46" t="s">
        <v>249</v>
      </c>
      <c r="I717" s="7" t="s">
        <v>160</v>
      </c>
      <c r="J717" s="7" t="s">
        <v>148</v>
      </c>
      <c r="K717" s="7"/>
      <c r="L717" s="7"/>
      <c r="M717" s="7"/>
    </row>
    <row r="718" ht="15.75" customHeight="1">
      <c r="A718" s="7" t="s">
        <v>3861</v>
      </c>
      <c r="B718" s="45" t="s">
        <v>3862</v>
      </c>
      <c r="C718" s="7" t="s">
        <v>3863</v>
      </c>
      <c r="D718" s="7" t="s">
        <v>3864</v>
      </c>
      <c r="E718" s="7" t="s">
        <v>3865</v>
      </c>
      <c r="F718" s="7" t="s">
        <v>3866</v>
      </c>
      <c r="G718" s="7"/>
      <c r="H718" s="46" t="s">
        <v>249</v>
      </c>
      <c r="I718" s="7" t="s">
        <v>160</v>
      </c>
      <c r="J718" s="7" t="s">
        <v>148</v>
      </c>
      <c r="K718" s="7"/>
      <c r="L718" s="7"/>
      <c r="M718" s="7"/>
    </row>
    <row r="719" ht="15.75" customHeight="1">
      <c r="A719" s="7" t="s">
        <v>3867</v>
      </c>
      <c r="B719" s="45" t="s">
        <v>3868</v>
      </c>
      <c r="C719" s="7" t="s">
        <v>3869</v>
      </c>
      <c r="D719" s="7" t="s">
        <v>3870</v>
      </c>
      <c r="E719" s="7" t="s">
        <v>3871</v>
      </c>
      <c r="F719" s="7" t="s">
        <v>3872</v>
      </c>
      <c r="G719" s="7"/>
      <c r="H719" s="46" t="s">
        <v>249</v>
      </c>
      <c r="I719" s="7" t="s">
        <v>160</v>
      </c>
      <c r="J719" s="7" t="s">
        <v>148</v>
      </c>
      <c r="K719" s="7"/>
      <c r="L719" s="7"/>
      <c r="M719" s="7"/>
    </row>
    <row r="720" ht="15.75" customHeight="1">
      <c r="A720" s="7" t="s">
        <v>3873</v>
      </c>
      <c r="B720" s="45" t="s">
        <v>3874</v>
      </c>
      <c r="C720" s="7" t="s">
        <v>3875</v>
      </c>
      <c r="D720" s="7" t="s">
        <v>3876</v>
      </c>
      <c r="E720" s="7" t="s">
        <v>3877</v>
      </c>
      <c r="F720" s="7" t="s">
        <v>3878</v>
      </c>
      <c r="G720" s="7"/>
      <c r="H720" s="46" t="s">
        <v>249</v>
      </c>
      <c r="I720" s="7" t="s">
        <v>160</v>
      </c>
      <c r="J720" s="7" t="s">
        <v>148</v>
      </c>
      <c r="K720" s="7"/>
      <c r="L720" s="7"/>
      <c r="M720" s="7"/>
    </row>
    <row r="721" ht="15.75" customHeight="1">
      <c r="A721" s="7" t="s">
        <v>3879</v>
      </c>
      <c r="B721" s="45" t="s">
        <v>3880</v>
      </c>
      <c r="C721" s="7" t="s">
        <v>3881</v>
      </c>
      <c r="D721" s="7" t="s">
        <v>3882</v>
      </c>
      <c r="E721" s="7" t="s">
        <v>3883</v>
      </c>
      <c r="F721" s="7" t="s">
        <v>3884</v>
      </c>
      <c r="G721" s="7"/>
      <c r="H721" s="46" t="s">
        <v>249</v>
      </c>
      <c r="I721" s="7" t="s">
        <v>160</v>
      </c>
      <c r="J721" s="7" t="s">
        <v>148</v>
      </c>
      <c r="K721" s="7"/>
      <c r="L721" s="7"/>
      <c r="M721" s="7"/>
    </row>
    <row r="722" ht="15.75" customHeight="1">
      <c r="A722" s="7" t="s">
        <v>3885</v>
      </c>
      <c r="B722" s="45" t="s">
        <v>3886</v>
      </c>
      <c r="C722" s="7" t="s">
        <v>2431</v>
      </c>
      <c r="D722" s="7" t="s">
        <v>3887</v>
      </c>
      <c r="E722" s="7" t="s">
        <v>3888</v>
      </c>
      <c r="F722" s="7" t="s">
        <v>2433</v>
      </c>
      <c r="G722" s="7"/>
      <c r="H722" s="46" t="s">
        <v>249</v>
      </c>
      <c r="I722" s="7" t="s">
        <v>160</v>
      </c>
      <c r="J722" s="7" t="s">
        <v>148</v>
      </c>
      <c r="K722" s="7"/>
      <c r="L722" s="7"/>
      <c r="M722" s="7"/>
    </row>
    <row r="723" ht="15.75" customHeight="1">
      <c r="A723" s="7" t="s">
        <v>3889</v>
      </c>
      <c r="B723" s="45" t="s">
        <v>3890</v>
      </c>
      <c r="C723" s="7" t="s">
        <v>3891</v>
      </c>
      <c r="D723" s="7" t="s">
        <v>3892</v>
      </c>
      <c r="E723" s="7" t="s">
        <v>3893</v>
      </c>
      <c r="F723" s="7" t="s">
        <v>3894</v>
      </c>
      <c r="G723" s="7"/>
      <c r="H723" s="46" t="s">
        <v>249</v>
      </c>
      <c r="I723" s="7" t="s">
        <v>160</v>
      </c>
      <c r="J723" s="7" t="s">
        <v>148</v>
      </c>
      <c r="K723" s="7"/>
      <c r="L723" s="7"/>
      <c r="M723" s="7"/>
    </row>
    <row r="724" ht="15.75" customHeight="1">
      <c r="A724" s="7" t="s">
        <v>3895</v>
      </c>
      <c r="B724" s="45" t="s">
        <v>3896</v>
      </c>
      <c r="C724" s="7" t="s">
        <v>3897</v>
      </c>
      <c r="D724" s="7" t="s">
        <v>3898</v>
      </c>
      <c r="E724" s="7" t="s">
        <v>3899</v>
      </c>
      <c r="F724" s="7" t="s">
        <v>3900</v>
      </c>
      <c r="G724" s="7"/>
      <c r="H724" s="46" t="s">
        <v>249</v>
      </c>
      <c r="I724" s="7" t="s">
        <v>160</v>
      </c>
      <c r="J724" s="7" t="s">
        <v>148</v>
      </c>
      <c r="K724" s="7"/>
      <c r="L724" s="7"/>
      <c r="M724" s="7"/>
    </row>
    <row r="725" ht="15.75" customHeight="1">
      <c r="A725" s="7" t="s">
        <v>3901</v>
      </c>
      <c r="B725" s="45" t="s">
        <v>3902</v>
      </c>
      <c r="C725" s="7" t="s">
        <v>2077</v>
      </c>
      <c r="D725" s="7" t="s">
        <v>3903</v>
      </c>
      <c r="E725" s="7" t="s">
        <v>3904</v>
      </c>
      <c r="F725" s="7" t="s">
        <v>2080</v>
      </c>
      <c r="G725" s="7"/>
      <c r="H725" s="46" t="s">
        <v>249</v>
      </c>
      <c r="I725" s="7" t="s">
        <v>160</v>
      </c>
      <c r="J725" s="7" t="s">
        <v>148</v>
      </c>
      <c r="K725" s="7"/>
      <c r="L725" s="7"/>
      <c r="M725" s="7"/>
    </row>
    <row r="726" ht="15.75" customHeight="1">
      <c r="A726" s="7" t="s">
        <v>3905</v>
      </c>
      <c r="B726" s="45" t="s">
        <v>3906</v>
      </c>
      <c r="C726" s="7" t="s">
        <v>3907</v>
      </c>
      <c r="D726" s="7" t="s">
        <v>3908</v>
      </c>
      <c r="E726" s="7" t="s">
        <v>3909</v>
      </c>
      <c r="F726" s="7" t="s">
        <v>3910</v>
      </c>
      <c r="G726" s="7"/>
      <c r="H726" s="46" t="s">
        <v>249</v>
      </c>
      <c r="I726" s="7" t="s">
        <v>160</v>
      </c>
      <c r="J726" s="7" t="s">
        <v>148</v>
      </c>
      <c r="K726" s="7"/>
      <c r="L726" s="7"/>
      <c r="M726" s="7"/>
    </row>
    <row r="727" ht="15.75" customHeight="1">
      <c r="A727" s="7" t="s">
        <v>3911</v>
      </c>
      <c r="B727" s="45" t="s">
        <v>3912</v>
      </c>
      <c r="C727" s="7" t="s">
        <v>3913</v>
      </c>
      <c r="D727" s="7" t="s">
        <v>3914</v>
      </c>
      <c r="E727" s="7" t="s">
        <v>3915</v>
      </c>
      <c r="F727" s="7" t="s">
        <v>3916</v>
      </c>
      <c r="G727" s="7"/>
      <c r="H727" s="46" t="s">
        <v>249</v>
      </c>
      <c r="I727" s="7" t="s">
        <v>160</v>
      </c>
      <c r="J727" s="7" t="s">
        <v>148</v>
      </c>
      <c r="K727" s="7"/>
      <c r="L727" s="7"/>
      <c r="M727" s="7"/>
    </row>
    <row r="728" ht="15.75" customHeight="1">
      <c r="A728" s="7" t="s">
        <v>3917</v>
      </c>
      <c r="B728" s="45" t="s">
        <v>3918</v>
      </c>
      <c r="C728" s="7" t="s">
        <v>3919</v>
      </c>
      <c r="D728" s="7" t="s">
        <v>3920</v>
      </c>
      <c r="E728" s="7" t="s">
        <v>3921</v>
      </c>
      <c r="F728" s="7" t="s">
        <v>3922</v>
      </c>
      <c r="G728" s="7"/>
      <c r="H728" s="46" t="s">
        <v>249</v>
      </c>
      <c r="I728" s="7" t="s">
        <v>160</v>
      </c>
      <c r="J728" s="7" t="s">
        <v>148</v>
      </c>
      <c r="K728" s="7"/>
      <c r="L728" s="7"/>
      <c r="M728" s="7"/>
    </row>
    <row r="729" ht="15.75" customHeight="1">
      <c r="A729" s="7" t="s">
        <v>3923</v>
      </c>
      <c r="B729" s="45" t="s">
        <v>3924</v>
      </c>
      <c r="C729" s="7" t="s">
        <v>3925</v>
      </c>
      <c r="D729" s="7" t="s">
        <v>3920</v>
      </c>
      <c r="E729" s="7" t="s">
        <v>3921</v>
      </c>
      <c r="F729" s="7" t="s">
        <v>3922</v>
      </c>
      <c r="G729" s="7"/>
      <c r="H729" s="46" t="s">
        <v>249</v>
      </c>
      <c r="I729" s="7" t="s">
        <v>160</v>
      </c>
      <c r="J729" s="7" t="s">
        <v>148</v>
      </c>
      <c r="K729" s="7"/>
      <c r="L729" s="7"/>
      <c r="M729" s="7"/>
    </row>
    <row r="730" ht="15.75" customHeight="1">
      <c r="A730" s="7" t="s">
        <v>3926</v>
      </c>
      <c r="B730" s="45" t="s">
        <v>3927</v>
      </c>
      <c r="C730" s="7" t="s">
        <v>1512</v>
      </c>
      <c r="D730" s="7" t="s">
        <v>3928</v>
      </c>
      <c r="E730" s="7" t="s">
        <v>1514</v>
      </c>
      <c r="F730" s="7" t="s">
        <v>1515</v>
      </c>
      <c r="G730" s="7"/>
      <c r="H730" s="46" t="s">
        <v>249</v>
      </c>
      <c r="I730" s="7" t="s">
        <v>160</v>
      </c>
      <c r="J730" s="7" t="s">
        <v>148</v>
      </c>
      <c r="K730" s="7"/>
      <c r="L730" s="7"/>
      <c r="M730" s="7"/>
    </row>
    <row r="731" ht="15.75" customHeight="1">
      <c r="A731" s="7" t="s">
        <v>3929</v>
      </c>
      <c r="B731" s="45" t="s">
        <v>3930</v>
      </c>
      <c r="C731" s="7" t="s">
        <v>3931</v>
      </c>
      <c r="D731" s="7" t="s">
        <v>3932</v>
      </c>
      <c r="E731" s="7" t="s">
        <v>3933</v>
      </c>
      <c r="F731" s="7" t="s">
        <v>3934</v>
      </c>
      <c r="G731" s="7"/>
      <c r="H731" s="46" t="s">
        <v>249</v>
      </c>
      <c r="I731" s="7" t="s">
        <v>160</v>
      </c>
      <c r="J731" s="7" t="s">
        <v>148</v>
      </c>
      <c r="K731" s="7"/>
      <c r="L731" s="7"/>
      <c r="M731" s="7"/>
    </row>
    <row r="732" ht="15.75" customHeight="1">
      <c r="A732" s="7" t="s">
        <v>3935</v>
      </c>
      <c r="B732" s="45" t="s">
        <v>3936</v>
      </c>
      <c r="C732" s="7" t="s">
        <v>3937</v>
      </c>
      <c r="D732" s="7" t="s">
        <v>3938</v>
      </c>
      <c r="E732" s="7" t="s">
        <v>3939</v>
      </c>
      <c r="F732" s="7" t="s">
        <v>3940</v>
      </c>
      <c r="G732" s="7"/>
      <c r="H732" s="46" t="s">
        <v>249</v>
      </c>
      <c r="I732" s="7" t="s">
        <v>160</v>
      </c>
      <c r="J732" s="7" t="s">
        <v>148</v>
      </c>
      <c r="K732" s="7"/>
      <c r="L732" s="7"/>
      <c r="M732" s="7"/>
    </row>
    <row r="733" ht="15.75" customHeight="1">
      <c r="A733" s="7" t="s">
        <v>3941</v>
      </c>
      <c r="B733" s="45" t="s">
        <v>3942</v>
      </c>
      <c r="C733" s="7" t="s">
        <v>3943</v>
      </c>
      <c r="D733" s="7" t="s">
        <v>3944</v>
      </c>
      <c r="E733" s="7" t="s">
        <v>3945</v>
      </c>
      <c r="F733" s="7" t="s">
        <v>3946</v>
      </c>
      <c r="G733" s="7"/>
      <c r="H733" s="46" t="s">
        <v>249</v>
      </c>
      <c r="I733" s="7" t="s">
        <v>160</v>
      </c>
      <c r="J733" s="7" t="s">
        <v>148</v>
      </c>
      <c r="K733" s="7"/>
      <c r="L733" s="7"/>
      <c r="M733" s="7"/>
    </row>
    <row r="734" ht="15.75" customHeight="1">
      <c r="A734" s="7" t="s">
        <v>3947</v>
      </c>
      <c r="B734" s="45" t="s">
        <v>3948</v>
      </c>
      <c r="C734" s="7" t="s">
        <v>3949</v>
      </c>
      <c r="D734" s="7" t="s">
        <v>3950</v>
      </c>
      <c r="E734" s="7" t="s">
        <v>3951</v>
      </c>
      <c r="F734" s="7" t="s">
        <v>3952</v>
      </c>
      <c r="G734" s="7"/>
      <c r="H734" s="46" t="s">
        <v>249</v>
      </c>
      <c r="I734" s="7" t="s">
        <v>160</v>
      </c>
      <c r="J734" s="7" t="s">
        <v>148</v>
      </c>
      <c r="K734" s="7"/>
      <c r="L734" s="7"/>
      <c r="M734" s="7"/>
    </row>
    <row r="735" ht="15.75" customHeight="1">
      <c r="A735" s="7" t="s">
        <v>3953</v>
      </c>
      <c r="B735" s="45" t="s">
        <v>3954</v>
      </c>
      <c r="C735" s="7" t="s">
        <v>914</v>
      </c>
      <c r="D735" s="7" t="s">
        <v>3955</v>
      </c>
      <c r="E735" s="7" t="s">
        <v>916</v>
      </c>
      <c r="F735" s="7" t="s">
        <v>917</v>
      </c>
      <c r="G735" s="7"/>
      <c r="H735" s="46" t="s">
        <v>249</v>
      </c>
      <c r="I735" s="7" t="s">
        <v>160</v>
      </c>
      <c r="J735" s="7" t="s">
        <v>148</v>
      </c>
      <c r="K735" s="7"/>
      <c r="L735" s="7"/>
      <c r="M735" s="7"/>
    </row>
    <row r="736" ht="15.75" customHeight="1">
      <c r="A736" s="7" t="s">
        <v>3956</v>
      </c>
      <c r="B736" s="45" t="s">
        <v>3957</v>
      </c>
      <c r="C736" s="7" t="s">
        <v>3118</v>
      </c>
      <c r="D736" s="7" t="s">
        <v>3958</v>
      </c>
      <c r="E736" s="7" t="s">
        <v>3959</v>
      </c>
      <c r="F736" s="7" t="s">
        <v>3121</v>
      </c>
      <c r="G736" s="7"/>
      <c r="H736" s="46" t="s">
        <v>249</v>
      </c>
      <c r="I736" s="7" t="s">
        <v>160</v>
      </c>
      <c r="J736" s="7" t="s">
        <v>148</v>
      </c>
      <c r="K736" s="7"/>
      <c r="L736" s="7"/>
      <c r="M736" s="7"/>
    </row>
    <row r="737" ht="15.75" customHeight="1">
      <c r="A737" s="7" t="s">
        <v>3960</v>
      </c>
      <c r="B737" s="45" t="s">
        <v>3961</v>
      </c>
      <c r="C737" s="7" t="s">
        <v>3962</v>
      </c>
      <c r="D737" s="7" t="s">
        <v>3963</v>
      </c>
      <c r="E737" s="7" t="s">
        <v>3964</v>
      </c>
      <c r="F737" s="7" t="s">
        <v>3965</v>
      </c>
      <c r="G737" s="7"/>
      <c r="H737" s="46" t="s">
        <v>249</v>
      </c>
      <c r="I737" s="7" t="s">
        <v>160</v>
      </c>
      <c r="J737" s="7" t="s">
        <v>148</v>
      </c>
      <c r="K737" s="7"/>
      <c r="L737" s="7"/>
      <c r="M737" s="7"/>
    </row>
    <row r="738" ht="15.75" customHeight="1">
      <c r="A738" s="7" t="s">
        <v>3966</v>
      </c>
      <c r="B738" s="45" t="s">
        <v>3967</v>
      </c>
      <c r="C738" s="7" t="s">
        <v>3962</v>
      </c>
      <c r="D738" s="7" t="s">
        <v>3968</v>
      </c>
      <c r="E738" s="7" t="s">
        <v>3964</v>
      </c>
      <c r="F738" s="7" t="s">
        <v>3965</v>
      </c>
      <c r="G738" s="7"/>
      <c r="H738" s="46" t="s">
        <v>249</v>
      </c>
      <c r="I738" s="7" t="s">
        <v>160</v>
      </c>
      <c r="J738" s="7" t="s">
        <v>148</v>
      </c>
      <c r="K738" s="7"/>
      <c r="L738" s="7"/>
      <c r="M738" s="7"/>
    </row>
    <row r="739" ht="15.75" customHeight="1">
      <c r="A739" s="7" t="s">
        <v>3969</v>
      </c>
      <c r="B739" s="45" t="s">
        <v>3970</v>
      </c>
      <c r="C739" s="7" t="s">
        <v>3971</v>
      </c>
      <c r="D739" s="7" t="s">
        <v>3972</v>
      </c>
      <c r="E739" s="7" t="s">
        <v>3973</v>
      </c>
      <c r="F739" s="7" t="s">
        <v>3974</v>
      </c>
      <c r="G739" s="7"/>
      <c r="H739" s="46" t="s">
        <v>249</v>
      </c>
      <c r="I739" s="7" t="s">
        <v>160</v>
      </c>
      <c r="J739" s="7" t="s">
        <v>148</v>
      </c>
      <c r="K739" s="7"/>
      <c r="L739" s="7"/>
      <c r="M739" s="7"/>
    </row>
    <row r="740" ht="15.75" customHeight="1">
      <c r="A740" s="7" t="s">
        <v>3975</v>
      </c>
      <c r="B740" s="45" t="s">
        <v>3976</v>
      </c>
      <c r="C740" s="7" t="s">
        <v>1490</v>
      </c>
      <c r="D740" s="7" t="s">
        <v>3977</v>
      </c>
      <c r="E740" s="7" t="s">
        <v>3978</v>
      </c>
      <c r="F740" s="7" t="s">
        <v>1493</v>
      </c>
      <c r="G740" s="7"/>
      <c r="H740" s="46" t="s">
        <v>249</v>
      </c>
      <c r="I740" s="7" t="s">
        <v>160</v>
      </c>
      <c r="J740" s="7" t="s">
        <v>148</v>
      </c>
      <c r="K740" s="7"/>
      <c r="L740" s="7"/>
      <c r="M740" s="7"/>
    </row>
    <row r="741" ht="15.75" customHeight="1">
      <c r="A741" s="7" t="s">
        <v>3979</v>
      </c>
      <c r="B741" s="45" t="s">
        <v>3980</v>
      </c>
      <c r="C741" s="7" t="s">
        <v>1490</v>
      </c>
      <c r="D741" s="7" t="s">
        <v>3981</v>
      </c>
      <c r="E741" s="7" t="s">
        <v>3978</v>
      </c>
      <c r="F741" s="7" t="s">
        <v>1493</v>
      </c>
      <c r="G741" s="7"/>
      <c r="H741" s="46" t="s">
        <v>249</v>
      </c>
      <c r="I741" s="7" t="s">
        <v>160</v>
      </c>
      <c r="J741" s="7" t="s">
        <v>148</v>
      </c>
      <c r="K741" s="7"/>
      <c r="L741" s="7"/>
      <c r="M741" s="7"/>
    </row>
    <row r="742" ht="15.75" customHeight="1">
      <c r="A742" s="7" t="s">
        <v>3982</v>
      </c>
      <c r="B742" s="45" t="s">
        <v>3983</v>
      </c>
      <c r="C742" s="7" t="s">
        <v>1490</v>
      </c>
      <c r="D742" s="7" t="s">
        <v>3984</v>
      </c>
      <c r="E742" s="7" t="s">
        <v>3978</v>
      </c>
      <c r="F742" s="7" t="s">
        <v>1493</v>
      </c>
      <c r="G742" s="7"/>
      <c r="H742" s="46" t="s">
        <v>249</v>
      </c>
      <c r="I742" s="7" t="s">
        <v>160</v>
      </c>
      <c r="J742" s="7" t="s">
        <v>148</v>
      </c>
      <c r="K742" s="7"/>
      <c r="L742" s="7"/>
      <c r="M742" s="7"/>
    </row>
    <row r="743" ht="15.75" customHeight="1">
      <c r="A743" s="7" t="s">
        <v>3985</v>
      </c>
      <c r="B743" s="45" t="s">
        <v>3986</v>
      </c>
      <c r="C743" s="7" t="s">
        <v>3987</v>
      </c>
      <c r="D743" s="7" t="s">
        <v>3988</v>
      </c>
      <c r="E743" s="7" t="s">
        <v>3989</v>
      </c>
      <c r="F743" s="7" t="s">
        <v>3990</v>
      </c>
      <c r="G743" s="7"/>
      <c r="H743" s="46" t="s">
        <v>249</v>
      </c>
      <c r="I743" s="7" t="s">
        <v>160</v>
      </c>
      <c r="J743" s="7" t="s">
        <v>148</v>
      </c>
      <c r="K743" s="7"/>
      <c r="L743" s="7"/>
      <c r="M743" s="7"/>
    </row>
    <row r="744" ht="15.75" customHeight="1">
      <c r="A744" s="7" t="s">
        <v>3991</v>
      </c>
      <c r="B744" s="45" t="s">
        <v>3992</v>
      </c>
      <c r="C744" s="7" t="s">
        <v>3993</v>
      </c>
      <c r="D744" s="7" t="s">
        <v>3994</v>
      </c>
      <c r="E744" s="7" t="s">
        <v>3995</v>
      </c>
      <c r="F744" s="7" t="s">
        <v>3996</v>
      </c>
      <c r="G744" s="7"/>
      <c r="H744" s="46" t="s">
        <v>249</v>
      </c>
      <c r="I744" s="7" t="s">
        <v>160</v>
      </c>
      <c r="J744" s="7" t="s">
        <v>148</v>
      </c>
      <c r="K744" s="7"/>
      <c r="L744" s="7"/>
      <c r="M744" s="7"/>
    </row>
    <row r="745" ht="15.75" customHeight="1">
      <c r="A745" s="7" t="s">
        <v>3997</v>
      </c>
      <c r="B745" s="45" t="s">
        <v>3998</v>
      </c>
      <c r="C745" s="7" t="s">
        <v>2467</v>
      </c>
      <c r="D745" s="7" t="s">
        <v>3999</v>
      </c>
      <c r="E745" s="7" t="s">
        <v>4000</v>
      </c>
      <c r="F745" s="7" t="s">
        <v>1801</v>
      </c>
      <c r="G745" s="7"/>
      <c r="H745" s="46" t="s">
        <v>249</v>
      </c>
      <c r="I745" s="7" t="s">
        <v>160</v>
      </c>
      <c r="J745" s="7" t="s">
        <v>148</v>
      </c>
      <c r="K745" s="7"/>
      <c r="L745" s="7"/>
      <c r="M745" s="7"/>
    </row>
    <row r="746" ht="15.75" customHeight="1">
      <c r="A746" s="7" t="s">
        <v>4001</v>
      </c>
      <c r="B746" s="45" t="s">
        <v>4002</v>
      </c>
      <c r="C746" s="7" t="s">
        <v>4003</v>
      </c>
      <c r="D746" s="7" t="s">
        <v>4004</v>
      </c>
      <c r="E746" s="7" t="s">
        <v>4005</v>
      </c>
      <c r="F746" s="7" t="s">
        <v>4006</v>
      </c>
      <c r="G746" s="7" t="s">
        <v>4007</v>
      </c>
      <c r="H746" s="46" t="s">
        <v>249</v>
      </c>
      <c r="I746" s="7" t="s">
        <v>160</v>
      </c>
      <c r="J746" s="7" t="s">
        <v>148</v>
      </c>
      <c r="K746" s="7"/>
      <c r="L746" s="7"/>
      <c r="M746" s="7"/>
    </row>
    <row r="747" ht="15.75" customHeight="1">
      <c r="A747" s="7" t="s">
        <v>4008</v>
      </c>
      <c r="B747" s="45" t="s">
        <v>4009</v>
      </c>
      <c r="C747" s="7" t="s">
        <v>4010</v>
      </c>
      <c r="D747" s="7" t="s">
        <v>4011</v>
      </c>
      <c r="E747" s="7" t="s">
        <v>4012</v>
      </c>
      <c r="F747" s="7" t="s">
        <v>4013</v>
      </c>
      <c r="G747" s="7"/>
      <c r="H747" s="46" t="s">
        <v>249</v>
      </c>
      <c r="I747" s="7" t="s">
        <v>160</v>
      </c>
      <c r="J747" s="7" t="s">
        <v>148</v>
      </c>
      <c r="K747" s="7"/>
      <c r="L747" s="7"/>
      <c r="M747" s="7"/>
    </row>
    <row r="748" ht="15.75" customHeight="1">
      <c r="A748" s="7" t="s">
        <v>4014</v>
      </c>
      <c r="B748" s="45" t="s">
        <v>4015</v>
      </c>
      <c r="C748" s="7" t="s">
        <v>4016</v>
      </c>
      <c r="D748" s="7" t="s">
        <v>4017</v>
      </c>
      <c r="E748" s="7" t="s">
        <v>4018</v>
      </c>
      <c r="F748" s="7" t="s">
        <v>4019</v>
      </c>
      <c r="G748" s="7"/>
      <c r="H748" s="46" t="s">
        <v>249</v>
      </c>
      <c r="I748" s="7" t="s">
        <v>160</v>
      </c>
      <c r="J748" s="7" t="s">
        <v>148</v>
      </c>
      <c r="K748" s="7"/>
      <c r="L748" s="7"/>
      <c r="M748" s="7"/>
    </row>
    <row r="749" ht="15.75" customHeight="1">
      <c r="A749" s="7" t="s">
        <v>4020</v>
      </c>
      <c r="B749" s="45" t="s">
        <v>4021</v>
      </c>
      <c r="C749" s="7" t="s">
        <v>4022</v>
      </c>
      <c r="D749" s="7" t="s">
        <v>4023</v>
      </c>
      <c r="E749" s="7" t="s">
        <v>4024</v>
      </c>
      <c r="F749" s="7" t="s">
        <v>4025</v>
      </c>
      <c r="G749" s="7"/>
      <c r="H749" s="46" t="s">
        <v>249</v>
      </c>
      <c r="I749" s="7" t="s">
        <v>160</v>
      </c>
      <c r="J749" s="7" t="s">
        <v>148</v>
      </c>
      <c r="K749" s="7"/>
      <c r="L749" s="7"/>
      <c r="M749" s="7"/>
    </row>
    <row r="750" ht="15.75" customHeight="1">
      <c r="A750" s="7" t="s">
        <v>4026</v>
      </c>
      <c r="B750" s="45" t="s">
        <v>4027</v>
      </c>
      <c r="C750" s="7" t="s">
        <v>1469</v>
      </c>
      <c r="D750" s="7" t="s">
        <v>4028</v>
      </c>
      <c r="E750" s="7" t="s">
        <v>4029</v>
      </c>
      <c r="F750" s="7" t="s">
        <v>4030</v>
      </c>
      <c r="G750" s="7"/>
      <c r="H750" s="46" t="s">
        <v>249</v>
      </c>
      <c r="I750" s="7" t="s">
        <v>160</v>
      </c>
      <c r="J750" s="7" t="s">
        <v>148</v>
      </c>
      <c r="K750" s="7"/>
      <c r="L750" s="7"/>
      <c r="M750" s="7"/>
    </row>
    <row r="751" ht="15.75" customHeight="1">
      <c r="A751" s="7" t="s">
        <v>4031</v>
      </c>
      <c r="B751" s="45" t="s">
        <v>4032</v>
      </c>
      <c r="C751" s="7" t="s">
        <v>4033</v>
      </c>
      <c r="D751" s="7" t="s">
        <v>4034</v>
      </c>
      <c r="E751" s="7" t="s">
        <v>4035</v>
      </c>
      <c r="F751" s="7" t="s">
        <v>4036</v>
      </c>
      <c r="G751" s="7"/>
      <c r="H751" s="46" t="s">
        <v>249</v>
      </c>
      <c r="I751" s="7" t="s">
        <v>160</v>
      </c>
      <c r="J751" s="7" t="s">
        <v>148</v>
      </c>
      <c r="K751" s="7"/>
      <c r="L751" s="7"/>
      <c r="M751" s="7"/>
    </row>
    <row r="752" ht="15.75" customHeight="1">
      <c r="A752" s="7" t="s">
        <v>4037</v>
      </c>
      <c r="B752" s="45" t="s">
        <v>4038</v>
      </c>
      <c r="C752" s="7" t="s">
        <v>4039</v>
      </c>
      <c r="D752" s="7" t="s">
        <v>4040</v>
      </c>
      <c r="E752" s="7" t="s">
        <v>4041</v>
      </c>
      <c r="F752" s="7" t="s">
        <v>2433</v>
      </c>
      <c r="G752" s="7" t="s">
        <v>4042</v>
      </c>
      <c r="H752" s="46" t="s">
        <v>249</v>
      </c>
      <c r="I752" s="7" t="s">
        <v>160</v>
      </c>
      <c r="J752" s="7" t="s">
        <v>148</v>
      </c>
      <c r="K752" s="7"/>
      <c r="L752" s="7"/>
      <c r="M752" s="7"/>
    </row>
    <row r="753" ht="15.75" customHeight="1">
      <c r="A753" s="7" t="s">
        <v>4043</v>
      </c>
      <c r="B753" s="45" t="s">
        <v>4044</v>
      </c>
      <c r="C753" s="7" t="s">
        <v>4045</v>
      </c>
      <c r="D753" s="7" t="s">
        <v>4046</v>
      </c>
      <c r="E753" s="7" t="s">
        <v>4047</v>
      </c>
      <c r="F753" s="7" t="s">
        <v>4048</v>
      </c>
      <c r="G753" s="7"/>
      <c r="H753" s="46" t="s">
        <v>249</v>
      </c>
      <c r="I753" s="7" t="s">
        <v>160</v>
      </c>
      <c r="J753" s="7" t="s">
        <v>148</v>
      </c>
      <c r="K753" s="7"/>
      <c r="L753" s="7"/>
      <c r="M753" s="7"/>
    </row>
    <row r="754" ht="15.75" customHeight="1">
      <c r="A754" s="7" t="s">
        <v>4049</v>
      </c>
      <c r="B754" s="45" t="s">
        <v>4050</v>
      </c>
      <c r="C754" s="7" t="s">
        <v>4051</v>
      </c>
      <c r="D754" s="7" t="s">
        <v>4052</v>
      </c>
      <c r="E754" s="7" t="s">
        <v>3326</v>
      </c>
      <c r="F754" s="7" t="s">
        <v>3327</v>
      </c>
      <c r="G754" s="7" t="s">
        <v>4053</v>
      </c>
      <c r="H754" s="46" t="s">
        <v>249</v>
      </c>
      <c r="I754" s="7" t="s">
        <v>160</v>
      </c>
      <c r="J754" s="7" t="s">
        <v>148</v>
      </c>
      <c r="K754" s="7"/>
      <c r="L754" s="7"/>
      <c r="M754" s="7"/>
    </row>
    <row r="755" ht="15.75" customHeight="1">
      <c r="A755" s="7" t="s">
        <v>4054</v>
      </c>
      <c r="B755" s="45" t="s">
        <v>4055</v>
      </c>
      <c r="C755" s="7" t="s">
        <v>3330</v>
      </c>
      <c r="D755" s="7" t="s">
        <v>3331</v>
      </c>
      <c r="E755" s="7" t="s">
        <v>4056</v>
      </c>
      <c r="F755" s="7" t="s">
        <v>3333</v>
      </c>
      <c r="G755" s="7"/>
      <c r="H755" s="46" t="s">
        <v>249</v>
      </c>
      <c r="I755" s="7" t="s">
        <v>160</v>
      </c>
      <c r="J755" s="7" t="s">
        <v>148</v>
      </c>
      <c r="K755" s="7"/>
      <c r="L755" s="7"/>
      <c r="M755" s="7"/>
    </row>
    <row r="756" ht="15.75" customHeight="1">
      <c r="A756" s="7" t="s">
        <v>4057</v>
      </c>
      <c r="B756" s="45" t="s">
        <v>4058</v>
      </c>
      <c r="C756" s="7" t="s">
        <v>4059</v>
      </c>
      <c r="D756" s="7" t="s">
        <v>4060</v>
      </c>
      <c r="E756" s="7" t="s">
        <v>4061</v>
      </c>
      <c r="F756" s="7" t="s">
        <v>4062</v>
      </c>
      <c r="G756" s="7"/>
      <c r="H756" s="46" t="s">
        <v>249</v>
      </c>
      <c r="I756" s="7" t="s">
        <v>160</v>
      </c>
      <c r="J756" s="7" t="s">
        <v>148</v>
      </c>
      <c r="K756" s="7"/>
      <c r="L756" s="7"/>
      <c r="M756" s="7"/>
    </row>
    <row r="757" ht="15.75" customHeight="1">
      <c r="A757" s="7" t="s">
        <v>4063</v>
      </c>
      <c r="B757" s="45" t="s">
        <v>4064</v>
      </c>
      <c r="C757" s="7" t="s">
        <v>4065</v>
      </c>
      <c r="D757" s="7" t="s">
        <v>4066</v>
      </c>
      <c r="E757" s="7" t="s">
        <v>4067</v>
      </c>
      <c r="F757" s="7" t="s">
        <v>3219</v>
      </c>
      <c r="G757" s="7"/>
      <c r="H757" s="46" t="s">
        <v>249</v>
      </c>
      <c r="I757" s="7" t="s">
        <v>160</v>
      </c>
      <c r="J757" s="7" t="s">
        <v>148</v>
      </c>
      <c r="K757" s="7"/>
      <c r="L757" s="7"/>
      <c r="M757" s="7"/>
    </row>
    <row r="758" ht="15.75" customHeight="1">
      <c r="A758" s="7" t="s">
        <v>4068</v>
      </c>
      <c r="B758" s="45" t="s">
        <v>4069</v>
      </c>
      <c r="C758" s="7" t="s">
        <v>4070</v>
      </c>
      <c r="D758" s="7" t="s">
        <v>4071</v>
      </c>
      <c r="E758" s="7" t="s">
        <v>4072</v>
      </c>
      <c r="F758" s="7" t="s">
        <v>4073</v>
      </c>
      <c r="G758" s="7"/>
      <c r="H758" s="46" t="s">
        <v>249</v>
      </c>
      <c r="I758" s="7" t="s">
        <v>160</v>
      </c>
      <c r="J758" s="7" t="s">
        <v>148</v>
      </c>
      <c r="K758" s="7"/>
      <c r="L758" s="7"/>
      <c r="M758" s="7"/>
    </row>
    <row r="759" ht="15.75" customHeight="1">
      <c r="A759" s="7" t="s">
        <v>4074</v>
      </c>
      <c r="B759" s="45" t="s">
        <v>4075</v>
      </c>
      <c r="C759" s="7" t="s">
        <v>4076</v>
      </c>
      <c r="D759" s="7" t="s">
        <v>4077</v>
      </c>
      <c r="E759" s="7" t="s">
        <v>4078</v>
      </c>
      <c r="F759" s="7" t="s">
        <v>4079</v>
      </c>
      <c r="G759" s="7"/>
      <c r="H759" s="46" t="s">
        <v>249</v>
      </c>
      <c r="I759" s="7" t="s">
        <v>160</v>
      </c>
      <c r="J759" s="7" t="s">
        <v>148</v>
      </c>
      <c r="K759" s="7"/>
      <c r="L759" s="7"/>
      <c r="M759" s="7"/>
    </row>
    <row r="760" ht="15.75" customHeight="1">
      <c r="A760" s="7" t="s">
        <v>4080</v>
      </c>
      <c r="B760" s="45" t="s">
        <v>4081</v>
      </c>
      <c r="C760" s="7" t="s">
        <v>4082</v>
      </c>
      <c r="D760" s="7" t="s">
        <v>4083</v>
      </c>
      <c r="E760" s="7" t="s">
        <v>4084</v>
      </c>
      <c r="F760" s="7" t="s">
        <v>2433</v>
      </c>
      <c r="G760" s="7"/>
      <c r="H760" s="46" t="s">
        <v>249</v>
      </c>
      <c r="I760" s="7" t="s">
        <v>160</v>
      </c>
      <c r="J760" s="7" t="s">
        <v>148</v>
      </c>
      <c r="K760" s="7"/>
      <c r="L760" s="7"/>
      <c r="M760" s="7"/>
    </row>
    <row r="761" ht="15.75" customHeight="1">
      <c r="A761" s="7" t="s">
        <v>4085</v>
      </c>
      <c r="B761" s="45" t="s">
        <v>4086</v>
      </c>
      <c r="C761" s="7" t="s">
        <v>4087</v>
      </c>
      <c r="D761" s="7" t="s">
        <v>4088</v>
      </c>
      <c r="E761" s="7" t="s">
        <v>4089</v>
      </c>
      <c r="F761" s="7" t="s">
        <v>4090</v>
      </c>
      <c r="G761" s="7"/>
      <c r="H761" s="46" t="s">
        <v>249</v>
      </c>
      <c r="I761" s="7" t="s">
        <v>160</v>
      </c>
      <c r="J761" s="7" t="s">
        <v>148</v>
      </c>
      <c r="K761" s="7"/>
      <c r="L761" s="7"/>
      <c r="M761" s="7"/>
    </row>
    <row r="762" ht="15.75" customHeight="1">
      <c r="A762" s="7" t="s">
        <v>4091</v>
      </c>
      <c r="B762" s="45" t="s">
        <v>4092</v>
      </c>
      <c r="C762" s="7" t="s">
        <v>4093</v>
      </c>
      <c r="D762" s="7" t="s">
        <v>4094</v>
      </c>
      <c r="E762" s="7" t="s">
        <v>4095</v>
      </c>
      <c r="F762" s="7" t="s">
        <v>4096</v>
      </c>
      <c r="G762" s="7"/>
      <c r="H762" s="46" t="s">
        <v>249</v>
      </c>
      <c r="I762" s="7" t="s">
        <v>160</v>
      </c>
      <c r="J762" s="7" t="s">
        <v>148</v>
      </c>
      <c r="K762" s="7"/>
      <c r="L762" s="7"/>
      <c r="M762" s="7"/>
    </row>
    <row r="763" ht="15.75" customHeight="1">
      <c r="A763" s="7" t="s">
        <v>4097</v>
      </c>
      <c r="B763" s="45" t="s">
        <v>4098</v>
      </c>
      <c r="C763" s="7" t="s">
        <v>4099</v>
      </c>
      <c r="D763" s="7" t="s">
        <v>4100</v>
      </c>
      <c r="E763" s="7" t="s">
        <v>4101</v>
      </c>
      <c r="F763" s="7" t="s">
        <v>4102</v>
      </c>
      <c r="G763" s="7"/>
      <c r="H763" s="46" t="s">
        <v>249</v>
      </c>
      <c r="I763" s="7" t="s">
        <v>160</v>
      </c>
      <c r="J763" s="7" t="s">
        <v>148</v>
      </c>
      <c r="K763" s="7"/>
      <c r="L763" s="7"/>
      <c r="M763" s="7"/>
    </row>
    <row r="764" ht="15.75" customHeight="1">
      <c r="A764" s="7" t="s">
        <v>4103</v>
      </c>
      <c r="B764" s="45" t="s">
        <v>4104</v>
      </c>
      <c r="C764" s="7" t="s">
        <v>4105</v>
      </c>
      <c r="D764" s="7" t="s">
        <v>4106</v>
      </c>
      <c r="E764" s="7" t="s">
        <v>4107</v>
      </c>
      <c r="F764" s="7" t="s">
        <v>1521</v>
      </c>
      <c r="G764" s="7"/>
      <c r="H764" s="46" t="s">
        <v>249</v>
      </c>
      <c r="I764" s="7" t="s">
        <v>160</v>
      </c>
      <c r="J764" s="7" t="s">
        <v>148</v>
      </c>
      <c r="K764" s="7"/>
      <c r="L764" s="7"/>
      <c r="M764" s="7"/>
    </row>
    <row r="765" ht="15.75" customHeight="1">
      <c r="A765" s="7" t="s">
        <v>4108</v>
      </c>
      <c r="B765" s="45" t="s">
        <v>4109</v>
      </c>
      <c r="C765" s="7" t="s">
        <v>4110</v>
      </c>
      <c r="D765" s="7" t="s">
        <v>4111</v>
      </c>
      <c r="E765" s="7" t="s">
        <v>4112</v>
      </c>
      <c r="F765" s="7" t="s">
        <v>4113</v>
      </c>
      <c r="G765" s="7"/>
      <c r="H765" s="46" t="s">
        <v>249</v>
      </c>
      <c r="I765" s="7" t="s">
        <v>160</v>
      </c>
      <c r="J765" s="7" t="s">
        <v>148</v>
      </c>
      <c r="K765" s="7"/>
      <c r="L765" s="7"/>
      <c r="M765" s="7"/>
    </row>
    <row r="766" ht="15.75" customHeight="1">
      <c r="A766" s="7" t="s">
        <v>4114</v>
      </c>
      <c r="B766" s="45" t="s">
        <v>4115</v>
      </c>
      <c r="C766" s="7" t="s">
        <v>4116</v>
      </c>
      <c r="D766" s="7" t="s">
        <v>3892</v>
      </c>
      <c r="E766" s="7" t="s">
        <v>3893</v>
      </c>
      <c r="F766" s="7" t="s">
        <v>3894</v>
      </c>
      <c r="G766" s="7"/>
      <c r="H766" s="46" t="s">
        <v>249</v>
      </c>
      <c r="I766" s="7" t="s">
        <v>160</v>
      </c>
      <c r="J766" s="7" t="s">
        <v>148</v>
      </c>
      <c r="K766" s="7"/>
      <c r="L766" s="7"/>
      <c r="M766" s="7"/>
    </row>
    <row r="767" ht="15.75" customHeight="1">
      <c r="A767" s="7" t="s">
        <v>4117</v>
      </c>
      <c r="B767" s="45" t="s">
        <v>4118</v>
      </c>
      <c r="C767" s="7" t="s">
        <v>1490</v>
      </c>
      <c r="D767" s="7" t="s">
        <v>4119</v>
      </c>
      <c r="E767" s="7" t="s">
        <v>3978</v>
      </c>
      <c r="F767" s="7" t="s">
        <v>1493</v>
      </c>
      <c r="G767" s="7"/>
      <c r="H767" s="46" t="s">
        <v>249</v>
      </c>
      <c r="I767" s="7" t="s">
        <v>160</v>
      </c>
      <c r="J767" s="7" t="s">
        <v>148</v>
      </c>
      <c r="K767" s="7"/>
      <c r="L767" s="7"/>
      <c r="M767" s="7"/>
    </row>
    <row r="768" ht="15.75" customHeight="1">
      <c r="A768" s="7" t="s">
        <v>4120</v>
      </c>
      <c r="B768" s="45" t="s">
        <v>4121</v>
      </c>
      <c r="C768" s="7" t="s">
        <v>4122</v>
      </c>
      <c r="D768" s="7" t="s">
        <v>4123</v>
      </c>
      <c r="E768" s="7" t="s">
        <v>4124</v>
      </c>
      <c r="F768" s="7" t="s">
        <v>4125</v>
      </c>
      <c r="G768" s="7"/>
      <c r="H768" s="46" t="s">
        <v>249</v>
      </c>
      <c r="I768" s="7" t="s">
        <v>160</v>
      </c>
      <c r="J768" s="7" t="s">
        <v>148</v>
      </c>
      <c r="K768" s="7"/>
      <c r="L768" s="7"/>
      <c r="M768" s="7"/>
    </row>
    <row r="769" ht="15.75" customHeight="1">
      <c r="A769" s="7" t="s">
        <v>4126</v>
      </c>
      <c r="B769" s="45" t="s">
        <v>4127</v>
      </c>
      <c r="C769" s="7" t="s">
        <v>4128</v>
      </c>
      <c r="D769" s="7" t="s">
        <v>4129</v>
      </c>
      <c r="E769" s="7" t="s">
        <v>4130</v>
      </c>
      <c r="F769" s="7" t="s">
        <v>4131</v>
      </c>
      <c r="G769" s="7"/>
      <c r="H769" s="46" t="s">
        <v>249</v>
      </c>
      <c r="I769" s="7" t="s">
        <v>160</v>
      </c>
      <c r="J769" s="7" t="s">
        <v>148</v>
      </c>
      <c r="K769" s="7"/>
      <c r="L769" s="7"/>
      <c r="M769" s="7"/>
    </row>
    <row r="770" ht="15.75" customHeight="1">
      <c r="A770" s="7" t="s">
        <v>4132</v>
      </c>
      <c r="B770" s="45" t="s">
        <v>4133</v>
      </c>
      <c r="C770" s="7" t="s">
        <v>4128</v>
      </c>
      <c r="D770" s="7" t="s">
        <v>4134</v>
      </c>
      <c r="E770" s="7" t="s">
        <v>4130</v>
      </c>
      <c r="F770" s="7" t="s">
        <v>4131</v>
      </c>
      <c r="G770" s="7"/>
      <c r="H770" s="46" t="s">
        <v>249</v>
      </c>
      <c r="I770" s="7" t="s">
        <v>160</v>
      </c>
      <c r="J770" s="7" t="s">
        <v>148</v>
      </c>
      <c r="K770" s="7"/>
      <c r="L770" s="7"/>
      <c r="M770" s="7"/>
    </row>
    <row r="771" ht="15.75" customHeight="1">
      <c r="A771" s="7" t="s">
        <v>4135</v>
      </c>
      <c r="B771" s="45" t="s">
        <v>4136</v>
      </c>
      <c r="C771" s="7" t="s">
        <v>4137</v>
      </c>
      <c r="D771" s="7" t="s">
        <v>4138</v>
      </c>
      <c r="E771" s="7" t="s">
        <v>4139</v>
      </c>
      <c r="F771" s="7" t="s">
        <v>4140</v>
      </c>
      <c r="G771" s="7"/>
      <c r="H771" s="46" t="s">
        <v>249</v>
      </c>
      <c r="I771" s="7" t="s">
        <v>160</v>
      </c>
      <c r="J771" s="7" t="s">
        <v>148</v>
      </c>
      <c r="K771" s="7"/>
      <c r="L771" s="7"/>
      <c r="M771" s="7"/>
    </row>
    <row r="772" ht="15.75" customHeight="1">
      <c r="A772" s="7" t="s">
        <v>4141</v>
      </c>
      <c r="B772" s="45" t="s">
        <v>4142</v>
      </c>
      <c r="C772" s="7" t="s">
        <v>4143</v>
      </c>
      <c r="D772" s="7" t="s">
        <v>4144</v>
      </c>
      <c r="E772" s="7" t="s">
        <v>4145</v>
      </c>
      <c r="F772" s="7" t="s">
        <v>4146</v>
      </c>
      <c r="G772" s="7"/>
      <c r="H772" s="46" t="s">
        <v>249</v>
      </c>
      <c r="I772" s="7" t="s">
        <v>160</v>
      </c>
      <c r="J772" s="7" t="s">
        <v>148</v>
      </c>
      <c r="K772" s="7"/>
      <c r="L772" s="7"/>
      <c r="M772" s="7"/>
    </row>
    <row r="773" ht="15.75" customHeight="1">
      <c r="A773" s="7" t="s">
        <v>4147</v>
      </c>
      <c r="B773" s="45" t="s">
        <v>4148</v>
      </c>
      <c r="C773" s="7" t="s">
        <v>4149</v>
      </c>
      <c r="D773" s="7" t="s">
        <v>4150</v>
      </c>
      <c r="E773" s="7" t="s">
        <v>4151</v>
      </c>
      <c r="F773" s="7" t="s">
        <v>4152</v>
      </c>
      <c r="G773" s="7"/>
      <c r="H773" s="46" t="s">
        <v>249</v>
      </c>
      <c r="I773" s="7" t="s">
        <v>160</v>
      </c>
      <c r="J773" s="7" t="s">
        <v>148</v>
      </c>
      <c r="K773" s="7"/>
      <c r="L773" s="7"/>
      <c r="M773" s="7"/>
    </row>
    <row r="774" ht="15.75" customHeight="1">
      <c r="A774" s="7" t="s">
        <v>4153</v>
      </c>
      <c r="B774" s="45" t="s">
        <v>4154</v>
      </c>
      <c r="C774" s="7" t="s">
        <v>503</v>
      </c>
      <c r="D774" s="7" t="s">
        <v>4155</v>
      </c>
      <c r="E774" s="7" t="s">
        <v>4156</v>
      </c>
      <c r="F774" s="7" t="s">
        <v>4157</v>
      </c>
      <c r="G774" s="7"/>
      <c r="H774" s="46" t="s">
        <v>249</v>
      </c>
      <c r="I774" s="7" t="s">
        <v>160</v>
      </c>
      <c r="J774" s="7" t="s">
        <v>148</v>
      </c>
      <c r="K774" s="7"/>
      <c r="L774" s="7"/>
      <c r="M774" s="7"/>
    </row>
    <row r="775" ht="15.75" customHeight="1">
      <c r="A775" s="7" t="s">
        <v>4158</v>
      </c>
      <c r="B775" s="45" t="s">
        <v>4159</v>
      </c>
      <c r="C775" s="7" t="s">
        <v>4160</v>
      </c>
      <c r="D775" s="7" t="s">
        <v>4161</v>
      </c>
      <c r="E775" s="7" t="s">
        <v>4162</v>
      </c>
      <c r="F775" s="7" t="s">
        <v>4163</v>
      </c>
      <c r="G775" s="7"/>
      <c r="H775" s="46" t="s">
        <v>249</v>
      </c>
      <c r="I775" s="7" t="s">
        <v>160</v>
      </c>
      <c r="J775" s="7" t="s">
        <v>148</v>
      </c>
      <c r="K775" s="7"/>
      <c r="L775" s="7"/>
      <c r="M775" s="7"/>
    </row>
    <row r="776" ht="15.75" customHeight="1">
      <c r="A776" s="7" t="s">
        <v>4164</v>
      </c>
      <c r="B776" s="45" t="s">
        <v>4165</v>
      </c>
      <c r="C776" s="7" t="s">
        <v>4166</v>
      </c>
      <c r="D776" s="7" t="s">
        <v>4167</v>
      </c>
      <c r="E776" s="7" t="s">
        <v>4168</v>
      </c>
      <c r="F776" s="7" t="s">
        <v>4169</v>
      </c>
      <c r="G776" s="7"/>
      <c r="H776" s="46" t="s">
        <v>249</v>
      </c>
      <c r="I776" s="7" t="s">
        <v>160</v>
      </c>
      <c r="J776" s="7" t="s">
        <v>148</v>
      </c>
      <c r="K776" s="7"/>
      <c r="L776" s="7"/>
      <c r="M776" s="7"/>
    </row>
    <row r="777" ht="15.75" customHeight="1">
      <c r="A777" s="7" t="s">
        <v>4170</v>
      </c>
      <c r="B777" s="45" t="s">
        <v>4171</v>
      </c>
      <c r="C777" s="7" t="s">
        <v>4172</v>
      </c>
      <c r="D777" s="7" t="s">
        <v>4173</v>
      </c>
      <c r="E777" s="7" t="s">
        <v>4168</v>
      </c>
      <c r="F777" s="7" t="s">
        <v>4169</v>
      </c>
      <c r="G777" s="7"/>
      <c r="H777" s="46" t="s">
        <v>249</v>
      </c>
      <c r="I777" s="7" t="s">
        <v>160</v>
      </c>
      <c r="J777" s="7" t="s">
        <v>148</v>
      </c>
      <c r="K777" s="7"/>
      <c r="L777" s="7"/>
      <c r="M777" s="7"/>
    </row>
    <row r="778" ht="15.75" customHeight="1">
      <c r="A778" s="7" t="s">
        <v>4174</v>
      </c>
      <c r="B778" s="45" t="s">
        <v>4175</v>
      </c>
      <c r="C778" s="7" t="s">
        <v>4176</v>
      </c>
      <c r="D778" s="7" t="s">
        <v>4177</v>
      </c>
      <c r="E778" s="7" t="s">
        <v>4168</v>
      </c>
      <c r="F778" s="7" t="s">
        <v>4169</v>
      </c>
      <c r="G778" s="7"/>
      <c r="H778" s="46" t="s">
        <v>249</v>
      </c>
      <c r="I778" s="7" t="s">
        <v>160</v>
      </c>
      <c r="J778" s="7" t="s">
        <v>148</v>
      </c>
      <c r="K778" s="7"/>
      <c r="L778" s="7"/>
      <c r="M778" s="7"/>
    </row>
    <row r="779" ht="15.75" customHeight="1">
      <c r="A779" s="7" t="s">
        <v>4178</v>
      </c>
      <c r="B779" s="45" t="s">
        <v>4179</v>
      </c>
      <c r="C779" s="7" t="s">
        <v>4180</v>
      </c>
      <c r="D779" s="7" t="s">
        <v>4181</v>
      </c>
      <c r="E779" s="7" t="s">
        <v>4168</v>
      </c>
      <c r="F779" s="7" t="s">
        <v>4169</v>
      </c>
      <c r="G779" s="7"/>
      <c r="H779" s="46" t="s">
        <v>249</v>
      </c>
      <c r="I779" s="7" t="s">
        <v>160</v>
      </c>
      <c r="J779" s="7" t="s">
        <v>148</v>
      </c>
      <c r="K779" s="7"/>
      <c r="L779" s="7"/>
      <c r="M779" s="7"/>
    </row>
    <row r="780" ht="15.75" customHeight="1">
      <c r="A780" s="7" t="s">
        <v>4182</v>
      </c>
      <c r="B780" s="45" t="s">
        <v>4183</v>
      </c>
      <c r="C780" s="7" t="s">
        <v>4166</v>
      </c>
      <c r="D780" s="7" t="s">
        <v>4184</v>
      </c>
      <c r="E780" s="7" t="s">
        <v>4168</v>
      </c>
      <c r="F780" s="7" t="s">
        <v>4169</v>
      </c>
      <c r="G780" s="7"/>
      <c r="H780" s="46" t="s">
        <v>249</v>
      </c>
      <c r="I780" s="7" t="s">
        <v>160</v>
      </c>
      <c r="J780" s="7" t="s">
        <v>148</v>
      </c>
      <c r="K780" s="7"/>
      <c r="L780" s="7"/>
      <c r="M780" s="7"/>
    </row>
    <row r="781" ht="15.75" customHeight="1">
      <c r="A781" s="7" t="s">
        <v>4185</v>
      </c>
      <c r="B781" s="45" t="s">
        <v>4186</v>
      </c>
      <c r="C781" s="7" t="s">
        <v>4166</v>
      </c>
      <c r="D781" s="7" t="s">
        <v>4187</v>
      </c>
      <c r="E781" s="7" t="s">
        <v>4168</v>
      </c>
      <c r="F781" s="7" t="s">
        <v>4169</v>
      </c>
      <c r="G781" s="7"/>
      <c r="H781" s="46" t="s">
        <v>249</v>
      </c>
      <c r="I781" s="7" t="s">
        <v>160</v>
      </c>
      <c r="J781" s="7" t="s">
        <v>148</v>
      </c>
      <c r="K781" s="7"/>
      <c r="L781" s="7"/>
      <c r="M781" s="7"/>
    </row>
    <row r="782" ht="15.75" customHeight="1">
      <c r="A782" s="7" t="s">
        <v>4188</v>
      </c>
      <c r="B782" s="45" t="s">
        <v>4189</v>
      </c>
      <c r="C782" s="7" t="s">
        <v>4166</v>
      </c>
      <c r="D782" s="7" t="s">
        <v>4190</v>
      </c>
      <c r="E782" s="7" t="s">
        <v>4168</v>
      </c>
      <c r="F782" s="7" t="s">
        <v>4169</v>
      </c>
      <c r="G782" s="7"/>
      <c r="H782" s="46" t="s">
        <v>249</v>
      </c>
      <c r="I782" s="7" t="s">
        <v>160</v>
      </c>
      <c r="J782" s="7" t="s">
        <v>148</v>
      </c>
      <c r="K782" s="7"/>
      <c r="L782" s="7"/>
      <c r="M782" s="7"/>
    </row>
    <row r="783" ht="15.75" customHeight="1">
      <c r="A783" s="7" t="s">
        <v>4191</v>
      </c>
      <c r="B783" s="45" t="s">
        <v>4192</v>
      </c>
      <c r="C783" s="7" t="s">
        <v>4166</v>
      </c>
      <c r="D783" s="7" t="s">
        <v>4193</v>
      </c>
      <c r="E783" s="7" t="s">
        <v>4168</v>
      </c>
      <c r="F783" s="7" t="s">
        <v>4169</v>
      </c>
      <c r="G783" s="7"/>
      <c r="H783" s="46" t="s">
        <v>249</v>
      </c>
      <c r="I783" s="7" t="s">
        <v>160</v>
      </c>
      <c r="J783" s="7" t="s">
        <v>148</v>
      </c>
      <c r="K783" s="7"/>
      <c r="L783" s="7"/>
      <c r="M783" s="7"/>
    </row>
    <row r="784" ht="15.75" customHeight="1">
      <c r="A784" s="7" t="s">
        <v>4194</v>
      </c>
      <c r="B784" s="45" t="s">
        <v>4195</v>
      </c>
      <c r="C784" s="7" t="s">
        <v>4196</v>
      </c>
      <c r="D784" s="7" t="s">
        <v>4197</v>
      </c>
      <c r="E784" s="7" t="s">
        <v>4198</v>
      </c>
      <c r="F784" s="7" t="s">
        <v>4169</v>
      </c>
      <c r="G784" s="7"/>
      <c r="H784" s="46" t="s">
        <v>249</v>
      </c>
      <c r="I784" s="7" t="s">
        <v>160</v>
      </c>
      <c r="J784" s="7" t="s">
        <v>148</v>
      </c>
      <c r="K784" s="7"/>
      <c r="L784" s="7"/>
      <c r="M784" s="7"/>
    </row>
    <row r="785" ht="15.75" customHeight="1">
      <c r="A785" s="7" t="s">
        <v>4199</v>
      </c>
      <c r="B785" s="45" t="s">
        <v>4200</v>
      </c>
      <c r="C785" s="7" t="s">
        <v>4172</v>
      </c>
      <c r="D785" s="7" t="s">
        <v>4201</v>
      </c>
      <c r="E785" s="7" t="s">
        <v>4168</v>
      </c>
      <c r="F785" s="7" t="s">
        <v>4169</v>
      </c>
      <c r="G785" s="7"/>
      <c r="H785" s="46" t="s">
        <v>249</v>
      </c>
      <c r="I785" s="7" t="s">
        <v>160</v>
      </c>
      <c r="J785" s="7" t="s">
        <v>148</v>
      </c>
      <c r="K785" s="7"/>
      <c r="L785" s="7"/>
      <c r="M785" s="7"/>
    </row>
    <row r="786" ht="15.75" customHeight="1">
      <c r="A786" s="7" t="s">
        <v>4202</v>
      </c>
      <c r="B786" s="45" t="s">
        <v>4203</v>
      </c>
      <c r="C786" s="7" t="s">
        <v>4204</v>
      </c>
      <c r="D786" s="7" t="s">
        <v>4205</v>
      </c>
      <c r="E786" s="7" t="s">
        <v>4206</v>
      </c>
      <c r="F786" s="7" t="s">
        <v>4207</v>
      </c>
      <c r="G786" s="7"/>
      <c r="H786" s="46" t="s">
        <v>249</v>
      </c>
      <c r="I786" s="7" t="s">
        <v>160</v>
      </c>
      <c r="J786" s="7" t="s">
        <v>148</v>
      </c>
      <c r="K786" s="7"/>
      <c r="L786" s="7"/>
      <c r="M786" s="7"/>
    </row>
    <row r="787" ht="15.75" customHeight="1">
      <c r="A787" s="7" t="s">
        <v>4208</v>
      </c>
      <c r="B787" s="45" t="s">
        <v>4209</v>
      </c>
      <c r="C787" s="7" t="s">
        <v>4210</v>
      </c>
      <c r="D787" s="7" t="s">
        <v>4211</v>
      </c>
      <c r="E787" s="7" t="s">
        <v>4212</v>
      </c>
      <c r="F787" s="7" t="s">
        <v>4213</v>
      </c>
      <c r="G787" s="7"/>
      <c r="H787" s="46" t="s">
        <v>249</v>
      </c>
      <c r="I787" s="7" t="s">
        <v>160</v>
      </c>
      <c r="J787" s="7" t="s">
        <v>148</v>
      </c>
      <c r="K787" s="7"/>
      <c r="L787" s="7"/>
      <c r="M787" s="7"/>
    </row>
    <row r="788" ht="15.75" customHeight="1">
      <c r="A788" s="7" t="s">
        <v>4214</v>
      </c>
      <c r="B788" s="45" t="s">
        <v>4215</v>
      </c>
      <c r="C788" s="7" t="s">
        <v>4216</v>
      </c>
      <c r="D788" s="7" t="s">
        <v>4217</v>
      </c>
      <c r="E788" s="7" t="s">
        <v>4218</v>
      </c>
      <c r="F788" s="7" t="s">
        <v>4219</v>
      </c>
      <c r="G788" s="7"/>
      <c r="H788" s="46" t="s">
        <v>249</v>
      </c>
      <c r="I788" s="7" t="s">
        <v>160</v>
      </c>
      <c r="J788" s="7" t="s">
        <v>148</v>
      </c>
      <c r="K788" s="7"/>
      <c r="L788" s="7"/>
      <c r="M788" s="7"/>
    </row>
    <row r="789" ht="15.75" customHeight="1">
      <c r="A789" s="7" t="s">
        <v>4220</v>
      </c>
      <c r="B789" s="45" t="s">
        <v>4221</v>
      </c>
      <c r="C789" s="7" t="s">
        <v>4222</v>
      </c>
      <c r="D789" s="7" t="s">
        <v>4223</v>
      </c>
      <c r="E789" s="7" t="s">
        <v>4224</v>
      </c>
      <c r="F789" s="7" t="s">
        <v>1925</v>
      </c>
      <c r="G789" s="7"/>
      <c r="H789" s="46" t="s">
        <v>249</v>
      </c>
      <c r="I789" s="7" t="s">
        <v>160</v>
      </c>
      <c r="J789" s="7" t="s">
        <v>148</v>
      </c>
      <c r="K789" s="7"/>
      <c r="L789" s="7"/>
      <c r="M789" s="7"/>
    </row>
    <row r="790" ht="15.75" customHeight="1">
      <c r="A790" s="7" t="s">
        <v>4225</v>
      </c>
      <c r="B790" s="45" t="s">
        <v>4226</v>
      </c>
      <c r="C790" s="7" t="s">
        <v>4227</v>
      </c>
      <c r="D790" s="7" t="s">
        <v>4228</v>
      </c>
      <c r="E790" s="7" t="s">
        <v>4229</v>
      </c>
      <c r="F790" s="7" t="s">
        <v>1521</v>
      </c>
      <c r="G790" s="7"/>
      <c r="H790" s="46" t="s">
        <v>249</v>
      </c>
      <c r="I790" s="7" t="s">
        <v>160</v>
      </c>
      <c r="J790" s="7" t="s">
        <v>148</v>
      </c>
      <c r="K790" s="7"/>
      <c r="L790" s="7"/>
      <c r="M790" s="7"/>
    </row>
    <row r="791" ht="15.75" customHeight="1">
      <c r="A791" s="7" t="s">
        <v>4230</v>
      </c>
      <c r="B791" s="45" t="s">
        <v>4231</v>
      </c>
      <c r="C791" s="7" t="s">
        <v>4232</v>
      </c>
      <c r="D791" s="7" t="s">
        <v>4233</v>
      </c>
      <c r="E791" s="7" t="s">
        <v>4234</v>
      </c>
      <c r="F791" s="7" t="s">
        <v>1521</v>
      </c>
      <c r="G791" s="7"/>
      <c r="H791" s="46" t="s">
        <v>249</v>
      </c>
      <c r="I791" s="7" t="s">
        <v>160</v>
      </c>
      <c r="J791" s="7" t="s">
        <v>148</v>
      </c>
      <c r="K791" s="7"/>
      <c r="L791" s="7"/>
      <c r="M791" s="7"/>
    </row>
    <row r="792" ht="15.75" customHeight="1">
      <c r="A792" s="7" t="s">
        <v>4235</v>
      </c>
      <c r="B792" s="45" t="s">
        <v>4236</v>
      </c>
      <c r="C792" s="7" t="s">
        <v>4237</v>
      </c>
      <c r="D792" s="7" t="s">
        <v>4238</v>
      </c>
      <c r="E792" s="7" t="s">
        <v>4239</v>
      </c>
      <c r="F792" s="7" t="s">
        <v>4240</v>
      </c>
      <c r="G792" s="7"/>
      <c r="H792" s="46" t="s">
        <v>249</v>
      </c>
      <c r="I792" s="7" t="s">
        <v>160</v>
      </c>
      <c r="J792" s="7" t="s">
        <v>148</v>
      </c>
      <c r="K792" s="7"/>
      <c r="L792" s="7"/>
      <c r="M792" s="7"/>
    </row>
    <row r="793" ht="15.75" customHeight="1">
      <c r="A793" s="7" t="s">
        <v>4241</v>
      </c>
      <c r="B793" s="45" t="s">
        <v>4242</v>
      </c>
      <c r="C793" s="7" t="s">
        <v>4243</v>
      </c>
      <c r="D793" s="7" t="s">
        <v>4244</v>
      </c>
      <c r="E793" s="7" t="s">
        <v>4245</v>
      </c>
      <c r="F793" s="7" t="s">
        <v>4240</v>
      </c>
      <c r="G793" s="7"/>
      <c r="H793" s="46" t="s">
        <v>249</v>
      </c>
      <c r="I793" s="7" t="s">
        <v>160</v>
      </c>
      <c r="J793" s="7" t="s">
        <v>148</v>
      </c>
      <c r="K793" s="7"/>
      <c r="L793" s="7"/>
      <c r="M793" s="7"/>
    </row>
    <row r="794" ht="15.75" customHeight="1">
      <c r="A794" s="7" t="s">
        <v>4246</v>
      </c>
      <c r="B794" s="45" t="s">
        <v>4247</v>
      </c>
      <c r="C794" s="7" t="s">
        <v>4248</v>
      </c>
      <c r="D794" s="7" t="s">
        <v>4249</v>
      </c>
      <c r="E794" s="7" t="s">
        <v>4250</v>
      </c>
      <c r="F794" s="7" t="s">
        <v>4251</v>
      </c>
      <c r="G794" s="7"/>
      <c r="H794" s="46" t="s">
        <v>249</v>
      </c>
      <c r="I794" s="7" t="s">
        <v>160</v>
      </c>
      <c r="J794" s="7" t="s">
        <v>148</v>
      </c>
      <c r="K794" s="7"/>
      <c r="L794" s="7"/>
      <c r="M794" s="7"/>
    </row>
    <row r="795" ht="15.75" customHeight="1">
      <c r="A795" s="7" t="s">
        <v>4252</v>
      </c>
      <c r="B795" s="45" t="s">
        <v>4253</v>
      </c>
      <c r="C795" s="7" t="s">
        <v>4254</v>
      </c>
      <c r="D795" s="7" t="s">
        <v>4255</v>
      </c>
      <c r="E795" s="7" t="s">
        <v>4256</v>
      </c>
      <c r="F795" s="7" t="s">
        <v>4251</v>
      </c>
      <c r="G795" s="7"/>
      <c r="H795" s="46" t="s">
        <v>249</v>
      </c>
      <c r="I795" s="7" t="s">
        <v>160</v>
      </c>
      <c r="J795" s="7" t="s">
        <v>148</v>
      </c>
      <c r="K795" s="7"/>
      <c r="L795" s="7"/>
      <c r="M795" s="7"/>
    </row>
    <row r="796" ht="15.75" customHeight="1">
      <c r="A796" s="7" t="s">
        <v>4257</v>
      </c>
      <c r="B796" s="45" t="s">
        <v>4258</v>
      </c>
      <c r="C796" s="7" t="s">
        <v>4259</v>
      </c>
      <c r="D796" s="7" t="s">
        <v>4260</v>
      </c>
      <c r="E796" s="7" t="s">
        <v>4224</v>
      </c>
      <c r="F796" s="7" t="s">
        <v>1925</v>
      </c>
      <c r="G796" s="7" t="s">
        <v>4261</v>
      </c>
      <c r="H796" s="46" t="s">
        <v>249</v>
      </c>
      <c r="I796" s="7" t="s">
        <v>160</v>
      </c>
      <c r="J796" s="7" t="s">
        <v>148</v>
      </c>
      <c r="K796" s="7"/>
      <c r="L796" s="7"/>
      <c r="M796" s="7"/>
    </row>
    <row r="797" ht="15.75" customHeight="1">
      <c r="A797" s="7" t="s">
        <v>4262</v>
      </c>
      <c r="B797" s="45" t="s">
        <v>4263</v>
      </c>
      <c r="C797" s="7" t="s">
        <v>1525</v>
      </c>
      <c r="D797" s="7" t="s">
        <v>4264</v>
      </c>
      <c r="E797" s="7" t="s">
        <v>1527</v>
      </c>
      <c r="F797" s="7" t="s">
        <v>1528</v>
      </c>
      <c r="G797" s="7"/>
      <c r="H797" s="46" t="s">
        <v>249</v>
      </c>
      <c r="I797" s="7" t="s">
        <v>160</v>
      </c>
      <c r="J797" s="7" t="s">
        <v>148</v>
      </c>
      <c r="K797" s="7"/>
      <c r="L797" s="7"/>
      <c r="M797" s="7"/>
    </row>
    <row r="798" ht="15.75" customHeight="1">
      <c r="A798" s="7" t="s">
        <v>4265</v>
      </c>
      <c r="B798" s="45" t="s">
        <v>4266</v>
      </c>
      <c r="C798" s="7" t="s">
        <v>4267</v>
      </c>
      <c r="D798" s="7" t="s">
        <v>4268</v>
      </c>
      <c r="E798" s="7" t="s">
        <v>4269</v>
      </c>
      <c r="F798" s="7" t="s">
        <v>4270</v>
      </c>
      <c r="G798" s="7"/>
      <c r="H798" s="46" t="s">
        <v>249</v>
      </c>
      <c r="I798" s="7" t="s">
        <v>160</v>
      </c>
      <c r="J798" s="7" t="s">
        <v>148</v>
      </c>
      <c r="K798" s="7"/>
      <c r="L798" s="7"/>
      <c r="M798" s="7"/>
    </row>
    <row r="799" ht="15.75" customHeight="1">
      <c r="A799" s="7" t="s">
        <v>4271</v>
      </c>
      <c r="B799" s="45" t="s">
        <v>4272</v>
      </c>
      <c r="C799" s="7" t="s">
        <v>4273</v>
      </c>
      <c r="D799" s="7" t="s">
        <v>3531</v>
      </c>
      <c r="E799" s="7" t="s">
        <v>3532</v>
      </c>
      <c r="F799" s="7" t="s">
        <v>3533</v>
      </c>
      <c r="G799" s="7"/>
      <c r="H799" s="46" t="s">
        <v>249</v>
      </c>
      <c r="I799" s="7" t="s">
        <v>160</v>
      </c>
      <c r="J799" s="7" t="s">
        <v>148</v>
      </c>
      <c r="K799" s="7"/>
      <c r="L799" s="7"/>
      <c r="M799" s="7"/>
    </row>
    <row r="800" ht="15.75" customHeight="1">
      <c r="A800" s="7" t="s">
        <v>4274</v>
      </c>
      <c r="B800" s="45" t="s">
        <v>4275</v>
      </c>
      <c r="C800" s="7" t="s">
        <v>4276</v>
      </c>
      <c r="D800" s="7" t="s">
        <v>4277</v>
      </c>
      <c r="E800" s="7" t="s">
        <v>4278</v>
      </c>
      <c r="F800" s="7" t="s">
        <v>3665</v>
      </c>
      <c r="G800" s="7" t="s">
        <v>4279</v>
      </c>
      <c r="H800" s="46" t="s">
        <v>249</v>
      </c>
      <c r="I800" s="7" t="s">
        <v>160</v>
      </c>
      <c r="J800" s="7" t="s">
        <v>148</v>
      </c>
      <c r="K800" s="7"/>
      <c r="L800" s="7"/>
      <c r="M800" s="7"/>
    </row>
    <row r="801" ht="15.75" customHeight="1">
      <c r="A801" s="7" t="s">
        <v>4280</v>
      </c>
      <c r="B801" s="45" t="s">
        <v>4281</v>
      </c>
      <c r="C801" s="7" t="s">
        <v>4282</v>
      </c>
      <c r="D801" s="7" t="s">
        <v>3805</v>
      </c>
      <c r="E801" s="7" t="s">
        <v>3806</v>
      </c>
      <c r="F801" s="7" t="s">
        <v>3807</v>
      </c>
      <c r="G801" s="7" t="s">
        <v>3808</v>
      </c>
      <c r="H801" s="46" t="s">
        <v>249</v>
      </c>
      <c r="I801" s="7" t="s">
        <v>160</v>
      </c>
      <c r="J801" s="7" t="s">
        <v>148</v>
      </c>
      <c r="K801" s="7"/>
      <c r="L801" s="7"/>
      <c r="M801" s="7"/>
    </row>
    <row r="802" ht="15.75" customHeight="1">
      <c r="A802" s="7" t="s">
        <v>4283</v>
      </c>
      <c r="B802" s="45" t="s">
        <v>4284</v>
      </c>
      <c r="C802" s="7" t="s">
        <v>3299</v>
      </c>
      <c r="D802" s="7" t="s">
        <v>4285</v>
      </c>
      <c r="E802" s="7" t="s">
        <v>1815</v>
      </c>
      <c r="F802" s="7" t="s">
        <v>1816</v>
      </c>
      <c r="G802" s="7"/>
      <c r="H802" s="46" t="s">
        <v>249</v>
      </c>
      <c r="I802" s="7" t="s">
        <v>160</v>
      </c>
      <c r="J802" s="7" t="s">
        <v>148</v>
      </c>
      <c r="K802" s="7"/>
      <c r="L802" s="7"/>
      <c r="M802" s="7"/>
    </row>
    <row r="803" ht="15.75" customHeight="1">
      <c r="A803" s="7" t="s">
        <v>4286</v>
      </c>
      <c r="B803" s="45" t="s">
        <v>4287</v>
      </c>
      <c r="C803" s="7" t="s">
        <v>3779</v>
      </c>
      <c r="D803" s="7" t="s">
        <v>4288</v>
      </c>
      <c r="E803" s="7" t="s">
        <v>4289</v>
      </c>
      <c r="F803" s="7" t="s">
        <v>4290</v>
      </c>
      <c r="G803" s="7"/>
      <c r="H803" s="46" t="s">
        <v>249</v>
      </c>
      <c r="I803" s="7" t="s">
        <v>160</v>
      </c>
      <c r="J803" s="7" t="s">
        <v>148</v>
      </c>
      <c r="K803" s="7"/>
      <c r="L803" s="7"/>
      <c r="M803" s="7"/>
    </row>
    <row r="804" ht="15.75" customHeight="1">
      <c r="A804" s="7" t="s">
        <v>4291</v>
      </c>
      <c r="B804" s="45" t="s">
        <v>4292</v>
      </c>
      <c r="C804" s="7" t="s">
        <v>1931</v>
      </c>
      <c r="D804" s="7" t="s">
        <v>4293</v>
      </c>
      <c r="E804" s="7" t="s">
        <v>4294</v>
      </c>
      <c r="F804" s="7" t="s">
        <v>1934</v>
      </c>
      <c r="G804" s="7"/>
      <c r="H804" s="46" t="s">
        <v>249</v>
      </c>
      <c r="I804" s="7" t="s">
        <v>160</v>
      </c>
      <c r="J804" s="7" t="s">
        <v>148</v>
      </c>
      <c r="K804" s="7"/>
      <c r="L804" s="7"/>
      <c r="M804" s="7"/>
    </row>
    <row r="805" ht="15.75" customHeight="1">
      <c r="A805" s="7" t="s">
        <v>4295</v>
      </c>
      <c r="B805" s="45" t="s">
        <v>4296</v>
      </c>
      <c r="C805" s="7" t="s">
        <v>4297</v>
      </c>
      <c r="D805" s="7" t="s">
        <v>4298</v>
      </c>
      <c r="E805" s="7" t="s">
        <v>4299</v>
      </c>
      <c r="F805" s="7" t="s">
        <v>4300</v>
      </c>
      <c r="G805" s="7"/>
      <c r="H805" s="46" t="s">
        <v>249</v>
      </c>
      <c r="I805" s="7" t="s">
        <v>160</v>
      </c>
      <c r="J805" s="7" t="s">
        <v>148</v>
      </c>
      <c r="K805" s="7"/>
      <c r="L805" s="7"/>
      <c r="M805" s="7"/>
    </row>
    <row r="806" ht="15.75" customHeight="1">
      <c r="A806" s="7" t="s">
        <v>4301</v>
      </c>
      <c r="B806" s="45" t="s">
        <v>4302</v>
      </c>
      <c r="C806" s="7" t="s">
        <v>4297</v>
      </c>
      <c r="D806" s="7" t="s">
        <v>4303</v>
      </c>
      <c r="E806" s="7" t="s">
        <v>4304</v>
      </c>
      <c r="F806" s="7" t="s">
        <v>4300</v>
      </c>
      <c r="G806" s="7"/>
      <c r="H806" s="46" t="s">
        <v>249</v>
      </c>
      <c r="I806" s="7" t="s">
        <v>160</v>
      </c>
      <c r="J806" s="7" t="s">
        <v>148</v>
      </c>
      <c r="K806" s="7"/>
      <c r="L806" s="7"/>
      <c r="M806" s="7"/>
    </row>
    <row r="807" ht="15.75" customHeight="1">
      <c r="A807" s="7" t="s">
        <v>4305</v>
      </c>
      <c r="B807" s="45" t="s">
        <v>4306</v>
      </c>
      <c r="C807" s="7" t="s">
        <v>4297</v>
      </c>
      <c r="D807" s="7" t="s">
        <v>4307</v>
      </c>
      <c r="E807" s="7" t="s">
        <v>4308</v>
      </c>
      <c r="F807" s="7" t="s">
        <v>4300</v>
      </c>
      <c r="G807" s="7"/>
      <c r="H807" s="46" t="s">
        <v>249</v>
      </c>
      <c r="I807" s="7" t="s">
        <v>160</v>
      </c>
      <c r="J807" s="7" t="s">
        <v>148</v>
      </c>
      <c r="K807" s="7"/>
      <c r="L807" s="7"/>
      <c r="M807" s="7"/>
    </row>
    <row r="808" ht="15.75" customHeight="1">
      <c r="A808" s="7" t="s">
        <v>4309</v>
      </c>
      <c r="B808" s="45" t="s">
        <v>4310</v>
      </c>
      <c r="C808" s="7" t="s">
        <v>4311</v>
      </c>
      <c r="D808" s="7" t="s">
        <v>4312</v>
      </c>
      <c r="E808" s="7" t="s">
        <v>4313</v>
      </c>
      <c r="F808" s="7" t="s">
        <v>4314</v>
      </c>
      <c r="G808" s="7"/>
      <c r="H808" s="46" t="s">
        <v>249</v>
      </c>
      <c r="I808" s="7" t="s">
        <v>160</v>
      </c>
      <c r="J808" s="7" t="s">
        <v>148</v>
      </c>
      <c r="K808" s="7"/>
      <c r="L808" s="7"/>
      <c r="M808" s="7"/>
    </row>
    <row r="809" ht="15.75" customHeight="1">
      <c r="A809" s="7" t="s">
        <v>4315</v>
      </c>
      <c r="B809" s="45" t="s">
        <v>4316</v>
      </c>
      <c r="C809" s="7" t="s">
        <v>4317</v>
      </c>
      <c r="D809" s="7" t="s">
        <v>4318</v>
      </c>
      <c r="E809" s="7" t="s">
        <v>4319</v>
      </c>
      <c r="F809" s="7" t="s">
        <v>1521</v>
      </c>
      <c r="G809" s="7"/>
      <c r="H809" s="46" t="s">
        <v>249</v>
      </c>
      <c r="I809" s="7" t="s">
        <v>160</v>
      </c>
      <c r="J809" s="7" t="s">
        <v>148</v>
      </c>
      <c r="K809" s="7"/>
      <c r="L809" s="7"/>
      <c r="M809" s="7"/>
    </row>
    <row r="810" ht="15.75" customHeight="1">
      <c r="A810" s="7" t="s">
        <v>4320</v>
      </c>
      <c r="B810" s="45" t="s">
        <v>4321</v>
      </c>
      <c r="C810" s="7" t="s">
        <v>4317</v>
      </c>
      <c r="D810" s="7" t="s">
        <v>4322</v>
      </c>
      <c r="E810" s="7" t="s">
        <v>4323</v>
      </c>
      <c r="F810" s="7" t="s">
        <v>1521</v>
      </c>
      <c r="G810" s="7"/>
      <c r="H810" s="46" t="s">
        <v>249</v>
      </c>
      <c r="I810" s="7" t="s">
        <v>160</v>
      </c>
      <c r="J810" s="7" t="s">
        <v>148</v>
      </c>
      <c r="K810" s="7"/>
      <c r="L810" s="7"/>
      <c r="M810" s="7"/>
    </row>
    <row r="811" ht="15.75" customHeight="1">
      <c r="A811" s="7" t="s">
        <v>4324</v>
      </c>
      <c r="B811" s="45" t="s">
        <v>4325</v>
      </c>
      <c r="C811" s="7" t="s">
        <v>4317</v>
      </c>
      <c r="D811" s="7" t="s">
        <v>4326</v>
      </c>
      <c r="E811" s="7" t="s">
        <v>4327</v>
      </c>
      <c r="F811" s="7" t="s">
        <v>1521</v>
      </c>
      <c r="G811" s="7"/>
      <c r="H811" s="46" t="s">
        <v>249</v>
      </c>
      <c r="I811" s="7" t="s">
        <v>160</v>
      </c>
      <c r="J811" s="7" t="s">
        <v>148</v>
      </c>
      <c r="K811" s="7"/>
      <c r="L811" s="7"/>
      <c r="M811" s="7"/>
    </row>
    <row r="812" ht="15.75" customHeight="1">
      <c r="A812" s="7" t="s">
        <v>4328</v>
      </c>
      <c r="B812" s="45" t="s">
        <v>4329</v>
      </c>
      <c r="C812" s="7" t="s">
        <v>4317</v>
      </c>
      <c r="D812" s="7" t="s">
        <v>4330</v>
      </c>
      <c r="E812" s="7" t="s">
        <v>4331</v>
      </c>
      <c r="F812" s="7" t="s">
        <v>1521</v>
      </c>
      <c r="G812" s="7"/>
      <c r="H812" s="46" t="s">
        <v>249</v>
      </c>
      <c r="I812" s="7" t="s">
        <v>160</v>
      </c>
      <c r="J812" s="7" t="s">
        <v>148</v>
      </c>
      <c r="K812" s="7"/>
      <c r="L812" s="7"/>
      <c r="M812" s="7"/>
    </row>
    <row r="813" ht="15.75" customHeight="1">
      <c r="A813" s="7" t="s">
        <v>4332</v>
      </c>
      <c r="B813" s="45" t="s">
        <v>4333</v>
      </c>
      <c r="C813" s="7" t="s">
        <v>4334</v>
      </c>
      <c r="D813" s="7" t="s">
        <v>4335</v>
      </c>
      <c r="E813" s="7" t="s">
        <v>4336</v>
      </c>
      <c r="F813" s="7" t="s">
        <v>4337</v>
      </c>
      <c r="G813" s="7"/>
      <c r="H813" s="46" t="s">
        <v>249</v>
      </c>
      <c r="I813" s="7" t="s">
        <v>160</v>
      </c>
      <c r="J813" s="7" t="s">
        <v>148</v>
      </c>
      <c r="K813" s="7"/>
      <c r="L813" s="7"/>
      <c r="M813" s="7"/>
    </row>
    <row r="814" ht="15.75" customHeight="1">
      <c r="A814" s="7" t="s">
        <v>4338</v>
      </c>
      <c r="B814" s="45" t="s">
        <v>4339</v>
      </c>
      <c r="C814" s="7" t="s">
        <v>4340</v>
      </c>
      <c r="D814" s="7" t="s">
        <v>4341</v>
      </c>
      <c r="E814" s="7" t="s">
        <v>4342</v>
      </c>
      <c r="F814" s="7" t="s">
        <v>4343</v>
      </c>
      <c r="G814" s="7"/>
      <c r="H814" s="46" t="s">
        <v>249</v>
      </c>
      <c r="I814" s="7" t="s">
        <v>160</v>
      </c>
      <c r="J814" s="7" t="s">
        <v>148</v>
      </c>
      <c r="K814" s="7"/>
      <c r="L814" s="7"/>
      <c r="M814" s="7"/>
    </row>
    <row r="815" ht="15.75" customHeight="1">
      <c r="A815" s="7" t="s">
        <v>4344</v>
      </c>
      <c r="B815" s="45" t="s">
        <v>4345</v>
      </c>
      <c r="C815" s="7" t="s">
        <v>4346</v>
      </c>
      <c r="D815" s="7" t="s">
        <v>4347</v>
      </c>
      <c r="E815" s="7" t="s">
        <v>4348</v>
      </c>
      <c r="F815" s="7" t="s">
        <v>4349</v>
      </c>
      <c r="G815" s="7" t="s">
        <v>4350</v>
      </c>
      <c r="H815" s="46" t="s">
        <v>249</v>
      </c>
      <c r="I815" s="7" t="s">
        <v>160</v>
      </c>
      <c r="J815" s="7" t="s">
        <v>148</v>
      </c>
      <c r="K815" s="7"/>
      <c r="L815" s="7"/>
      <c r="M815" s="7"/>
    </row>
    <row r="816" ht="15.75" customHeight="1">
      <c r="A816" s="7" t="s">
        <v>4351</v>
      </c>
      <c r="B816" s="45" t="s">
        <v>4352</v>
      </c>
      <c r="C816" s="7" t="s">
        <v>4334</v>
      </c>
      <c r="D816" s="7" t="s">
        <v>4335</v>
      </c>
      <c r="E816" s="7" t="s">
        <v>4336</v>
      </c>
      <c r="F816" s="7" t="s">
        <v>4337</v>
      </c>
      <c r="G816" s="7" t="s">
        <v>4353</v>
      </c>
      <c r="H816" s="46" t="s">
        <v>249</v>
      </c>
      <c r="I816" s="7" t="s">
        <v>160</v>
      </c>
      <c r="J816" s="7" t="s">
        <v>148</v>
      </c>
      <c r="K816" s="7"/>
      <c r="L816" s="7"/>
      <c r="M816" s="7"/>
    </row>
    <row r="817" ht="15.75" customHeight="1">
      <c r="A817" s="7" t="s">
        <v>4354</v>
      </c>
      <c r="B817" s="45" t="s">
        <v>4355</v>
      </c>
      <c r="C817" s="7" t="s">
        <v>4297</v>
      </c>
      <c r="D817" s="7" t="s">
        <v>4356</v>
      </c>
      <c r="E817" s="7" t="s">
        <v>4357</v>
      </c>
      <c r="F817" s="7" t="s">
        <v>4300</v>
      </c>
      <c r="G817" s="7"/>
      <c r="H817" s="46" t="s">
        <v>249</v>
      </c>
      <c r="I817" s="7" t="s">
        <v>160</v>
      </c>
      <c r="J817" s="7" t="s">
        <v>148</v>
      </c>
      <c r="K817" s="7"/>
      <c r="L817" s="7"/>
      <c r="M817" s="7"/>
    </row>
    <row r="818" ht="15.75" customHeight="1">
      <c r="A818" s="7" t="s">
        <v>4358</v>
      </c>
      <c r="B818" s="45" t="s">
        <v>4359</v>
      </c>
      <c r="C818" s="7" t="s">
        <v>4360</v>
      </c>
      <c r="D818" s="7" t="s">
        <v>4361</v>
      </c>
      <c r="E818" s="7" t="s">
        <v>4362</v>
      </c>
      <c r="F818" s="7" t="s">
        <v>1816</v>
      </c>
      <c r="G818" s="7"/>
      <c r="H818" s="46" t="s">
        <v>249</v>
      </c>
      <c r="I818" s="7" t="s">
        <v>160</v>
      </c>
      <c r="J818" s="7" t="s">
        <v>148</v>
      </c>
      <c r="K818" s="7"/>
      <c r="L818" s="7"/>
      <c r="M818" s="7"/>
    </row>
    <row r="819" ht="15.75" customHeight="1">
      <c r="A819" s="7" t="s">
        <v>4363</v>
      </c>
      <c r="B819" s="45" t="s">
        <v>4364</v>
      </c>
      <c r="C819" s="7" t="s">
        <v>4365</v>
      </c>
      <c r="D819" s="7" t="s">
        <v>4366</v>
      </c>
      <c r="E819" s="7" t="s">
        <v>4367</v>
      </c>
      <c r="F819" s="7" t="s">
        <v>4368</v>
      </c>
      <c r="G819" s="7"/>
      <c r="H819" s="46" t="s">
        <v>249</v>
      </c>
      <c r="I819" s="7" t="s">
        <v>160</v>
      </c>
      <c r="J819" s="7" t="s">
        <v>148</v>
      </c>
      <c r="K819" s="7"/>
      <c r="L819" s="7"/>
      <c r="M819" s="7"/>
    </row>
    <row r="820" ht="15.75" customHeight="1">
      <c r="A820" s="7" t="s">
        <v>4369</v>
      </c>
      <c r="B820" s="45" t="s">
        <v>4370</v>
      </c>
      <c r="C820" s="7" t="s">
        <v>4317</v>
      </c>
      <c r="D820" s="7" t="s">
        <v>4371</v>
      </c>
      <c r="E820" s="7" t="s">
        <v>4372</v>
      </c>
      <c r="F820" s="7" t="s">
        <v>1521</v>
      </c>
      <c r="G820" s="7"/>
      <c r="H820" s="46" t="s">
        <v>249</v>
      </c>
      <c r="I820" s="7" t="s">
        <v>160</v>
      </c>
      <c r="J820" s="7" t="s">
        <v>148</v>
      </c>
      <c r="K820" s="7"/>
      <c r="L820" s="7"/>
      <c r="M820" s="7"/>
    </row>
    <row r="821" ht="15.75" customHeight="1">
      <c r="A821" s="7" t="s">
        <v>4373</v>
      </c>
      <c r="B821" s="45" t="s">
        <v>4374</v>
      </c>
      <c r="C821" s="7" t="s">
        <v>4317</v>
      </c>
      <c r="D821" s="7" t="s">
        <v>4375</v>
      </c>
      <c r="E821" s="7" t="s">
        <v>4376</v>
      </c>
      <c r="F821" s="7" t="s">
        <v>1521</v>
      </c>
      <c r="G821" s="7"/>
      <c r="H821" s="46" t="s">
        <v>249</v>
      </c>
      <c r="I821" s="7" t="s">
        <v>160</v>
      </c>
      <c r="J821" s="7" t="s">
        <v>148</v>
      </c>
      <c r="K821" s="7"/>
      <c r="L821" s="7"/>
      <c r="M821" s="7"/>
    </row>
    <row r="822" ht="15.75" customHeight="1">
      <c r="A822" s="7" t="s">
        <v>4377</v>
      </c>
      <c r="B822" s="45" t="s">
        <v>4378</v>
      </c>
      <c r="C822" s="7" t="s">
        <v>914</v>
      </c>
      <c r="D822" s="7" t="s">
        <v>4379</v>
      </c>
      <c r="E822" s="7" t="s">
        <v>916</v>
      </c>
      <c r="F822" s="7" t="s">
        <v>917</v>
      </c>
      <c r="G822" s="7"/>
      <c r="H822" s="46" t="s">
        <v>249</v>
      </c>
      <c r="I822" s="7" t="s">
        <v>160</v>
      </c>
      <c r="J822" s="7" t="s">
        <v>148</v>
      </c>
      <c r="K822" s="7"/>
      <c r="L822" s="7"/>
      <c r="M822" s="7"/>
    </row>
    <row r="823" ht="15.75" customHeight="1">
      <c r="A823" s="7" t="s">
        <v>4380</v>
      </c>
      <c r="B823" s="45" t="s">
        <v>4381</v>
      </c>
      <c r="C823" s="7" t="s">
        <v>4382</v>
      </c>
      <c r="D823" s="7" t="s">
        <v>4383</v>
      </c>
      <c r="E823" s="7" t="s">
        <v>4384</v>
      </c>
      <c r="F823" s="7" t="s">
        <v>4385</v>
      </c>
      <c r="G823" s="7"/>
      <c r="H823" s="46" t="s">
        <v>249</v>
      </c>
      <c r="I823" s="7" t="s">
        <v>160</v>
      </c>
      <c r="J823" s="7" t="s">
        <v>148</v>
      </c>
      <c r="K823" s="7"/>
      <c r="L823" s="7"/>
      <c r="M823" s="7"/>
    </row>
    <row r="824" ht="15.75" customHeight="1">
      <c r="A824" s="7" t="s">
        <v>4386</v>
      </c>
      <c r="B824" s="45" t="s">
        <v>4387</v>
      </c>
      <c r="C824" s="7" t="s">
        <v>4388</v>
      </c>
      <c r="D824" s="7" t="s">
        <v>4389</v>
      </c>
      <c r="E824" s="7" t="s">
        <v>4390</v>
      </c>
      <c r="F824" s="7" t="s">
        <v>4391</v>
      </c>
      <c r="G824" s="7"/>
      <c r="H824" s="46" t="s">
        <v>249</v>
      </c>
      <c r="I824" s="7" t="s">
        <v>160</v>
      </c>
      <c r="J824" s="7" t="s">
        <v>148</v>
      </c>
      <c r="K824" s="7"/>
      <c r="L824" s="7"/>
      <c r="M824" s="7"/>
    </row>
    <row r="825" ht="15.75" customHeight="1">
      <c r="A825" s="7" t="s">
        <v>4392</v>
      </c>
      <c r="B825" s="45" t="s">
        <v>4393</v>
      </c>
      <c r="C825" s="7" t="s">
        <v>4394</v>
      </c>
      <c r="D825" s="7" t="s">
        <v>4395</v>
      </c>
      <c r="E825" s="7" t="s">
        <v>4390</v>
      </c>
      <c r="F825" s="7" t="s">
        <v>4391</v>
      </c>
      <c r="G825" s="7"/>
      <c r="H825" s="46" t="s">
        <v>249</v>
      </c>
      <c r="I825" s="7" t="s">
        <v>160</v>
      </c>
      <c r="J825" s="7" t="s">
        <v>148</v>
      </c>
      <c r="K825" s="7"/>
      <c r="L825" s="7"/>
      <c r="M825" s="7"/>
    </row>
    <row r="826" ht="15.75" customHeight="1">
      <c r="A826" s="7" t="s">
        <v>4396</v>
      </c>
      <c r="B826" s="45" t="s">
        <v>4397</v>
      </c>
      <c r="C826" s="7" t="s">
        <v>4398</v>
      </c>
      <c r="D826" s="7" t="s">
        <v>4399</v>
      </c>
      <c r="E826" s="7" t="s">
        <v>4400</v>
      </c>
      <c r="F826" s="7" t="s">
        <v>4401</v>
      </c>
      <c r="G826" s="7"/>
      <c r="H826" s="46" t="s">
        <v>249</v>
      </c>
      <c r="I826" s="7" t="s">
        <v>160</v>
      </c>
      <c r="J826" s="7" t="s">
        <v>148</v>
      </c>
      <c r="K826" s="7"/>
      <c r="L826" s="7"/>
      <c r="M826" s="7"/>
    </row>
    <row r="827" ht="15.75" customHeight="1">
      <c r="A827" s="7" t="s">
        <v>4402</v>
      </c>
      <c r="B827" s="45" t="s">
        <v>4403</v>
      </c>
      <c r="C827" s="7" t="s">
        <v>4404</v>
      </c>
      <c r="D827" s="7" t="s">
        <v>4405</v>
      </c>
      <c r="E827" s="7" t="s">
        <v>4406</v>
      </c>
      <c r="F827" s="7" t="s">
        <v>4407</v>
      </c>
      <c r="G827" s="7"/>
      <c r="H827" s="46" t="s">
        <v>249</v>
      </c>
      <c r="I827" s="7" t="s">
        <v>160</v>
      </c>
      <c r="J827" s="7" t="s">
        <v>148</v>
      </c>
      <c r="K827" s="7"/>
      <c r="L827" s="7"/>
      <c r="M827" s="7"/>
    </row>
    <row r="828" ht="15.75" customHeight="1">
      <c r="A828" s="7" t="s">
        <v>4408</v>
      </c>
      <c r="B828" s="45" t="s">
        <v>4409</v>
      </c>
      <c r="C828" s="7" t="s">
        <v>4410</v>
      </c>
      <c r="D828" s="7" t="s">
        <v>4411</v>
      </c>
      <c r="E828" s="7" t="s">
        <v>4412</v>
      </c>
      <c r="F828" s="7" t="s">
        <v>4413</v>
      </c>
      <c r="G828" s="7"/>
      <c r="H828" s="46" t="s">
        <v>249</v>
      </c>
      <c r="I828" s="7" t="s">
        <v>160</v>
      </c>
      <c r="J828" s="7" t="s">
        <v>148</v>
      </c>
      <c r="K828" s="7"/>
      <c r="L828" s="7"/>
      <c r="M828" s="7"/>
    </row>
    <row r="829" ht="15.75" customHeight="1">
      <c r="A829" s="7" t="s">
        <v>4414</v>
      </c>
      <c r="B829" s="45" t="s">
        <v>4415</v>
      </c>
      <c r="C829" s="7" t="s">
        <v>4416</v>
      </c>
      <c r="D829" s="7" t="s">
        <v>4417</v>
      </c>
      <c r="E829" s="7" t="s">
        <v>4418</v>
      </c>
      <c r="F829" s="7" t="s">
        <v>4419</v>
      </c>
      <c r="G829" s="7"/>
      <c r="H829" s="46" t="s">
        <v>249</v>
      </c>
      <c r="I829" s="7" t="s">
        <v>160</v>
      </c>
      <c r="J829" s="7" t="s">
        <v>148</v>
      </c>
      <c r="K829" s="7"/>
      <c r="L829" s="7"/>
      <c r="M829" s="7"/>
    </row>
    <row r="830" ht="15.75" customHeight="1">
      <c r="A830" s="7" t="s">
        <v>4420</v>
      </c>
      <c r="B830" s="45" t="s">
        <v>4421</v>
      </c>
      <c r="C830" s="7" t="s">
        <v>4422</v>
      </c>
      <c r="D830" s="7" t="s">
        <v>4423</v>
      </c>
      <c r="E830" s="7" t="s">
        <v>4424</v>
      </c>
      <c r="F830" s="7" t="s">
        <v>4425</v>
      </c>
      <c r="G830" s="7"/>
      <c r="H830" s="46" t="s">
        <v>249</v>
      </c>
      <c r="I830" s="7" t="s">
        <v>160</v>
      </c>
      <c r="J830" s="7" t="s">
        <v>148</v>
      </c>
      <c r="K830" s="7"/>
      <c r="L830" s="7"/>
      <c r="M830" s="7"/>
    </row>
    <row r="831" ht="15.75" customHeight="1">
      <c r="A831" s="7" t="s">
        <v>4426</v>
      </c>
      <c r="B831" s="45" t="s">
        <v>4427</v>
      </c>
      <c r="C831" s="7" t="s">
        <v>4428</v>
      </c>
      <c r="D831" s="7" t="s">
        <v>4429</v>
      </c>
      <c r="E831" s="7" t="s">
        <v>4430</v>
      </c>
      <c r="F831" s="7" t="s">
        <v>4431</v>
      </c>
      <c r="G831" s="7"/>
      <c r="H831" s="46" t="s">
        <v>249</v>
      </c>
      <c r="I831" s="7" t="s">
        <v>160</v>
      </c>
      <c r="J831" s="7" t="s">
        <v>148</v>
      </c>
      <c r="K831" s="7"/>
      <c r="L831" s="7"/>
      <c r="M831" s="7"/>
    </row>
    <row r="832" ht="15.75" customHeight="1">
      <c r="A832" s="7" t="s">
        <v>4432</v>
      </c>
      <c r="B832" s="45" t="s">
        <v>4433</v>
      </c>
      <c r="C832" s="7" t="s">
        <v>4434</v>
      </c>
      <c r="D832" s="7" t="s">
        <v>4435</v>
      </c>
      <c r="E832" s="7" t="s">
        <v>4436</v>
      </c>
      <c r="F832" s="7" t="s">
        <v>4437</v>
      </c>
      <c r="G832" s="7"/>
      <c r="H832" s="46" t="s">
        <v>249</v>
      </c>
      <c r="I832" s="7" t="s">
        <v>160</v>
      </c>
      <c r="J832" s="7" t="s">
        <v>148</v>
      </c>
      <c r="K832" s="7"/>
      <c r="L832" s="7"/>
      <c r="M832" s="7"/>
    </row>
    <row r="833" ht="15.75" customHeight="1">
      <c r="A833" s="7" t="s">
        <v>4438</v>
      </c>
      <c r="B833" s="45" t="s">
        <v>4439</v>
      </c>
      <c r="C833" s="7" t="s">
        <v>4440</v>
      </c>
      <c r="D833" s="7" t="s">
        <v>4441</v>
      </c>
      <c r="E833" s="7" t="s">
        <v>4442</v>
      </c>
      <c r="F833" s="7" t="s">
        <v>4443</v>
      </c>
      <c r="G833" s="7" t="s">
        <v>4444</v>
      </c>
      <c r="H833" s="46" t="s">
        <v>249</v>
      </c>
      <c r="I833" s="7" t="s">
        <v>160</v>
      </c>
      <c r="J833" s="7" t="s">
        <v>148</v>
      </c>
      <c r="K833" s="7"/>
      <c r="L833" s="7"/>
      <c r="M833" s="7"/>
    </row>
    <row r="834" ht="15.75" customHeight="1">
      <c r="A834" s="7" t="s">
        <v>4445</v>
      </c>
      <c r="B834" s="45" t="s">
        <v>4446</v>
      </c>
      <c r="C834" s="7" t="s">
        <v>4447</v>
      </c>
      <c r="D834" s="7" t="s">
        <v>4448</v>
      </c>
      <c r="E834" s="7" t="s">
        <v>4449</v>
      </c>
      <c r="F834" s="7" t="s">
        <v>4450</v>
      </c>
      <c r="G834" s="7"/>
      <c r="H834" s="46" t="s">
        <v>249</v>
      </c>
      <c r="I834" s="7" t="s">
        <v>160</v>
      </c>
      <c r="J834" s="7" t="s">
        <v>148</v>
      </c>
      <c r="K834" s="7"/>
      <c r="L834" s="7"/>
      <c r="M834" s="7"/>
    </row>
    <row r="835" ht="15.75" customHeight="1">
      <c r="A835" s="7" t="s">
        <v>4451</v>
      </c>
      <c r="B835" s="45" t="s">
        <v>4452</v>
      </c>
      <c r="C835" s="7" t="s">
        <v>4453</v>
      </c>
      <c r="D835" s="7" t="s">
        <v>4454</v>
      </c>
      <c r="E835" s="7" t="s">
        <v>4455</v>
      </c>
      <c r="F835" s="7" t="s">
        <v>4456</v>
      </c>
      <c r="G835" s="7"/>
      <c r="H835" s="46" t="s">
        <v>249</v>
      </c>
      <c r="I835" s="7" t="s">
        <v>160</v>
      </c>
      <c r="J835" s="7" t="s">
        <v>148</v>
      </c>
      <c r="K835" s="7"/>
      <c r="L835" s="7"/>
      <c r="M835" s="7"/>
    </row>
    <row r="836" ht="15.75" customHeight="1">
      <c r="A836" s="7" t="s">
        <v>4457</v>
      </c>
      <c r="B836" s="45" t="s">
        <v>4458</v>
      </c>
      <c r="C836" s="7" t="s">
        <v>4459</v>
      </c>
      <c r="D836" s="7" t="s">
        <v>4460</v>
      </c>
      <c r="E836" s="7" t="s">
        <v>4461</v>
      </c>
      <c r="F836" s="7" t="s">
        <v>4462</v>
      </c>
      <c r="G836" s="7"/>
      <c r="H836" s="46" t="s">
        <v>249</v>
      </c>
      <c r="I836" s="7" t="s">
        <v>160</v>
      </c>
      <c r="J836" s="7" t="s">
        <v>148</v>
      </c>
      <c r="K836" s="7"/>
      <c r="L836" s="7"/>
      <c r="M836" s="7"/>
    </row>
    <row r="837" ht="15.75" customHeight="1">
      <c r="A837" s="7" t="s">
        <v>4463</v>
      </c>
      <c r="B837" s="45" t="s">
        <v>4464</v>
      </c>
      <c r="C837" s="7" t="s">
        <v>4465</v>
      </c>
      <c r="D837" s="7" t="s">
        <v>4460</v>
      </c>
      <c r="E837" s="7" t="s">
        <v>4466</v>
      </c>
      <c r="F837" s="7" t="s">
        <v>4462</v>
      </c>
      <c r="G837" s="7"/>
      <c r="H837" s="46" t="s">
        <v>249</v>
      </c>
      <c r="I837" s="7" t="s">
        <v>160</v>
      </c>
      <c r="J837" s="7" t="s">
        <v>148</v>
      </c>
      <c r="K837" s="7"/>
      <c r="L837" s="7"/>
      <c r="M837" s="7"/>
    </row>
    <row r="838" ht="15.75" customHeight="1">
      <c r="A838" s="7" t="s">
        <v>4467</v>
      </c>
      <c r="B838" s="45" t="s">
        <v>4468</v>
      </c>
      <c r="C838" s="7" t="s">
        <v>4469</v>
      </c>
      <c r="D838" s="7" t="s">
        <v>4470</v>
      </c>
      <c r="E838" s="7" t="s">
        <v>4471</v>
      </c>
      <c r="F838" s="7" t="s">
        <v>4472</v>
      </c>
      <c r="G838" s="7"/>
      <c r="H838" s="46" t="s">
        <v>249</v>
      </c>
      <c r="I838" s="7" t="s">
        <v>160</v>
      </c>
      <c r="J838" s="7" t="s">
        <v>148</v>
      </c>
      <c r="K838" s="7"/>
      <c r="L838" s="7"/>
      <c r="M838" s="7"/>
    </row>
    <row r="839" ht="15.75" customHeight="1">
      <c r="A839" s="7" t="s">
        <v>4473</v>
      </c>
      <c r="B839" s="45" t="s">
        <v>4474</v>
      </c>
      <c r="C839" s="7" t="s">
        <v>4475</v>
      </c>
      <c r="D839" s="7" t="s">
        <v>4476</v>
      </c>
      <c r="E839" s="7" t="s">
        <v>4477</v>
      </c>
      <c r="F839" s="7" t="s">
        <v>4478</v>
      </c>
      <c r="G839" s="7"/>
      <c r="H839" s="46" t="s">
        <v>249</v>
      </c>
      <c r="I839" s="7" t="s">
        <v>160</v>
      </c>
      <c r="J839" s="7" t="s">
        <v>148</v>
      </c>
      <c r="K839" s="7"/>
      <c r="L839" s="7"/>
      <c r="M839" s="7"/>
    </row>
    <row r="840" ht="15.75" customHeight="1">
      <c r="A840" s="7" t="s">
        <v>4479</v>
      </c>
      <c r="B840" s="45" t="s">
        <v>4480</v>
      </c>
      <c r="C840" s="7" t="s">
        <v>4481</v>
      </c>
      <c r="D840" s="7" t="s">
        <v>4482</v>
      </c>
      <c r="E840" s="7" t="s">
        <v>4483</v>
      </c>
      <c r="F840" s="7" t="s">
        <v>4484</v>
      </c>
      <c r="G840" s="7"/>
      <c r="H840" s="46" t="s">
        <v>249</v>
      </c>
      <c r="I840" s="7" t="s">
        <v>160</v>
      </c>
      <c r="J840" s="7" t="s">
        <v>148</v>
      </c>
      <c r="K840" s="7"/>
      <c r="L840" s="7"/>
      <c r="M840" s="7"/>
    </row>
    <row r="841" ht="15.75" customHeight="1">
      <c r="A841" s="7" t="s">
        <v>4485</v>
      </c>
      <c r="B841" s="45" t="s">
        <v>4486</v>
      </c>
      <c r="C841" s="7" t="s">
        <v>4487</v>
      </c>
      <c r="D841" s="7" t="s">
        <v>4488</v>
      </c>
      <c r="E841" s="7" t="s">
        <v>4489</v>
      </c>
      <c r="F841" s="7" t="s">
        <v>4490</v>
      </c>
      <c r="G841" s="7"/>
      <c r="H841" s="46" t="s">
        <v>249</v>
      </c>
      <c r="I841" s="7" t="s">
        <v>160</v>
      </c>
      <c r="J841" s="7" t="s">
        <v>148</v>
      </c>
      <c r="K841" s="7"/>
      <c r="L841" s="7"/>
      <c r="M841" s="7"/>
    </row>
    <row r="842" ht="15.75" customHeight="1">
      <c r="A842" s="7" t="s">
        <v>4491</v>
      </c>
      <c r="B842" s="45" t="s">
        <v>4492</v>
      </c>
      <c r="C842" s="7" t="s">
        <v>4493</v>
      </c>
      <c r="D842" s="7" t="s">
        <v>4488</v>
      </c>
      <c r="E842" s="7" t="s">
        <v>4489</v>
      </c>
      <c r="F842" s="7" t="s">
        <v>4494</v>
      </c>
      <c r="G842" s="7" t="s">
        <v>4495</v>
      </c>
      <c r="H842" s="46" t="s">
        <v>249</v>
      </c>
      <c r="I842" s="7" t="s">
        <v>160</v>
      </c>
      <c r="J842" s="7" t="s">
        <v>148</v>
      </c>
      <c r="K842" s="7"/>
      <c r="L842" s="7"/>
      <c r="M842" s="7"/>
    </row>
    <row r="843" ht="15.75" customHeight="1">
      <c r="A843" s="7" t="s">
        <v>4496</v>
      </c>
      <c r="B843" s="45" t="s">
        <v>4497</v>
      </c>
      <c r="C843" s="7" t="s">
        <v>4498</v>
      </c>
      <c r="D843" s="7" t="s">
        <v>4499</v>
      </c>
      <c r="E843" s="7" t="s">
        <v>4500</v>
      </c>
      <c r="F843" s="7" t="s">
        <v>4501</v>
      </c>
      <c r="G843" s="7"/>
      <c r="H843" s="46" t="s">
        <v>249</v>
      </c>
      <c r="I843" s="7" t="s">
        <v>160</v>
      </c>
      <c r="J843" s="7" t="s">
        <v>148</v>
      </c>
      <c r="K843" s="7"/>
      <c r="L843" s="7"/>
      <c r="M843" s="7"/>
    </row>
    <row r="844" ht="15.75" customHeight="1">
      <c r="A844" s="7" t="s">
        <v>4502</v>
      </c>
      <c r="B844" s="45" t="s">
        <v>4503</v>
      </c>
      <c r="C844" s="7" t="s">
        <v>4504</v>
      </c>
      <c r="D844" s="7" t="s">
        <v>4505</v>
      </c>
      <c r="E844" s="7" t="s">
        <v>4506</v>
      </c>
      <c r="F844" s="7" t="s">
        <v>4507</v>
      </c>
      <c r="G844" s="7"/>
      <c r="H844" s="46" t="s">
        <v>249</v>
      </c>
      <c r="I844" s="7" t="s">
        <v>160</v>
      </c>
      <c r="J844" s="7" t="s">
        <v>148</v>
      </c>
      <c r="K844" s="7"/>
      <c r="L844" s="7"/>
      <c r="M844" s="7"/>
    </row>
    <row r="845" ht="15.75" customHeight="1">
      <c r="A845" s="7" t="s">
        <v>4508</v>
      </c>
      <c r="B845" s="45" t="s">
        <v>4509</v>
      </c>
      <c r="C845" s="7" t="s">
        <v>4510</v>
      </c>
      <c r="D845" s="7" t="s">
        <v>2900</v>
      </c>
      <c r="E845" s="7" t="s">
        <v>1568</v>
      </c>
      <c r="F845" s="7" t="s">
        <v>1569</v>
      </c>
      <c r="G845" s="7"/>
      <c r="H845" s="46" t="s">
        <v>249</v>
      </c>
      <c r="I845" s="7" t="s">
        <v>160</v>
      </c>
      <c r="J845" s="7" t="s">
        <v>148</v>
      </c>
      <c r="K845" s="7"/>
      <c r="L845" s="7"/>
      <c r="M845" s="7"/>
    </row>
    <row r="846" ht="15.75" customHeight="1">
      <c r="A846" s="7" t="s">
        <v>4511</v>
      </c>
      <c r="B846" s="45" t="s">
        <v>4512</v>
      </c>
      <c r="C846" s="7" t="s">
        <v>4513</v>
      </c>
      <c r="D846" s="7" t="s">
        <v>4514</v>
      </c>
      <c r="E846" s="7" t="s">
        <v>4515</v>
      </c>
      <c r="F846" s="7" t="s">
        <v>4516</v>
      </c>
      <c r="G846" s="7"/>
      <c r="H846" s="46" t="s">
        <v>249</v>
      </c>
      <c r="I846" s="7" t="s">
        <v>160</v>
      </c>
      <c r="J846" s="7" t="s">
        <v>148</v>
      </c>
      <c r="K846" s="7"/>
      <c r="L846" s="7"/>
      <c r="M846" s="7"/>
    </row>
    <row r="847" ht="15.75" customHeight="1">
      <c r="A847" s="7" t="s">
        <v>4517</v>
      </c>
      <c r="B847" s="45" t="s">
        <v>4518</v>
      </c>
      <c r="C847" s="7" t="s">
        <v>4519</v>
      </c>
      <c r="D847" s="7" t="s">
        <v>4520</v>
      </c>
      <c r="E847" s="7" t="s">
        <v>4521</v>
      </c>
      <c r="F847" s="7" t="s">
        <v>4522</v>
      </c>
      <c r="G847" s="7"/>
      <c r="H847" s="46" t="s">
        <v>249</v>
      </c>
      <c r="I847" s="7" t="s">
        <v>160</v>
      </c>
      <c r="J847" s="7" t="s">
        <v>148</v>
      </c>
      <c r="K847" s="7"/>
      <c r="L847" s="7"/>
      <c r="M847" s="7"/>
    </row>
    <row r="848" ht="15.75" customHeight="1">
      <c r="A848" s="7" t="s">
        <v>4523</v>
      </c>
      <c r="B848" s="45" t="s">
        <v>4524</v>
      </c>
      <c r="C848" s="7" t="s">
        <v>4525</v>
      </c>
      <c r="D848" s="7" t="s">
        <v>4526</v>
      </c>
      <c r="E848" s="7" t="s">
        <v>4527</v>
      </c>
      <c r="F848" s="7" t="s">
        <v>4528</v>
      </c>
      <c r="G848" s="7"/>
      <c r="H848" s="46" t="s">
        <v>249</v>
      </c>
      <c r="I848" s="7" t="s">
        <v>160</v>
      </c>
      <c r="J848" s="7" t="s">
        <v>148</v>
      </c>
      <c r="K848" s="7"/>
      <c r="L848" s="7"/>
      <c r="M848" s="7"/>
    </row>
    <row r="849" ht="15.75" customHeight="1">
      <c r="A849" s="7" t="s">
        <v>4529</v>
      </c>
      <c r="B849" s="45" t="s">
        <v>4530</v>
      </c>
      <c r="C849" s="7" t="s">
        <v>4531</v>
      </c>
      <c r="D849" s="7" t="s">
        <v>4532</v>
      </c>
      <c r="E849" s="7" t="s">
        <v>4533</v>
      </c>
      <c r="F849" s="7" t="s">
        <v>4534</v>
      </c>
      <c r="G849" s="7"/>
      <c r="H849" s="46" t="s">
        <v>249</v>
      </c>
      <c r="I849" s="7" t="s">
        <v>160</v>
      </c>
      <c r="J849" s="7" t="s">
        <v>148</v>
      </c>
      <c r="K849" s="7"/>
      <c r="L849" s="7"/>
      <c r="M849" s="7"/>
    </row>
    <row r="850" ht="15.75" customHeight="1">
      <c r="A850" s="7" t="s">
        <v>4535</v>
      </c>
      <c r="B850" s="45" t="s">
        <v>4536</v>
      </c>
      <c r="C850" s="7" t="s">
        <v>4537</v>
      </c>
      <c r="D850" s="7" t="s">
        <v>4538</v>
      </c>
      <c r="E850" s="7" t="s">
        <v>4539</v>
      </c>
      <c r="F850" s="7" t="s">
        <v>4540</v>
      </c>
      <c r="G850" s="7"/>
      <c r="H850" s="46" t="s">
        <v>249</v>
      </c>
      <c r="I850" s="7" t="s">
        <v>160</v>
      </c>
      <c r="J850" s="7" t="s">
        <v>148</v>
      </c>
      <c r="K850" s="7"/>
      <c r="L850" s="7"/>
      <c r="M850" s="7"/>
    </row>
    <row r="851" ht="15.75" customHeight="1">
      <c r="A851" s="7" t="s">
        <v>4541</v>
      </c>
      <c r="B851" s="45" t="s">
        <v>4542</v>
      </c>
      <c r="C851" s="7" t="s">
        <v>4543</v>
      </c>
      <c r="D851" s="7" t="s">
        <v>4544</v>
      </c>
      <c r="E851" s="7" t="s">
        <v>4545</v>
      </c>
      <c r="F851" s="7" t="s">
        <v>4546</v>
      </c>
      <c r="G851" s="7"/>
      <c r="H851" s="46" t="s">
        <v>249</v>
      </c>
      <c r="I851" s="7" t="s">
        <v>160</v>
      </c>
      <c r="J851" s="7" t="s">
        <v>148</v>
      </c>
      <c r="K851" s="7"/>
      <c r="L851" s="7"/>
      <c r="M851" s="7"/>
    </row>
    <row r="852" ht="15.75" customHeight="1">
      <c r="A852" s="7" t="s">
        <v>4547</v>
      </c>
      <c r="B852" s="45" t="s">
        <v>4548</v>
      </c>
      <c r="C852" s="7" t="s">
        <v>4549</v>
      </c>
      <c r="D852" s="7" t="s">
        <v>4550</v>
      </c>
      <c r="E852" s="7" t="s">
        <v>4551</v>
      </c>
      <c r="F852" s="7" t="s">
        <v>4552</v>
      </c>
      <c r="G852" s="7"/>
      <c r="H852" s="46" t="s">
        <v>249</v>
      </c>
      <c r="I852" s="7" t="s">
        <v>160</v>
      </c>
      <c r="J852" s="7" t="s">
        <v>148</v>
      </c>
      <c r="K852" s="7"/>
      <c r="L852" s="7"/>
      <c r="M852" s="7"/>
    </row>
    <row r="853" ht="15.75" customHeight="1">
      <c r="A853" s="7" t="s">
        <v>4553</v>
      </c>
      <c r="B853" s="45" t="s">
        <v>4554</v>
      </c>
      <c r="C853" s="7" t="s">
        <v>4555</v>
      </c>
      <c r="D853" s="7" t="s">
        <v>4556</v>
      </c>
      <c r="E853" s="7" t="s">
        <v>4557</v>
      </c>
      <c r="F853" s="7" t="s">
        <v>4558</v>
      </c>
      <c r="G853" s="7"/>
      <c r="H853" s="46" t="s">
        <v>249</v>
      </c>
      <c r="I853" s="7" t="s">
        <v>160</v>
      </c>
      <c r="J853" s="7" t="s">
        <v>148</v>
      </c>
      <c r="K853" s="7"/>
      <c r="L853" s="7"/>
      <c r="M853" s="7"/>
    </row>
    <row r="854" ht="15.75" customHeight="1">
      <c r="A854" s="7" t="s">
        <v>4559</v>
      </c>
      <c r="B854" s="45" t="s">
        <v>4560</v>
      </c>
      <c r="C854" s="7" t="s">
        <v>4561</v>
      </c>
      <c r="D854" s="7" t="s">
        <v>4562</v>
      </c>
      <c r="E854" s="7" t="s">
        <v>4563</v>
      </c>
      <c r="F854" s="7" t="s">
        <v>4564</v>
      </c>
      <c r="G854" s="7"/>
      <c r="H854" s="46" t="s">
        <v>249</v>
      </c>
      <c r="I854" s="7" t="s">
        <v>160</v>
      </c>
      <c r="J854" s="7" t="s">
        <v>148</v>
      </c>
      <c r="K854" s="7"/>
      <c r="L854" s="7"/>
      <c r="M854" s="7"/>
    </row>
    <row r="855" ht="15.75" customHeight="1">
      <c r="A855" s="7" t="s">
        <v>4565</v>
      </c>
      <c r="B855" s="45" t="s">
        <v>4566</v>
      </c>
      <c r="C855" s="7" t="s">
        <v>4567</v>
      </c>
      <c r="D855" s="7" t="s">
        <v>4568</v>
      </c>
      <c r="E855" s="7" t="s">
        <v>4569</v>
      </c>
      <c r="F855" s="7" t="s">
        <v>4570</v>
      </c>
      <c r="G855" s="7"/>
      <c r="H855" s="46" t="s">
        <v>249</v>
      </c>
      <c r="I855" s="7" t="s">
        <v>160</v>
      </c>
      <c r="J855" s="7" t="s">
        <v>148</v>
      </c>
      <c r="K855" s="7"/>
      <c r="L855" s="7"/>
      <c r="M855" s="7"/>
    </row>
    <row r="856" ht="15.75" customHeight="1">
      <c r="A856" s="7" t="s">
        <v>4571</v>
      </c>
      <c r="B856" s="45" t="s">
        <v>4572</v>
      </c>
      <c r="C856" s="7" t="s">
        <v>4573</v>
      </c>
      <c r="D856" s="7" t="s">
        <v>4574</v>
      </c>
      <c r="E856" s="7" t="s">
        <v>4575</v>
      </c>
      <c r="F856" s="7" t="s">
        <v>4576</v>
      </c>
      <c r="G856" s="7"/>
      <c r="H856" s="46" t="s">
        <v>249</v>
      </c>
      <c r="I856" s="7" t="s">
        <v>160</v>
      </c>
      <c r="J856" s="7" t="s">
        <v>148</v>
      </c>
      <c r="K856" s="7"/>
      <c r="L856" s="7"/>
      <c r="M856" s="7"/>
    </row>
    <row r="857" ht="15.75" customHeight="1">
      <c r="A857" s="7" t="s">
        <v>4577</v>
      </c>
      <c r="B857" s="45" t="s">
        <v>4578</v>
      </c>
      <c r="C857" s="7" t="s">
        <v>4573</v>
      </c>
      <c r="D857" s="7" t="s">
        <v>4579</v>
      </c>
      <c r="E857" s="7" t="s">
        <v>4580</v>
      </c>
      <c r="F857" s="7" t="s">
        <v>4576</v>
      </c>
      <c r="G857" s="7"/>
      <c r="H857" s="46" t="s">
        <v>249</v>
      </c>
      <c r="I857" s="7" t="s">
        <v>160</v>
      </c>
      <c r="J857" s="7" t="s">
        <v>148</v>
      </c>
      <c r="K857" s="7"/>
      <c r="L857" s="7"/>
      <c r="M857" s="7"/>
    </row>
    <row r="858" ht="15.75" customHeight="1">
      <c r="A858" s="7" t="s">
        <v>4581</v>
      </c>
      <c r="B858" s="45" t="s">
        <v>4582</v>
      </c>
      <c r="C858" s="7" t="s">
        <v>4573</v>
      </c>
      <c r="D858" s="7" t="s">
        <v>4583</v>
      </c>
      <c r="E858" s="7" t="s">
        <v>4584</v>
      </c>
      <c r="F858" s="7" t="s">
        <v>4585</v>
      </c>
      <c r="G858" s="7"/>
      <c r="H858" s="46" t="s">
        <v>249</v>
      </c>
      <c r="I858" s="7" t="s">
        <v>160</v>
      </c>
      <c r="J858" s="7" t="s">
        <v>148</v>
      </c>
      <c r="K858" s="7"/>
      <c r="L858" s="7"/>
      <c r="M858" s="7"/>
    </row>
    <row r="859" ht="15.75" customHeight="1">
      <c r="A859" s="7" t="s">
        <v>4586</v>
      </c>
      <c r="B859" s="45" t="s">
        <v>4587</v>
      </c>
      <c r="C859" s="7" t="s">
        <v>4588</v>
      </c>
      <c r="D859" s="7" t="s">
        <v>4589</v>
      </c>
      <c r="E859" s="7" t="s">
        <v>4590</v>
      </c>
      <c r="F859" s="7" t="s">
        <v>4591</v>
      </c>
      <c r="G859" s="7"/>
      <c r="H859" s="46" t="s">
        <v>249</v>
      </c>
      <c r="I859" s="7" t="s">
        <v>160</v>
      </c>
      <c r="J859" s="7" t="s">
        <v>148</v>
      </c>
      <c r="K859" s="7"/>
      <c r="L859" s="7"/>
      <c r="M859" s="7"/>
    </row>
    <row r="860" ht="15.75" customHeight="1">
      <c r="A860" s="7" t="s">
        <v>4592</v>
      </c>
      <c r="B860" s="45" t="s">
        <v>4593</v>
      </c>
      <c r="C860" s="7" t="s">
        <v>4594</v>
      </c>
      <c r="D860" s="7" t="s">
        <v>4595</v>
      </c>
      <c r="E860" s="7" t="s">
        <v>4590</v>
      </c>
      <c r="F860" s="7" t="s">
        <v>4591</v>
      </c>
      <c r="G860" s="7"/>
      <c r="H860" s="46" t="s">
        <v>249</v>
      </c>
      <c r="I860" s="7" t="s">
        <v>160</v>
      </c>
      <c r="J860" s="7" t="s">
        <v>148</v>
      </c>
      <c r="K860" s="7"/>
      <c r="L860" s="7"/>
      <c r="M860" s="7"/>
    </row>
    <row r="861" ht="15.75" customHeight="1">
      <c r="A861" s="7" t="s">
        <v>4596</v>
      </c>
      <c r="B861" s="45" t="s">
        <v>4597</v>
      </c>
      <c r="C861" s="7" t="s">
        <v>4594</v>
      </c>
      <c r="D861" s="7" t="s">
        <v>4598</v>
      </c>
      <c r="E861" s="7" t="s">
        <v>4599</v>
      </c>
      <c r="F861" s="7" t="s">
        <v>4591</v>
      </c>
      <c r="G861" s="7"/>
      <c r="H861" s="46" t="s">
        <v>249</v>
      </c>
      <c r="I861" s="7" t="s">
        <v>160</v>
      </c>
      <c r="J861" s="7" t="s">
        <v>148</v>
      </c>
      <c r="K861" s="7"/>
      <c r="L861" s="7"/>
      <c r="M861" s="7"/>
    </row>
    <row r="862" ht="15.75" customHeight="1">
      <c r="A862" s="7" t="s">
        <v>4600</v>
      </c>
      <c r="B862" s="45" t="s">
        <v>4601</v>
      </c>
      <c r="C862" s="7" t="s">
        <v>4594</v>
      </c>
      <c r="D862" s="7" t="s">
        <v>4602</v>
      </c>
      <c r="E862" s="7" t="s">
        <v>4590</v>
      </c>
      <c r="F862" s="7" t="s">
        <v>4591</v>
      </c>
      <c r="G862" s="7"/>
      <c r="H862" s="46" t="s">
        <v>249</v>
      </c>
      <c r="I862" s="7" t="s">
        <v>160</v>
      </c>
      <c r="J862" s="7" t="s">
        <v>148</v>
      </c>
      <c r="K862" s="7"/>
      <c r="L862" s="7"/>
      <c r="M862" s="7"/>
    </row>
    <row r="863" ht="15.75" customHeight="1">
      <c r="A863" s="7" t="s">
        <v>4603</v>
      </c>
      <c r="B863" s="45" t="s">
        <v>4604</v>
      </c>
      <c r="C863" s="7" t="s">
        <v>4594</v>
      </c>
      <c r="D863" s="7" t="s">
        <v>4605</v>
      </c>
      <c r="E863" s="7" t="s">
        <v>4590</v>
      </c>
      <c r="F863" s="7" t="s">
        <v>4591</v>
      </c>
      <c r="G863" s="7"/>
      <c r="H863" s="46" t="s">
        <v>249</v>
      </c>
      <c r="I863" s="7" t="s">
        <v>160</v>
      </c>
      <c r="J863" s="7" t="s">
        <v>148</v>
      </c>
      <c r="K863" s="7"/>
      <c r="L863" s="7"/>
      <c r="M863" s="7"/>
    </row>
    <row r="864" ht="15.75" customHeight="1">
      <c r="A864" s="7" t="s">
        <v>4606</v>
      </c>
      <c r="B864" s="45" t="s">
        <v>4607</v>
      </c>
      <c r="C864" s="7" t="s">
        <v>4608</v>
      </c>
      <c r="D864" s="7" t="s">
        <v>4609</v>
      </c>
      <c r="E864" s="7" t="s">
        <v>4610</v>
      </c>
      <c r="F864" s="7" t="s">
        <v>4611</v>
      </c>
      <c r="G864" s="7"/>
      <c r="H864" s="46" t="s">
        <v>249</v>
      </c>
      <c r="I864" s="7" t="s">
        <v>160</v>
      </c>
      <c r="J864" s="7" t="s">
        <v>148</v>
      </c>
      <c r="K864" s="7"/>
      <c r="L864" s="7"/>
      <c r="M864" s="7"/>
    </row>
    <row r="865" ht="15.75" customHeight="1">
      <c r="A865" s="7" t="s">
        <v>4612</v>
      </c>
      <c r="B865" s="45" t="s">
        <v>4613</v>
      </c>
      <c r="C865" s="7" t="s">
        <v>4614</v>
      </c>
      <c r="D865" s="7" t="s">
        <v>4615</v>
      </c>
      <c r="E865" s="7" t="s">
        <v>4616</v>
      </c>
      <c r="F865" s="7" t="s">
        <v>4617</v>
      </c>
      <c r="G865" s="7"/>
      <c r="H865" s="46" t="s">
        <v>249</v>
      </c>
      <c r="I865" s="7" t="s">
        <v>160</v>
      </c>
      <c r="J865" s="7" t="s">
        <v>148</v>
      </c>
      <c r="K865" s="7"/>
      <c r="L865" s="7"/>
      <c r="M865" s="7"/>
    </row>
    <row r="866" ht="15.75" customHeight="1">
      <c r="A866" s="7" t="s">
        <v>4618</v>
      </c>
      <c r="B866" s="45" t="s">
        <v>4619</v>
      </c>
      <c r="C866" s="7" t="s">
        <v>4620</v>
      </c>
      <c r="D866" s="7" t="s">
        <v>4621</v>
      </c>
      <c r="E866" s="7" t="s">
        <v>4622</v>
      </c>
      <c r="F866" s="7" t="s">
        <v>4623</v>
      </c>
      <c r="G866" s="7"/>
      <c r="H866" s="46" t="s">
        <v>249</v>
      </c>
      <c r="I866" s="7" t="s">
        <v>160</v>
      </c>
      <c r="J866" s="7" t="s">
        <v>148</v>
      </c>
      <c r="K866" s="7"/>
      <c r="L866" s="7"/>
      <c r="M866" s="7"/>
    </row>
    <row r="867" ht="15.75" customHeight="1">
      <c r="A867" s="7" t="s">
        <v>4624</v>
      </c>
      <c r="B867" s="45" t="s">
        <v>4625</v>
      </c>
      <c r="C867" s="7" t="s">
        <v>2112</v>
      </c>
      <c r="D867" s="7" t="s">
        <v>4626</v>
      </c>
      <c r="E867" s="7" t="s">
        <v>2114</v>
      </c>
      <c r="F867" s="7" t="s">
        <v>2115</v>
      </c>
      <c r="G867" s="7"/>
      <c r="H867" s="46" t="s">
        <v>249</v>
      </c>
      <c r="I867" s="7" t="s">
        <v>160</v>
      </c>
      <c r="J867" s="7" t="s">
        <v>148</v>
      </c>
      <c r="K867" s="7"/>
      <c r="L867" s="7"/>
      <c r="M867" s="7"/>
    </row>
    <row r="868" ht="15.75" customHeight="1">
      <c r="A868" s="7" t="s">
        <v>4627</v>
      </c>
      <c r="B868" s="45" t="s">
        <v>4628</v>
      </c>
      <c r="C868" s="7" t="s">
        <v>4629</v>
      </c>
      <c r="D868" s="7" t="s">
        <v>4626</v>
      </c>
      <c r="E868" s="7" t="s">
        <v>2114</v>
      </c>
      <c r="F868" s="7" t="s">
        <v>2115</v>
      </c>
      <c r="G868" s="7"/>
      <c r="H868" s="46" t="s">
        <v>249</v>
      </c>
      <c r="I868" s="7" t="s">
        <v>160</v>
      </c>
      <c r="J868" s="7" t="s">
        <v>148</v>
      </c>
      <c r="K868" s="7"/>
      <c r="L868" s="7"/>
      <c r="M868" s="7"/>
    </row>
    <row r="869" ht="15.75" customHeight="1">
      <c r="A869" s="7" t="s">
        <v>4630</v>
      </c>
      <c r="B869" s="45" t="s">
        <v>4631</v>
      </c>
      <c r="C869" s="7" t="s">
        <v>4632</v>
      </c>
      <c r="D869" s="7" t="s">
        <v>4633</v>
      </c>
      <c r="E869" s="7" t="s">
        <v>4634</v>
      </c>
      <c r="F869" s="7" t="s">
        <v>4635</v>
      </c>
      <c r="G869" s="7"/>
      <c r="H869" s="46" t="s">
        <v>249</v>
      </c>
      <c r="I869" s="7" t="s">
        <v>160</v>
      </c>
      <c r="J869" s="7" t="s">
        <v>148</v>
      </c>
      <c r="K869" s="7"/>
      <c r="L869" s="7"/>
      <c r="M869" s="7"/>
    </row>
    <row r="870" ht="15.75" customHeight="1">
      <c r="A870" s="7" t="s">
        <v>4636</v>
      </c>
      <c r="B870" s="45" t="s">
        <v>4637</v>
      </c>
      <c r="C870" s="7" t="s">
        <v>4638</v>
      </c>
      <c r="D870" s="7" t="s">
        <v>4639</v>
      </c>
      <c r="E870" s="7" t="s">
        <v>4640</v>
      </c>
      <c r="F870" s="7" t="s">
        <v>4641</v>
      </c>
      <c r="G870" s="7"/>
      <c r="H870" s="46" t="s">
        <v>249</v>
      </c>
      <c r="I870" s="7" t="s">
        <v>160</v>
      </c>
      <c r="J870" s="7" t="s">
        <v>148</v>
      </c>
      <c r="K870" s="7"/>
      <c r="L870" s="7"/>
      <c r="M870" s="7"/>
    </row>
    <row r="871" ht="15.75" customHeight="1">
      <c r="A871" s="7" t="s">
        <v>4642</v>
      </c>
      <c r="B871" s="45" t="s">
        <v>4643</v>
      </c>
      <c r="C871" s="7" t="s">
        <v>1757</v>
      </c>
      <c r="D871" s="7" t="s">
        <v>4644</v>
      </c>
      <c r="E871" s="7" t="s">
        <v>1768</v>
      </c>
      <c r="F871" s="7" t="s">
        <v>1769</v>
      </c>
      <c r="G871" s="7"/>
      <c r="H871" s="46" t="s">
        <v>249</v>
      </c>
      <c r="I871" s="7" t="s">
        <v>160</v>
      </c>
      <c r="J871" s="7" t="s">
        <v>148</v>
      </c>
      <c r="K871" s="7"/>
      <c r="L871" s="7"/>
      <c r="M871" s="7"/>
    </row>
    <row r="872" ht="15.75" customHeight="1">
      <c r="A872" s="7" t="s">
        <v>4645</v>
      </c>
      <c r="B872" s="45" t="s">
        <v>4646</v>
      </c>
      <c r="C872" s="7" t="s">
        <v>4647</v>
      </c>
      <c r="D872" s="7" t="s">
        <v>4648</v>
      </c>
      <c r="E872" s="7" t="s">
        <v>1768</v>
      </c>
      <c r="F872" s="7" t="s">
        <v>1754</v>
      </c>
      <c r="G872" s="7"/>
      <c r="H872" s="46" t="s">
        <v>249</v>
      </c>
      <c r="I872" s="7" t="s">
        <v>160</v>
      </c>
      <c r="J872" s="7" t="s">
        <v>148</v>
      </c>
      <c r="K872" s="7"/>
      <c r="L872" s="7"/>
      <c r="M872" s="7"/>
    </row>
    <row r="873" ht="15.75" customHeight="1">
      <c r="A873" s="7" t="s">
        <v>4649</v>
      </c>
      <c r="B873" s="45" t="s">
        <v>4650</v>
      </c>
      <c r="C873" s="7" t="s">
        <v>4651</v>
      </c>
      <c r="D873" s="7" t="s">
        <v>4652</v>
      </c>
      <c r="E873" s="7" t="s">
        <v>4653</v>
      </c>
      <c r="F873" s="7" t="s">
        <v>4654</v>
      </c>
      <c r="G873" s="7"/>
      <c r="H873" s="46" t="s">
        <v>249</v>
      </c>
      <c r="I873" s="7" t="s">
        <v>160</v>
      </c>
      <c r="J873" s="7" t="s">
        <v>148</v>
      </c>
      <c r="K873" s="7"/>
      <c r="L873" s="7"/>
      <c r="M873" s="7"/>
    </row>
    <row r="874" ht="15.75" customHeight="1">
      <c r="A874" s="7" t="s">
        <v>4655</v>
      </c>
      <c r="B874" s="45" t="s">
        <v>4656</v>
      </c>
      <c r="C874" s="7" t="s">
        <v>4657</v>
      </c>
      <c r="D874" s="7" t="s">
        <v>4658</v>
      </c>
      <c r="E874" s="7" t="s">
        <v>4659</v>
      </c>
      <c r="F874" s="7" t="s">
        <v>4660</v>
      </c>
      <c r="G874" s="7"/>
      <c r="H874" s="46" t="s">
        <v>249</v>
      </c>
      <c r="I874" s="7" t="s">
        <v>160</v>
      </c>
      <c r="J874" s="7" t="s">
        <v>148</v>
      </c>
      <c r="K874" s="7"/>
      <c r="L874" s="7"/>
      <c r="M874" s="7"/>
    </row>
    <row r="875" ht="15.75" customHeight="1">
      <c r="A875" s="7" t="s">
        <v>4661</v>
      </c>
      <c r="B875" s="45" t="s">
        <v>4662</v>
      </c>
      <c r="C875" s="7" t="s">
        <v>4663</v>
      </c>
      <c r="D875" s="7" t="s">
        <v>4664</v>
      </c>
      <c r="E875" s="7" t="s">
        <v>4665</v>
      </c>
      <c r="F875" s="7" t="s">
        <v>4666</v>
      </c>
      <c r="G875" s="7"/>
      <c r="H875" s="46" t="s">
        <v>249</v>
      </c>
      <c r="I875" s="7" t="s">
        <v>160</v>
      </c>
      <c r="J875" s="7" t="s">
        <v>148</v>
      </c>
      <c r="K875" s="7"/>
      <c r="L875" s="7"/>
      <c r="M875" s="7"/>
    </row>
    <row r="876" ht="15.75" customHeight="1">
      <c r="A876" s="7" t="s">
        <v>4667</v>
      </c>
      <c r="B876" s="45" t="s">
        <v>4668</v>
      </c>
      <c r="C876" s="7" t="s">
        <v>4669</v>
      </c>
      <c r="D876" s="7" t="s">
        <v>4670</v>
      </c>
      <c r="E876" s="7" t="s">
        <v>4671</v>
      </c>
      <c r="F876" s="7" t="s">
        <v>4672</v>
      </c>
      <c r="G876" s="7"/>
      <c r="H876" s="46" t="s">
        <v>249</v>
      </c>
      <c r="I876" s="7" t="s">
        <v>160</v>
      </c>
      <c r="J876" s="7" t="s">
        <v>148</v>
      </c>
      <c r="K876" s="7"/>
      <c r="L876" s="7"/>
      <c r="M876" s="7"/>
    </row>
    <row r="877" ht="15.75" customHeight="1">
      <c r="A877" s="7" t="s">
        <v>4673</v>
      </c>
      <c r="B877" s="45" t="s">
        <v>4674</v>
      </c>
      <c r="C877" s="7" t="s">
        <v>4675</v>
      </c>
      <c r="D877" s="7" t="s">
        <v>4676</v>
      </c>
      <c r="E877" s="7" t="s">
        <v>4677</v>
      </c>
      <c r="F877" s="7" t="s">
        <v>4678</v>
      </c>
      <c r="G877" s="7"/>
      <c r="H877" s="46" t="s">
        <v>249</v>
      </c>
      <c r="I877" s="7" t="s">
        <v>160</v>
      </c>
      <c r="J877" s="7" t="s">
        <v>148</v>
      </c>
      <c r="K877" s="7"/>
      <c r="L877" s="7"/>
      <c r="M877" s="7"/>
    </row>
    <row r="878" ht="15.75" customHeight="1">
      <c r="A878" s="7" t="s">
        <v>4679</v>
      </c>
      <c r="B878" s="45" t="s">
        <v>4680</v>
      </c>
      <c r="C878" s="7" t="s">
        <v>4681</v>
      </c>
      <c r="D878" s="7" t="s">
        <v>4682</v>
      </c>
      <c r="E878" s="7" t="s">
        <v>4683</v>
      </c>
      <c r="F878" s="7" t="s">
        <v>4684</v>
      </c>
      <c r="G878" s="7" t="s">
        <v>4685</v>
      </c>
      <c r="H878" s="46" t="s">
        <v>249</v>
      </c>
      <c r="I878" s="7" t="s">
        <v>160</v>
      </c>
      <c r="J878" s="7" t="s">
        <v>148</v>
      </c>
      <c r="K878" s="7"/>
      <c r="L878" s="7"/>
      <c r="M878" s="7"/>
    </row>
    <row r="879" ht="15.75" customHeight="1">
      <c r="A879" s="7" t="s">
        <v>4686</v>
      </c>
      <c r="B879" s="45" t="s">
        <v>4687</v>
      </c>
      <c r="C879" s="7" t="s">
        <v>2856</v>
      </c>
      <c r="D879" s="7" t="s">
        <v>4688</v>
      </c>
      <c r="E879" s="7" t="s">
        <v>4689</v>
      </c>
      <c r="F879" s="7" t="s">
        <v>2834</v>
      </c>
      <c r="G879" s="7"/>
      <c r="H879" s="46" t="s">
        <v>249</v>
      </c>
      <c r="I879" s="7" t="s">
        <v>160</v>
      </c>
      <c r="J879" s="7" t="s">
        <v>148</v>
      </c>
      <c r="K879" s="7"/>
      <c r="L879" s="7"/>
      <c r="M879" s="7"/>
    </row>
    <row r="880" ht="15.75" customHeight="1">
      <c r="A880" s="7" t="s">
        <v>4690</v>
      </c>
      <c r="B880" s="45" t="s">
        <v>4691</v>
      </c>
      <c r="C880" s="7" t="s">
        <v>2831</v>
      </c>
      <c r="D880" s="7" t="s">
        <v>4692</v>
      </c>
      <c r="E880" s="7" t="s">
        <v>4693</v>
      </c>
      <c r="F880" s="7" t="s">
        <v>2834</v>
      </c>
      <c r="G880" s="7"/>
      <c r="H880" s="46" t="s">
        <v>249</v>
      </c>
      <c r="I880" s="7" t="s">
        <v>160</v>
      </c>
      <c r="J880" s="7" t="s">
        <v>148</v>
      </c>
      <c r="K880" s="7"/>
      <c r="L880" s="7"/>
      <c r="M880" s="7"/>
    </row>
    <row r="881" ht="15.75" customHeight="1">
      <c r="A881" s="7" t="s">
        <v>4694</v>
      </c>
      <c r="B881" s="45" t="s">
        <v>4695</v>
      </c>
      <c r="C881" s="7" t="s">
        <v>2831</v>
      </c>
      <c r="D881" s="7" t="s">
        <v>4696</v>
      </c>
      <c r="E881" s="7" t="s">
        <v>4697</v>
      </c>
      <c r="F881" s="7" t="s">
        <v>2834</v>
      </c>
      <c r="G881" s="7"/>
      <c r="H881" s="46" t="s">
        <v>249</v>
      </c>
      <c r="I881" s="7" t="s">
        <v>160</v>
      </c>
      <c r="J881" s="7" t="s">
        <v>148</v>
      </c>
      <c r="K881" s="7"/>
      <c r="L881" s="7"/>
      <c r="M881" s="7"/>
    </row>
    <row r="882" ht="15.75" customHeight="1">
      <c r="A882" s="7" t="s">
        <v>4698</v>
      </c>
      <c r="B882" s="45" t="s">
        <v>4699</v>
      </c>
      <c r="C882" s="7" t="s">
        <v>2831</v>
      </c>
      <c r="D882" s="7" t="s">
        <v>4700</v>
      </c>
      <c r="E882" s="7" t="s">
        <v>4701</v>
      </c>
      <c r="F882" s="7" t="s">
        <v>2834</v>
      </c>
      <c r="G882" s="7"/>
      <c r="H882" s="46" t="s">
        <v>249</v>
      </c>
      <c r="I882" s="7" t="s">
        <v>160</v>
      </c>
      <c r="J882" s="7" t="s">
        <v>148</v>
      </c>
      <c r="K882" s="7"/>
      <c r="L882" s="7"/>
      <c r="M882" s="7"/>
    </row>
    <row r="883" ht="15.75" customHeight="1">
      <c r="A883" s="7" t="s">
        <v>4702</v>
      </c>
      <c r="B883" s="45" t="s">
        <v>4703</v>
      </c>
      <c r="C883" s="7" t="s">
        <v>4704</v>
      </c>
      <c r="D883" s="7" t="s">
        <v>4705</v>
      </c>
      <c r="E883" s="7" t="s">
        <v>4706</v>
      </c>
      <c r="F883" s="7" t="s">
        <v>2834</v>
      </c>
      <c r="G883" s="7"/>
      <c r="H883" s="46" t="s">
        <v>249</v>
      </c>
      <c r="I883" s="7" t="s">
        <v>160</v>
      </c>
      <c r="J883" s="7" t="s">
        <v>148</v>
      </c>
      <c r="K883" s="7"/>
      <c r="L883" s="7"/>
      <c r="M883" s="7"/>
    </row>
    <row r="884" ht="15.75" customHeight="1">
      <c r="A884" s="7" t="s">
        <v>4707</v>
      </c>
      <c r="B884" s="45" t="s">
        <v>4708</v>
      </c>
      <c r="C884" s="7" t="s">
        <v>2831</v>
      </c>
      <c r="D884" s="7" t="s">
        <v>4709</v>
      </c>
      <c r="E884" s="7" t="s">
        <v>4710</v>
      </c>
      <c r="F884" s="7" t="s">
        <v>2834</v>
      </c>
      <c r="G884" s="7"/>
      <c r="H884" s="46" t="s">
        <v>249</v>
      </c>
      <c r="I884" s="7" t="s">
        <v>160</v>
      </c>
      <c r="J884" s="7" t="s">
        <v>148</v>
      </c>
      <c r="K884" s="7"/>
      <c r="L884" s="7"/>
      <c r="M884" s="7"/>
    </row>
    <row r="885" ht="15.75" customHeight="1">
      <c r="A885" s="7" t="s">
        <v>4711</v>
      </c>
      <c r="B885" s="45" t="s">
        <v>4712</v>
      </c>
      <c r="C885" s="7" t="s">
        <v>2831</v>
      </c>
      <c r="D885" s="7" t="s">
        <v>4713</v>
      </c>
      <c r="E885" s="7" t="s">
        <v>4714</v>
      </c>
      <c r="F885" s="7" t="s">
        <v>2834</v>
      </c>
      <c r="G885" s="7"/>
      <c r="H885" s="46" t="s">
        <v>249</v>
      </c>
      <c r="I885" s="7" t="s">
        <v>160</v>
      </c>
      <c r="J885" s="7" t="s">
        <v>148</v>
      </c>
      <c r="K885" s="7"/>
      <c r="L885" s="7"/>
      <c r="M885" s="7"/>
    </row>
    <row r="886" ht="15.75" customHeight="1">
      <c r="A886" s="7" t="s">
        <v>4715</v>
      </c>
      <c r="B886" s="45" t="s">
        <v>4716</v>
      </c>
      <c r="C886" s="7" t="s">
        <v>2831</v>
      </c>
      <c r="D886" s="7" t="s">
        <v>4717</v>
      </c>
      <c r="E886" s="7" t="s">
        <v>4718</v>
      </c>
      <c r="F886" s="7" t="s">
        <v>2834</v>
      </c>
      <c r="G886" s="7"/>
      <c r="H886" s="46" t="s">
        <v>249</v>
      </c>
      <c r="I886" s="7" t="s">
        <v>160</v>
      </c>
      <c r="J886" s="7" t="s">
        <v>148</v>
      </c>
      <c r="K886" s="7"/>
      <c r="L886" s="7"/>
      <c r="M886" s="7"/>
    </row>
    <row r="887" ht="15.75" customHeight="1">
      <c r="A887" s="7" t="s">
        <v>4719</v>
      </c>
      <c r="B887" s="45" t="s">
        <v>4720</v>
      </c>
      <c r="C887" s="7" t="s">
        <v>2831</v>
      </c>
      <c r="D887" s="7" t="s">
        <v>4721</v>
      </c>
      <c r="E887" s="7" t="s">
        <v>4722</v>
      </c>
      <c r="F887" s="7" t="s">
        <v>2834</v>
      </c>
      <c r="G887" s="7"/>
      <c r="H887" s="46" t="s">
        <v>249</v>
      </c>
      <c r="I887" s="7" t="s">
        <v>160</v>
      </c>
      <c r="J887" s="7" t="s">
        <v>148</v>
      </c>
      <c r="K887" s="7"/>
      <c r="L887" s="7"/>
      <c r="M887" s="7"/>
    </row>
    <row r="888" ht="15.75" customHeight="1">
      <c r="A888" s="7" t="s">
        <v>4723</v>
      </c>
      <c r="B888" s="45" t="s">
        <v>4724</v>
      </c>
      <c r="C888" s="7" t="s">
        <v>4725</v>
      </c>
      <c r="D888" s="7" t="s">
        <v>4726</v>
      </c>
      <c r="E888" s="7" t="s">
        <v>4727</v>
      </c>
      <c r="F888" s="7" t="s">
        <v>4728</v>
      </c>
      <c r="G888" s="7"/>
      <c r="H888" s="46" t="s">
        <v>249</v>
      </c>
      <c r="I888" s="7" t="s">
        <v>160</v>
      </c>
      <c r="J888" s="7" t="s">
        <v>148</v>
      </c>
      <c r="K888" s="7"/>
      <c r="L888" s="7"/>
      <c r="M888" s="7"/>
    </row>
    <row r="889" ht="15.75" customHeight="1">
      <c r="A889" s="7" t="s">
        <v>4729</v>
      </c>
      <c r="B889" s="45" t="s">
        <v>4730</v>
      </c>
      <c r="C889" s="7" t="s">
        <v>4731</v>
      </c>
      <c r="D889" s="7" t="s">
        <v>4732</v>
      </c>
      <c r="E889" s="7" t="s">
        <v>4733</v>
      </c>
      <c r="F889" s="7" t="s">
        <v>4734</v>
      </c>
      <c r="G889" s="7"/>
      <c r="H889" s="46" t="s">
        <v>249</v>
      </c>
      <c r="I889" s="7" t="s">
        <v>160</v>
      </c>
      <c r="J889" s="7" t="s">
        <v>148</v>
      </c>
      <c r="K889" s="7"/>
      <c r="L889" s="7"/>
      <c r="M889" s="7"/>
    </row>
    <row r="890" ht="15.75" customHeight="1">
      <c r="A890" s="7" t="s">
        <v>4735</v>
      </c>
      <c r="B890" s="45" t="s">
        <v>4736</v>
      </c>
      <c r="C890" s="7" t="s">
        <v>4669</v>
      </c>
      <c r="D890" s="7" t="s">
        <v>4737</v>
      </c>
      <c r="E890" s="7" t="s">
        <v>4671</v>
      </c>
      <c r="F890" s="7" t="s">
        <v>4672</v>
      </c>
      <c r="G890" s="7"/>
      <c r="H890" s="46" t="s">
        <v>249</v>
      </c>
      <c r="I890" s="7" t="s">
        <v>160</v>
      </c>
      <c r="J890" s="7" t="s">
        <v>148</v>
      </c>
      <c r="K890" s="7"/>
      <c r="L890" s="7"/>
      <c r="M890" s="7"/>
    </row>
    <row r="891" ht="15.75" customHeight="1">
      <c r="A891" s="7" t="s">
        <v>4738</v>
      </c>
      <c r="B891" s="45" t="s">
        <v>4739</v>
      </c>
      <c r="C891" s="7" t="s">
        <v>4740</v>
      </c>
      <c r="D891" s="7" t="s">
        <v>4741</v>
      </c>
      <c r="E891" s="7" t="s">
        <v>1544</v>
      </c>
      <c r="F891" s="7" t="s">
        <v>1545</v>
      </c>
      <c r="G891" s="7"/>
      <c r="H891" s="46" t="s">
        <v>249</v>
      </c>
      <c r="I891" s="7" t="s">
        <v>160</v>
      </c>
      <c r="J891" s="7" t="s">
        <v>148</v>
      </c>
      <c r="K891" s="7"/>
      <c r="L891" s="7"/>
      <c r="M891" s="7"/>
    </row>
    <row r="892" ht="15.75" customHeight="1">
      <c r="A892" s="7" t="s">
        <v>4742</v>
      </c>
      <c r="B892" s="45" t="s">
        <v>4743</v>
      </c>
      <c r="C892" s="7" t="s">
        <v>4740</v>
      </c>
      <c r="D892" s="7" t="s">
        <v>4744</v>
      </c>
      <c r="E892" s="7" t="s">
        <v>1544</v>
      </c>
      <c r="F892" s="7" t="s">
        <v>1545</v>
      </c>
      <c r="G892" s="7"/>
      <c r="H892" s="46" t="s">
        <v>249</v>
      </c>
      <c r="I892" s="7" t="s">
        <v>160</v>
      </c>
      <c r="J892" s="7" t="s">
        <v>148</v>
      </c>
      <c r="K892" s="7"/>
      <c r="L892" s="7"/>
      <c r="M892" s="7"/>
    </row>
    <row r="893" ht="15.75" customHeight="1">
      <c r="A893" s="7" t="s">
        <v>4745</v>
      </c>
      <c r="B893" s="45" t="s">
        <v>4746</v>
      </c>
      <c r="C893" s="7" t="s">
        <v>4740</v>
      </c>
      <c r="D893" s="7" t="s">
        <v>4747</v>
      </c>
      <c r="E893" s="7" t="s">
        <v>1544</v>
      </c>
      <c r="F893" s="7" t="s">
        <v>1545</v>
      </c>
      <c r="G893" s="7"/>
      <c r="H893" s="46" t="s">
        <v>249</v>
      </c>
      <c r="I893" s="7" t="s">
        <v>160</v>
      </c>
      <c r="J893" s="7" t="s">
        <v>148</v>
      </c>
      <c r="K893" s="7"/>
      <c r="L893" s="7"/>
      <c r="M893" s="7"/>
    </row>
    <row r="894" ht="15.75" customHeight="1">
      <c r="A894" s="7" t="s">
        <v>4748</v>
      </c>
      <c r="B894" s="45" t="s">
        <v>4749</v>
      </c>
      <c r="C894" s="7" t="s">
        <v>4740</v>
      </c>
      <c r="D894" s="7" t="s">
        <v>4750</v>
      </c>
      <c r="E894" s="7" t="s">
        <v>4751</v>
      </c>
      <c r="F894" s="7" t="s">
        <v>1545</v>
      </c>
      <c r="G894" s="7"/>
      <c r="H894" s="46" t="s">
        <v>249</v>
      </c>
      <c r="I894" s="7" t="s">
        <v>160</v>
      </c>
      <c r="J894" s="7" t="s">
        <v>148</v>
      </c>
      <c r="K894" s="7"/>
      <c r="L894" s="7"/>
      <c r="M894" s="7"/>
    </row>
    <row r="895" ht="15.75" customHeight="1">
      <c r="A895" s="7" t="s">
        <v>4752</v>
      </c>
      <c r="B895" s="45" t="s">
        <v>4753</v>
      </c>
      <c r="C895" s="7" t="s">
        <v>4740</v>
      </c>
      <c r="D895" s="7" t="s">
        <v>4754</v>
      </c>
      <c r="E895" s="7" t="s">
        <v>1544</v>
      </c>
      <c r="F895" s="7" t="s">
        <v>1545</v>
      </c>
      <c r="G895" s="7"/>
      <c r="H895" s="46" t="s">
        <v>249</v>
      </c>
      <c r="I895" s="7" t="s">
        <v>160</v>
      </c>
      <c r="J895" s="7" t="s">
        <v>148</v>
      </c>
      <c r="K895" s="7"/>
      <c r="L895" s="7"/>
      <c r="M895" s="7"/>
    </row>
    <row r="896" ht="15.75" customHeight="1">
      <c r="A896" s="7" t="s">
        <v>4755</v>
      </c>
      <c r="B896" s="45" t="s">
        <v>4756</v>
      </c>
      <c r="C896" s="7" t="s">
        <v>4740</v>
      </c>
      <c r="D896" s="7" t="s">
        <v>4757</v>
      </c>
      <c r="E896" s="7" t="s">
        <v>1544</v>
      </c>
      <c r="F896" s="7" t="s">
        <v>1545</v>
      </c>
      <c r="G896" s="7"/>
      <c r="H896" s="46" t="s">
        <v>249</v>
      </c>
      <c r="I896" s="7" t="s">
        <v>160</v>
      </c>
      <c r="J896" s="7" t="s">
        <v>148</v>
      </c>
      <c r="K896" s="7"/>
      <c r="L896" s="7"/>
      <c r="M896" s="7"/>
    </row>
    <row r="897" ht="15.75" customHeight="1">
      <c r="A897" s="7" t="s">
        <v>4758</v>
      </c>
      <c r="B897" s="45" t="s">
        <v>4759</v>
      </c>
      <c r="C897" s="7" t="s">
        <v>4740</v>
      </c>
      <c r="D897" s="7" t="s">
        <v>4760</v>
      </c>
      <c r="E897" s="7" t="s">
        <v>4761</v>
      </c>
      <c r="F897" s="7" t="s">
        <v>1545</v>
      </c>
      <c r="G897" s="7"/>
      <c r="H897" s="46" t="s">
        <v>249</v>
      </c>
      <c r="I897" s="7" t="s">
        <v>160</v>
      </c>
      <c r="J897" s="7" t="s">
        <v>148</v>
      </c>
      <c r="K897" s="7"/>
      <c r="L897" s="7"/>
      <c r="M897" s="7"/>
    </row>
    <row r="898" ht="15.75" customHeight="1">
      <c r="A898" s="7" t="s">
        <v>4762</v>
      </c>
      <c r="B898" s="45" t="s">
        <v>4763</v>
      </c>
      <c r="C898" s="7" t="s">
        <v>4764</v>
      </c>
      <c r="D898" s="7" t="s">
        <v>4765</v>
      </c>
      <c r="E898" s="7" t="s">
        <v>1544</v>
      </c>
      <c r="F898" s="7" t="s">
        <v>1545</v>
      </c>
      <c r="G898" s="7"/>
      <c r="H898" s="46" t="s">
        <v>249</v>
      </c>
      <c r="I898" s="7" t="s">
        <v>160</v>
      </c>
      <c r="J898" s="7" t="s">
        <v>148</v>
      </c>
      <c r="K898" s="7"/>
      <c r="L898" s="7"/>
      <c r="M898" s="7"/>
    </row>
    <row r="899" ht="15.75" customHeight="1">
      <c r="A899" s="7" t="s">
        <v>4766</v>
      </c>
      <c r="B899" s="45" t="s">
        <v>4767</v>
      </c>
      <c r="C899" s="7" t="s">
        <v>4768</v>
      </c>
      <c r="D899" s="7" t="s">
        <v>4769</v>
      </c>
      <c r="E899" s="7" t="s">
        <v>4770</v>
      </c>
      <c r="F899" s="7" t="s">
        <v>1545</v>
      </c>
      <c r="G899" s="7"/>
      <c r="H899" s="46" t="s">
        <v>249</v>
      </c>
      <c r="I899" s="7" t="s">
        <v>160</v>
      </c>
      <c r="J899" s="7" t="s">
        <v>148</v>
      </c>
      <c r="K899" s="7"/>
      <c r="L899" s="7"/>
      <c r="M899" s="7"/>
    </row>
    <row r="900" ht="15.75" customHeight="1">
      <c r="A900" s="7" t="s">
        <v>4771</v>
      </c>
      <c r="B900" s="45" t="s">
        <v>4772</v>
      </c>
      <c r="C900" s="7" t="s">
        <v>4773</v>
      </c>
      <c r="D900" s="7" t="s">
        <v>4774</v>
      </c>
      <c r="E900" s="7" t="s">
        <v>4775</v>
      </c>
      <c r="F900" s="7" t="s">
        <v>1545</v>
      </c>
      <c r="G900" s="7"/>
      <c r="H900" s="46" t="s">
        <v>249</v>
      </c>
      <c r="I900" s="7" t="s">
        <v>160</v>
      </c>
      <c r="J900" s="7" t="s">
        <v>148</v>
      </c>
      <c r="K900" s="7"/>
      <c r="L900" s="7"/>
      <c r="M900" s="7"/>
    </row>
    <row r="901" ht="15.75" customHeight="1">
      <c r="A901" s="7" t="s">
        <v>4776</v>
      </c>
      <c r="B901" s="45" t="s">
        <v>4777</v>
      </c>
      <c r="C901" s="7" t="s">
        <v>4740</v>
      </c>
      <c r="D901" s="7" t="s">
        <v>4778</v>
      </c>
      <c r="E901" s="7" t="s">
        <v>1544</v>
      </c>
      <c r="F901" s="7" t="s">
        <v>1545</v>
      </c>
      <c r="G901" s="7"/>
      <c r="H901" s="46" t="s">
        <v>249</v>
      </c>
      <c r="I901" s="7" t="s">
        <v>160</v>
      </c>
      <c r="J901" s="7" t="s">
        <v>148</v>
      </c>
      <c r="K901" s="7"/>
      <c r="L901" s="7"/>
      <c r="M901" s="7"/>
    </row>
    <row r="902" ht="15.75" customHeight="1">
      <c r="A902" s="7" t="s">
        <v>4779</v>
      </c>
      <c r="B902" s="45" t="s">
        <v>4780</v>
      </c>
      <c r="C902" s="7" t="s">
        <v>4740</v>
      </c>
      <c r="D902" s="7" t="s">
        <v>4781</v>
      </c>
      <c r="E902" s="7" t="s">
        <v>1544</v>
      </c>
      <c r="F902" s="7" t="s">
        <v>1545</v>
      </c>
      <c r="G902" s="7"/>
      <c r="H902" s="46" t="s">
        <v>249</v>
      </c>
      <c r="I902" s="7" t="s">
        <v>160</v>
      </c>
      <c r="J902" s="7" t="s">
        <v>148</v>
      </c>
      <c r="K902" s="7"/>
      <c r="L902" s="7"/>
      <c r="M902" s="7"/>
    </row>
    <row r="903" ht="15.75" customHeight="1">
      <c r="A903" s="7" t="s">
        <v>4782</v>
      </c>
      <c r="B903" s="45" t="s">
        <v>4783</v>
      </c>
      <c r="C903" s="7" t="s">
        <v>4740</v>
      </c>
      <c r="D903" s="7" t="s">
        <v>4784</v>
      </c>
      <c r="E903" s="7" t="s">
        <v>1544</v>
      </c>
      <c r="F903" s="7" t="s">
        <v>1545</v>
      </c>
      <c r="G903" s="7"/>
      <c r="H903" s="46" t="s">
        <v>249</v>
      </c>
      <c r="I903" s="7" t="s">
        <v>160</v>
      </c>
      <c r="J903" s="7" t="s">
        <v>148</v>
      </c>
      <c r="K903" s="7"/>
      <c r="L903" s="7"/>
      <c r="M903" s="7"/>
    </row>
    <row r="904" ht="15.75" customHeight="1">
      <c r="A904" s="7" t="s">
        <v>4785</v>
      </c>
      <c r="B904" s="45" t="s">
        <v>4786</v>
      </c>
      <c r="C904" s="7" t="s">
        <v>4740</v>
      </c>
      <c r="D904" s="7" t="s">
        <v>4787</v>
      </c>
      <c r="E904" s="7" t="s">
        <v>1544</v>
      </c>
      <c r="F904" s="7" t="s">
        <v>1545</v>
      </c>
      <c r="G904" s="7"/>
      <c r="H904" s="46" t="s">
        <v>249</v>
      </c>
      <c r="I904" s="7" t="s">
        <v>160</v>
      </c>
      <c r="J904" s="7" t="s">
        <v>148</v>
      </c>
      <c r="K904" s="7"/>
      <c r="L904" s="7"/>
      <c r="M904" s="7"/>
    </row>
    <row r="905" ht="15.75" customHeight="1">
      <c r="A905" s="7" t="s">
        <v>4788</v>
      </c>
      <c r="B905" s="45" t="s">
        <v>4789</v>
      </c>
      <c r="C905" s="7" t="s">
        <v>4740</v>
      </c>
      <c r="D905" s="7" t="s">
        <v>4790</v>
      </c>
      <c r="E905" s="7" t="s">
        <v>1544</v>
      </c>
      <c r="F905" s="7" t="s">
        <v>1545</v>
      </c>
      <c r="G905" s="7"/>
      <c r="H905" s="46" t="s">
        <v>249</v>
      </c>
      <c r="I905" s="7" t="s">
        <v>160</v>
      </c>
      <c r="J905" s="7" t="s">
        <v>148</v>
      </c>
      <c r="K905" s="7"/>
      <c r="L905" s="7"/>
      <c r="M905" s="7"/>
    </row>
    <row r="906" ht="15.75" customHeight="1">
      <c r="A906" s="7" t="s">
        <v>4791</v>
      </c>
      <c r="B906" s="45" t="s">
        <v>4792</v>
      </c>
      <c r="C906" s="7" t="s">
        <v>4740</v>
      </c>
      <c r="D906" s="7" t="s">
        <v>4793</v>
      </c>
      <c r="E906" s="7" t="s">
        <v>1544</v>
      </c>
      <c r="F906" s="7" t="s">
        <v>1545</v>
      </c>
      <c r="G906" s="7"/>
      <c r="H906" s="46" t="s">
        <v>249</v>
      </c>
      <c r="I906" s="7" t="s">
        <v>160</v>
      </c>
      <c r="J906" s="7" t="s">
        <v>148</v>
      </c>
      <c r="K906" s="7"/>
      <c r="L906" s="7"/>
      <c r="M906" s="7"/>
    </row>
    <row r="907" ht="15.75" customHeight="1">
      <c r="A907" s="7" t="s">
        <v>4794</v>
      </c>
      <c r="B907" s="45" t="s">
        <v>4795</v>
      </c>
      <c r="C907" s="7" t="s">
        <v>4740</v>
      </c>
      <c r="D907" s="7" t="s">
        <v>4796</v>
      </c>
      <c r="E907" s="7" t="s">
        <v>1544</v>
      </c>
      <c r="F907" s="7" t="s">
        <v>1545</v>
      </c>
      <c r="G907" s="7"/>
      <c r="H907" s="46" t="s">
        <v>249</v>
      </c>
      <c r="I907" s="7" t="s">
        <v>160</v>
      </c>
      <c r="J907" s="7" t="s">
        <v>148</v>
      </c>
      <c r="K907" s="7"/>
      <c r="L907" s="7"/>
      <c r="M907" s="7"/>
    </row>
    <row r="908" ht="15.75" customHeight="1">
      <c r="A908" s="7" t="s">
        <v>4797</v>
      </c>
      <c r="B908" s="45" t="s">
        <v>4798</v>
      </c>
      <c r="C908" s="7" t="s">
        <v>4799</v>
      </c>
      <c r="D908" s="7" t="s">
        <v>1989</v>
      </c>
      <c r="E908" s="7" t="s">
        <v>1990</v>
      </c>
      <c r="F908" s="7" t="s">
        <v>1991</v>
      </c>
      <c r="G908" s="7"/>
      <c r="H908" s="46" t="s">
        <v>249</v>
      </c>
      <c r="I908" s="7" t="s">
        <v>160</v>
      </c>
      <c r="J908" s="7" t="s">
        <v>148</v>
      </c>
      <c r="K908" s="7"/>
      <c r="L908" s="7"/>
      <c r="M908" s="7"/>
    </row>
    <row r="909" ht="15.75" customHeight="1">
      <c r="A909" s="7" t="s">
        <v>4800</v>
      </c>
      <c r="B909" s="45" t="s">
        <v>4801</v>
      </c>
      <c r="C909" s="7" t="s">
        <v>2077</v>
      </c>
      <c r="D909" s="7" t="s">
        <v>4802</v>
      </c>
      <c r="E909" s="7" t="s">
        <v>2079</v>
      </c>
      <c r="F909" s="7" t="s">
        <v>2080</v>
      </c>
      <c r="G909" s="7"/>
      <c r="H909" s="46" t="s">
        <v>249</v>
      </c>
      <c r="I909" s="7" t="s">
        <v>160</v>
      </c>
      <c r="J909" s="7" t="s">
        <v>148</v>
      </c>
      <c r="K909" s="7"/>
      <c r="L909" s="7"/>
      <c r="M909" s="7"/>
    </row>
    <row r="910" ht="15.75" customHeight="1">
      <c r="A910" s="7" t="s">
        <v>4803</v>
      </c>
      <c r="B910" s="45" t="s">
        <v>4804</v>
      </c>
      <c r="C910" s="7" t="s">
        <v>2077</v>
      </c>
      <c r="D910" s="7" t="s">
        <v>4805</v>
      </c>
      <c r="E910" s="7" t="s">
        <v>2079</v>
      </c>
      <c r="F910" s="7" t="s">
        <v>2080</v>
      </c>
      <c r="G910" s="7"/>
      <c r="H910" s="46" t="s">
        <v>249</v>
      </c>
      <c r="I910" s="7" t="s">
        <v>160</v>
      </c>
      <c r="J910" s="7" t="s">
        <v>148</v>
      </c>
      <c r="K910" s="7"/>
      <c r="L910" s="7"/>
      <c r="M910" s="7"/>
    </row>
    <row r="911" ht="15.75" customHeight="1">
      <c r="A911" s="7" t="s">
        <v>4806</v>
      </c>
      <c r="B911" s="45" t="s">
        <v>4807</v>
      </c>
      <c r="C911" s="7" t="s">
        <v>4808</v>
      </c>
      <c r="D911" s="7" t="s">
        <v>4809</v>
      </c>
      <c r="E911" s="7" t="s">
        <v>4810</v>
      </c>
      <c r="F911" s="7" t="s">
        <v>4811</v>
      </c>
      <c r="G911" s="7"/>
      <c r="H911" s="46" t="s">
        <v>249</v>
      </c>
      <c r="I911" s="7" t="s">
        <v>160</v>
      </c>
      <c r="J911" s="7" t="s">
        <v>148</v>
      </c>
      <c r="K911" s="7"/>
      <c r="L911" s="7"/>
      <c r="M911" s="7"/>
    </row>
    <row r="912" ht="15.75" customHeight="1">
      <c r="A912" s="7" t="s">
        <v>4812</v>
      </c>
      <c r="B912" s="45" t="s">
        <v>4813</v>
      </c>
      <c r="C912" s="7" t="s">
        <v>3299</v>
      </c>
      <c r="D912" s="7" t="s">
        <v>4814</v>
      </c>
      <c r="E912" s="7" t="s">
        <v>1815</v>
      </c>
      <c r="F912" s="7" t="s">
        <v>1816</v>
      </c>
      <c r="G912" s="7"/>
      <c r="H912" s="46" t="s">
        <v>249</v>
      </c>
      <c r="I912" s="7" t="s">
        <v>160</v>
      </c>
      <c r="J912" s="7" t="s">
        <v>148</v>
      </c>
      <c r="K912" s="7"/>
      <c r="L912" s="7"/>
      <c r="M912" s="7"/>
    </row>
    <row r="913" ht="15.75" customHeight="1">
      <c r="A913" s="7" t="s">
        <v>4815</v>
      </c>
      <c r="B913" s="45" t="s">
        <v>4816</v>
      </c>
      <c r="C913" s="7" t="s">
        <v>4817</v>
      </c>
      <c r="D913" s="7" t="s">
        <v>4818</v>
      </c>
      <c r="E913" s="7" t="s">
        <v>4819</v>
      </c>
      <c r="F913" s="7" t="s">
        <v>2230</v>
      </c>
      <c r="G913" s="7"/>
      <c r="H913" s="46" t="s">
        <v>249</v>
      </c>
      <c r="I913" s="7" t="s">
        <v>160</v>
      </c>
      <c r="J913" s="7" t="s">
        <v>148</v>
      </c>
      <c r="K913" s="7"/>
      <c r="L913" s="7"/>
      <c r="M913" s="7"/>
    </row>
    <row r="914" ht="15.75" customHeight="1">
      <c r="A914" s="7" t="s">
        <v>4820</v>
      </c>
      <c r="B914" s="45" t="s">
        <v>4821</v>
      </c>
      <c r="C914" s="7" t="s">
        <v>4740</v>
      </c>
      <c r="D914" s="7" t="s">
        <v>4822</v>
      </c>
      <c r="E914" s="7" t="s">
        <v>4823</v>
      </c>
      <c r="F914" s="7" t="s">
        <v>1545</v>
      </c>
      <c r="G914" s="7"/>
      <c r="H914" s="46" t="s">
        <v>249</v>
      </c>
      <c r="I914" s="7" t="s">
        <v>160</v>
      </c>
      <c r="J914" s="7" t="s">
        <v>148</v>
      </c>
      <c r="K914" s="7"/>
      <c r="L914" s="7"/>
      <c r="M914" s="7"/>
    </row>
    <row r="915" ht="15.75" customHeight="1">
      <c r="A915" s="7" t="s">
        <v>4824</v>
      </c>
      <c r="B915" s="45" t="s">
        <v>4825</v>
      </c>
      <c r="C915" s="7" t="s">
        <v>4826</v>
      </c>
      <c r="D915" s="7" t="s">
        <v>4827</v>
      </c>
      <c r="E915" s="7" t="s">
        <v>4828</v>
      </c>
      <c r="F915" s="7" t="s">
        <v>4829</v>
      </c>
      <c r="G915" s="7"/>
      <c r="H915" s="46" t="s">
        <v>249</v>
      </c>
      <c r="I915" s="7" t="s">
        <v>160</v>
      </c>
      <c r="J915" s="7" t="s">
        <v>148</v>
      </c>
      <c r="K915" s="7"/>
      <c r="L915" s="7"/>
      <c r="M915" s="7"/>
    </row>
    <row r="916" ht="15.75" customHeight="1">
      <c r="A916" s="7" t="s">
        <v>4830</v>
      </c>
      <c r="B916" s="45" t="s">
        <v>4831</v>
      </c>
      <c r="C916" s="7" t="s">
        <v>4832</v>
      </c>
      <c r="D916" s="7" t="s">
        <v>4833</v>
      </c>
      <c r="E916" s="7" t="s">
        <v>4683</v>
      </c>
      <c r="F916" s="7" t="s">
        <v>4684</v>
      </c>
      <c r="G916" s="7"/>
      <c r="H916" s="46" t="s">
        <v>249</v>
      </c>
      <c r="I916" s="7" t="s">
        <v>160</v>
      </c>
      <c r="J916" s="7" t="s">
        <v>148</v>
      </c>
      <c r="K916" s="7"/>
      <c r="L916" s="7"/>
      <c r="M916" s="7"/>
    </row>
    <row r="917" ht="15.75" customHeight="1">
      <c r="A917" s="7" t="s">
        <v>4834</v>
      </c>
      <c r="B917" s="45" t="s">
        <v>4835</v>
      </c>
      <c r="C917" s="7" t="s">
        <v>4836</v>
      </c>
      <c r="D917" s="7" t="s">
        <v>4837</v>
      </c>
      <c r="E917" s="7" t="s">
        <v>4838</v>
      </c>
      <c r="F917" s="7" t="s">
        <v>4839</v>
      </c>
      <c r="G917" s="7"/>
      <c r="H917" s="46" t="s">
        <v>249</v>
      </c>
      <c r="I917" s="7" t="s">
        <v>160</v>
      </c>
      <c r="J917" s="7" t="s">
        <v>148</v>
      </c>
      <c r="K917" s="7"/>
      <c r="L917" s="7"/>
      <c r="M917" s="7"/>
    </row>
    <row r="918" ht="15.75" customHeight="1">
      <c r="A918" s="7" t="s">
        <v>4840</v>
      </c>
      <c r="B918" s="45" t="s">
        <v>4841</v>
      </c>
      <c r="C918" s="7" t="s">
        <v>4842</v>
      </c>
      <c r="D918" s="7" t="s">
        <v>4843</v>
      </c>
      <c r="E918" s="7" t="s">
        <v>4844</v>
      </c>
      <c r="F918" s="7" t="s">
        <v>4845</v>
      </c>
      <c r="G918" s="7"/>
      <c r="H918" s="46" t="s">
        <v>249</v>
      </c>
      <c r="I918" s="7" t="s">
        <v>160</v>
      </c>
      <c r="J918" s="7" t="s">
        <v>148</v>
      </c>
      <c r="K918" s="7"/>
      <c r="L918" s="7"/>
      <c r="M918" s="7"/>
    </row>
    <row r="919" ht="15.75" customHeight="1">
      <c r="A919" s="7" t="s">
        <v>4846</v>
      </c>
      <c r="B919" s="45" t="s">
        <v>4847</v>
      </c>
      <c r="C919" s="7" t="s">
        <v>4848</v>
      </c>
      <c r="D919" s="7" t="s">
        <v>4849</v>
      </c>
      <c r="E919" s="7" t="s">
        <v>4850</v>
      </c>
      <c r="F919" s="7" t="s">
        <v>4851</v>
      </c>
      <c r="G919" s="7"/>
      <c r="H919" s="46" t="s">
        <v>249</v>
      </c>
      <c r="I919" s="7" t="s">
        <v>160</v>
      </c>
      <c r="J919" s="7" t="s">
        <v>148</v>
      </c>
      <c r="K919" s="7"/>
      <c r="L919" s="7"/>
      <c r="M919" s="7"/>
    </row>
    <row r="920" ht="15.75" customHeight="1">
      <c r="A920" s="7" t="s">
        <v>4852</v>
      </c>
      <c r="B920" s="45" t="s">
        <v>4853</v>
      </c>
      <c r="C920" s="7" t="s">
        <v>4854</v>
      </c>
      <c r="D920" s="7" t="s">
        <v>4855</v>
      </c>
      <c r="E920" s="7" t="s">
        <v>4856</v>
      </c>
      <c r="F920" s="7" t="s">
        <v>4857</v>
      </c>
      <c r="G920" s="7"/>
      <c r="H920" s="46" t="s">
        <v>249</v>
      </c>
      <c r="I920" s="7" t="s">
        <v>160</v>
      </c>
      <c r="J920" s="7" t="s">
        <v>148</v>
      </c>
      <c r="K920" s="7"/>
      <c r="L920" s="7"/>
      <c r="M920" s="7"/>
    </row>
    <row r="921" ht="15.75" customHeight="1">
      <c r="A921" s="7" t="s">
        <v>4858</v>
      </c>
      <c r="B921" s="45" t="s">
        <v>4859</v>
      </c>
      <c r="C921" s="7" t="s">
        <v>4860</v>
      </c>
      <c r="D921" s="7" t="s">
        <v>4861</v>
      </c>
      <c r="E921" s="7" t="s">
        <v>4862</v>
      </c>
      <c r="F921" s="7" t="s">
        <v>4863</v>
      </c>
      <c r="G921" s="7"/>
      <c r="H921" s="46" t="s">
        <v>249</v>
      </c>
      <c r="I921" s="7" t="s">
        <v>160</v>
      </c>
      <c r="J921" s="7" t="s">
        <v>148</v>
      </c>
      <c r="K921" s="7"/>
      <c r="L921" s="7"/>
      <c r="M921" s="7"/>
    </row>
    <row r="922" ht="15.75" customHeight="1">
      <c r="A922" s="7" t="s">
        <v>4864</v>
      </c>
      <c r="B922" s="45" t="s">
        <v>4865</v>
      </c>
      <c r="C922" s="7" t="s">
        <v>4866</v>
      </c>
      <c r="D922" s="7" t="s">
        <v>4867</v>
      </c>
      <c r="E922" s="7" t="s">
        <v>4868</v>
      </c>
      <c r="F922" s="7" t="s">
        <v>4869</v>
      </c>
      <c r="G922" s="7"/>
      <c r="H922" s="46" t="s">
        <v>249</v>
      </c>
      <c r="I922" s="7" t="s">
        <v>160</v>
      </c>
      <c r="J922" s="7" t="s">
        <v>148</v>
      </c>
      <c r="K922" s="7"/>
      <c r="L922" s="7"/>
      <c r="M922" s="7"/>
    </row>
    <row r="923" ht="15.75" customHeight="1">
      <c r="A923" s="7" t="s">
        <v>4870</v>
      </c>
      <c r="B923" s="45" t="s">
        <v>4871</v>
      </c>
      <c r="C923" s="7" t="s">
        <v>4872</v>
      </c>
      <c r="D923" s="7" t="s">
        <v>4873</v>
      </c>
      <c r="E923" s="7" t="s">
        <v>4874</v>
      </c>
      <c r="F923" s="7" t="s">
        <v>3380</v>
      </c>
      <c r="G923" s="7"/>
      <c r="H923" s="46" t="s">
        <v>249</v>
      </c>
      <c r="I923" s="7" t="s">
        <v>160</v>
      </c>
      <c r="J923" s="7" t="s">
        <v>148</v>
      </c>
      <c r="K923" s="7"/>
      <c r="L923" s="7"/>
      <c r="M923" s="7"/>
    </row>
    <row r="924" ht="15.75" customHeight="1">
      <c r="A924" s="7" t="s">
        <v>4875</v>
      </c>
      <c r="B924" s="45" t="s">
        <v>4876</v>
      </c>
      <c r="C924" s="7" t="s">
        <v>4877</v>
      </c>
      <c r="D924" s="7" t="s">
        <v>4878</v>
      </c>
      <c r="E924" s="7" t="s">
        <v>4879</v>
      </c>
      <c r="F924" s="7" t="s">
        <v>4880</v>
      </c>
      <c r="G924" s="7"/>
      <c r="H924" s="46" t="s">
        <v>249</v>
      </c>
      <c r="I924" s="7" t="s">
        <v>160</v>
      </c>
      <c r="J924" s="7" t="s">
        <v>148</v>
      </c>
      <c r="K924" s="7"/>
      <c r="L924" s="7"/>
      <c r="M924" s="7"/>
    </row>
    <row r="925" ht="15.75" customHeight="1">
      <c r="A925" s="7" t="s">
        <v>4881</v>
      </c>
      <c r="B925" s="45" t="s">
        <v>4882</v>
      </c>
      <c r="C925" s="7" t="s">
        <v>4883</v>
      </c>
      <c r="D925" s="7" t="s">
        <v>4884</v>
      </c>
      <c r="E925" s="7" t="s">
        <v>4885</v>
      </c>
      <c r="F925" s="7" t="s">
        <v>4886</v>
      </c>
      <c r="G925" s="7"/>
      <c r="H925" s="46" t="s">
        <v>249</v>
      </c>
      <c r="I925" s="7" t="s">
        <v>160</v>
      </c>
      <c r="J925" s="7" t="s">
        <v>148</v>
      </c>
      <c r="K925" s="7"/>
      <c r="L925" s="7"/>
      <c r="M925" s="7"/>
    </row>
    <row r="926" ht="15.75" customHeight="1">
      <c r="A926" s="7" t="s">
        <v>4887</v>
      </c>
      <c r="B926" s="45" t="s">
        <v>4888</v>
      </c>
      <c r="C926" s="7" t="s">
        <v>4889</v>
      </c>
      <c r="D926" s="7" t="s">
        <v>4890</v>
      </c>
      <c r="E926" s="7" t="s">
        <v>4891</v>
      </c>
      <c r="F926" s="7" t="s">
        <v>4892</v>
      </c>
      <c r="G926" s="7"/>
      <c r="H926" s="46" t="s">
        <v>249</v>
      </c>
      <c r="I926" s="7" t="s">
        <v>160</v>
      </c>
      <c r="J926" s="7" t="s">
        <v>148</v>
      </c>
      <c r="K926" s="7"/>
      <c r="L926" s="7"/>
      <c r="M926" s="7"/>
    </row>
    <row r="927" ht="15.75" customHeight="1">
      <c r="A927" s="7" t="s">
        <v>4893</v>
      </c>
      <c r="B927" s="45" t="s">
        <v>4894</v>
      </c>
      <c r="C927" s="7" t="s">
        <v>4895</v>
      </c>
      <c r="D927" s="7" t="s">
        <v>4896</v>
      </c>
      <c r="E927" s="7" t="s">
        <v>4897</v>
      </c>
      <c r="F927" s="7" t="s">
        <v>4898</v>
      </c>
      <c r="G927" s="7"/>
      <c r="H927" s="46" t="s">
        <v>249</v>
      </c>
      <c r="I927" s="7" t="s">
        <v>160</v>
      </c>
      <c r="J927" s="7" t="s">
        <v>148</v>
      </c>
      <c r="K927" s="7"/>
      <c r="L927" s="7"/>
      <c r="M927" s="7"/>
    </row>
    <row r="928" ht="15.75" customHeight="1">
      <c r="A928" s="7" t="s">
        <v>4899</v>
      </c>
      <c r="B928" s="45" t="s">
        <v>4900</v>
      </c>
      <c r="C928" s="7" t="s">
        <v>4022</v>
      </c>
      <c r="D928" s="7" t="s">
        <v>4901</v>
      </c>
      <c r="E928" s="7" t="s">
        <v>4902</v>
      </c>
      <c r="F928" s="7" t="s">
        <v>4025</v>
      </c>
      <c r="G928" s="7"/>
      <c r="H928" s="46" t="s">
        <v>249</v>
      </c>
      <c r="I928" s="7" t="s">
        <v>160</v>
      </c>
      <c r="J928" s="7" t="s">
        <v>148</v>
      </c>
      <c r="K928" s="7"/>
      <c r="L928" s="7"/>
      <c r="M928" s="7"/>
    </row>
    <row r="929" ht="15.75" customHeight="1">
      <c r="A929" s="7" t="s">
        <v>4903</v>
      </c>
      <c r="B929" s="45" t="s">
        <v>4904</v>
      </c>
      <c r="C929" s="7" t="s">
        <v>4905</v>
      </c>
      <c r="D929" s="7" t="s">
        <v>4906</v>
      </c>
      <c r="E929" s="7" t="s">
        <v>4907</v>
      </c>
      <c r="F929" s="7" t="s">
        <v>4908</v>
      </c>
      <c r="G929" s="7"/>
      <c r="H929" s="46" t="s">
        <v>249</v>
      </c>
      <c r="I929" s="7" t="s">
        <v>160</v>
      </c>
      <c r="J929" s="7" t="s">
        <v>148</v>
      </c>
      <c r="K929" s="7"/>
      <c r="L929" s="7"/>
      <c r="M929" s="7"/>
    </row>
    <row r="930" ht="15.75" customHeight="1">
      <c r="A930" s="7" t="s">
        <v>4909</v>
      </c>
      <c r="B930" s="45" t="s">
        <v>4910</v>
      </c>
      <c r="C930" s="7" t="s">
        <v>4911</v>
      </c>
      <c r="D930" s="7" t="s">
        <v>4912</v>
      </c>
      <c r="E930" s="7" t="s">
        <v>4913</v>
      </c>
      <c r="F930" s="7" t="s">
        <v>4914</v>
      </c>
      <c r="G930" s="7"/>
      <c r="H930" s="46" t="s">
        <v>249</v>
      </c>
      <c r="I930" s="7" t="s">
        <v>160</v>
      </c>
      <c r="J930" s="7" t="s">
        <v>148</v>
      </c>
      <c r="K930" s="7"/>
      <c r="L930" s="7"/>
      <c r="M930" s="7"/>
    </row>
    <row r="931" ht="15.75" customHeight="1">
      <c r="A931" s="7" t="s">
        <v>4915</v>
      </c>
      <c r="B931" s="45" t="s">
        <v>4916</v>
      </c>
      <c r="C931" s="7" t="s">
        <v>4917</v>
      </c>
      <c r="D931" s="7" t="s">
        <v>4918</v>
      </c>
      <c r="E931" s="7" t="s">
        <v>4919</v>
      </c>
      <c r="F931" s="7" t="s">
        <v>4920</v>
      </c>
      <c r="G931" s="7"/>
      <c r="H931" s="46" t="s">
        <v>249</v>
      </c>
      <c r="I931" s="7" t="s">
        <v>160</v>
      </c>
      <c r="J931" s="7" t="s">
        <v>148</v>
      </c>
      <c r="K931" s="7"/>
      <c r="L931" s="7"/>
      <c r="M931" s="7"/>
    </row>
    <row r="932" ht="15.75" customHeight="1">
      <c r="A932" s="7" t="s">
        <v>4921</v>
      </c>
      <c r="B932" s="45" t="s">
        <v>4922</v>
      </c>
      <c r="C932" s="7" t="s">
        <v>4923</v>
      </c>
      <c r="D932" s="7" t="s">
        <v>4924</v>
      </c>
      <c r="E932" s="7" t="s">
        <v>4925</v>
      </c>
      <c r="F932" s="7" t="s">
        <v>4926</v>
      </c>
      <c r="G932" s="7"/>
      <c r="H932" s="46" t="s">
        <v>249</v>
      </c>
      <c r="I932" s="7" t="s">
        <v>160</v>
      </c>
      <c r="J932" s="7" t="s">
        <v>148</v>
      </c>
      <c r="K932" s="7"/>
      <c r="L932" s="7"/>
      <c r="M932" s="7"/>
    </row>
    <row r="933" ht="15.75" customHeight="1">
      <c r="A933" s="7" t="s">
        <v>4927</v>
      </c>
      <c r="B933" s="45" t="s">
        <v>4928</v>
      </c>
      <c r="C933" s="7" t="s">
        <v>4929</v>
      </c>
      <c r="D933" s="7" t="s">
        <v>4930</v>
      </c>
      <c r="E933" s="7" t="s">
        <v>4931</v>
      </c>
      <c r="F933" s="7" t="s">
        <v>4932</v>
      </c>
      <c r="G933" s="7"/>
      <c r="H933" s="46" t="s">
        <v>249</v>
      </c>
      <c r="I933" s="7" t="s">
        <v>160</v>
      </c>
      <c r="J933" s="7" t="s">
        <v>148</v>
      </c>
      <c r="K933" s="7"/>
      <c r="L933" s="7"/>
      <c r="M933" s="7"/>
    </row>
    <row r="934" ht="15.75" customHeight="1">
      <c r="A934" s="7" t="s">
        <v>4933</v>
      </c>
      <c r="B934" s="45" t="s">
        <v>4934</v>
      </c>
      <c r="C934" s="7" t="s">
        <v>4172</v>
      </c>
      <c r="D934" s="7" t="s">
        <v>4935</v>
      </c>
      <c r="E934" s="7" t="s">
        <v>4168</v>
      </c>
      <c r="F934" s="7" t="s">
        <v>4169</v>
      </c>
      <c r="G934" s="7"/>
      <c r="H934" s="46" t="s">
        <v>249</v>
      </c>
      <c r="I934" s="7" t="s">
        <v>160</v>
      </c>
      <c r="J934" s="7" t="s">
        <v>148</v>
      </c>
      <c r="K934" s="7"/>
      <c r="L934" s="7"/>
      <c r="M934" s="7"/>
    </row>
    <row r="935" ht="15.75" customHeight="1">
      <c r="A935" s="7" t="s">
        <v>4936</v>
      </c>
      <c r="B935" s="45" t="s">
        <v>4937</v>
      </c>
      <c r="C935" s="7" t="s">
        <v>4938</v>
      </c>
      <c r="D935" s="7" t="s">
        <v>4939</v>
      </c>
      <c r="E935" s="7" t="s">
        <v>4940</v>
      </c>
      <c r="F935" s="7" t="s">
        <v>4941</v>
      </c>
      <c r="G935" s="7"/>
      <c r="H935" s="46" t="s">
        <v>249</v>
      </c>
      <c r="I935" s="7" t="s">
        <v>160</v>
      </c>
      <c r="J935" s="7" t="s">
        <v>148</v>
      </c>
      <c r="K935" s="7"/>
      <c r="L935" s="7"/>
      <c r="M935" s="7"/>
    </row>
    <row r="936" ht="15.75" customHeight="1">
      <c r="A936" s="7" t="s">
        <v>4942</v>
      </c>
      <c r="B936" s="45" t="s">
        <v>4943</v>
      </c>
      <c r="C936" s="7" t="s">
        <v>4944</v>
      </c>
      <c r="D936" s="7" t="s">
        <v>4945</v>
      </c>
      <c r="E936" s="7" t="s">
        <v>4946</v>
      </c>
      <c r="F936" s="7" t="s">
        <v>4947</v>
      </c>
      <c r="G936" s="7"/>
      <c r="H936" s="46" t="s">
        <v>249</v>
      </c>
      <c r="I936" s="7" t="s">
        <v>160</v>
      </c>
      <c r="J936" s="7" t="s">
        <v>148</v>
      </c>
      <c r="K936" s="7"/>
      <c r="L936" s="7"/>
      <c r="M936" s="7"/>
    </row>
    <row r="937" ht="15.75" customHeight="1">
      <c r="A937" s="7" t="s">
        <v>4948</v>
      </c>
      <c r="B937" s="45" t="s">
        <v>4949</v>
      </c>
      <c r="C937" s="7" t="s">
        <v>4950</v>
      </c>
      <c r="D937" s="7" t="s">
        <v>1820</v>
      </c>
      <c r="E937" s="7" t="s">
        <v>4951</v>
      </c>
      <c r="F937" s="7" t="s">
        <v>1822</v>
      </c>
      <c r="G937" s="7"/>
      <c r="H937" s="46" t="s">
        <v>249</v>
      </c>
      <c r="I937" s="7" t="s">
        <v>160</v>
      </c>
      <c r="J937" s="7" t="s">
        <v>148</v>
      </c>
      <c r="K937" s="7"/>
      <c r="L937" s="7"/>
      <c r="M937" s="7"/>
    </row>
    <row r="938" ht="15.75" customHeight="1">
      <c r="A938" s="7" t="s">
        <v>4952</v>
      </c>
      <c r="B938" s="45" t="s">
        <v>4953</v>
      </c>
      <c r="C938" s="7" t="s">
        <v>4954</v>
      </c>
      <c r="D938" s="7" t="s">
        <v>4955</v>
      </c>
      <c r="E938" s="7" t="s">
        <v>4956</v>
      </c>
      <c r="F938" s="7" t="s">
        <v>3004</v>
      </c>
      <c r="G938" s="7"/>
      <c r="H938" s="46" t="s">
        <v>249</v>
      </c>
      <c r="I938" s="7" t="s">
        <v>160</v>
      </c>
      <c r="J938" s="7" t="s">
        <v>148</v>
      </c>
      <c r="K938" s="7"/>
      <c r="L938" s="7"/>
      <c r="M938" s="7"/>
    </row>
    <row r="939" ht="15.75" customHeight="1">
      <c r="A939" s="7" t="s">
        <v>4957</v>
      </c>
      <c r="B939" s="45" t="s">
        <v>4958</v>
      </c>
      <c r="C939" s="7" t="s">
        <v>4959</v>
      </c>
      <c r="D939" s="7" t="s">
        <v>4960</v>
      </c>
      <c r="E939" s="7" t="s">
        <v>2553</v>
      </c>
      <c r="F939" s="7" t="s">
        <v>4961</v>
      </c>
      <c r="G939" s="7"/>
      <c r="H939" s="46" t="s">
        <v>249</v>
      </c>
      <c r="I939" s="7" t="s">
        <v>160</v>
      </c>
      <c r="J939" s="7" t="s">
        <v>148</v>
      </c>
      <c r="K939" s="7"/>
      <c r="L939" s="7"/>
      <c r="M939" s="7"/>
    </row>
    <row r="940" ht="15.75" customHeight="1">
      <c r="A940" s="7" t="s">
        <v>4962</v>
      </c>
      <c r="B940" s="45" t="s">
        <v>4963</v>
      </c>
      <c r="C940" s="7" t="s">
        <v>4964</v>
      </c>
      <c r="D940" s="7" t="s">
        <v>4965</v>
      </c>
      <c r="E940" s="7" t="s">
        <v>4966</v>
      </c>
      <c r="F940" s="7" t="s">
        <v>4967</v>
      </c>
      <c r="G940" s="7"/>
      <c r="H940" s="46" t="s">
        <v>249</v>
      </c>
      <c r="I940" s="7" t="s">
        <v>160</v>
      </c>
      <c r="J940" s="7" t="s">
        <v>148</v>
      </c>
      <c r="K940" s="7"/>
      <c r="L940" s="7"/>
      <c r="M940" s="7"/>
    </row>
    <row r="941" ht="15.75" customHeight="1">
      <c r="A941" s="7" t="s">
        <v>4968</v>
      </c>
      <c r="B941" s="45" t="s">
        <v>4969</v>
      </c>
      <c r="C941" s="7" t="s">
        <v>4970</v>
      </c>
      <c r="D941" s="7" t="s">
        <v>4971</v>
      </c>
      <c r="E941" s="7" t="s">
        <v>4972</v>
      </c>
      <c r="F941" s="7" t="s">
        <v>4973</v>
      </c>
      <c r="G941" s="7"/>
      <c r="H941" s="46" t="s">
        <v>249</v>
      </c>
      <c r="I941" s="7" t="s">
        <v>160</v>
      </c>
      <c r="J941" s="7" t="s">
        <v>148</v>
      </c>
      <c r="K941" s="7"/>
      <c r="L941" s="7"/>
      <c r="M941" s="7"/>
    </row>
    <row r="942" ht="15.75" customHeight="1">
      <c r="A942" s="7" t="s">
        <v>4974</v>
      </c>
      <c r="B942" s="45" t="s">
        <v>4975</v>
      </c>
      <c r="C942" s="7" t="s">
        <v>4632</v>
      </c>
      <c r="D942" s="7" t="s">
        <v>4976</v>
      </c>
      <c r="E942" s="7" t="s">
        <v>4977</v>
      </c>
      <c r="F942" s="7" t="s">
        <v>4635</v>
      </c>
      <c r="G942" s="7"/>
      <c r="H942" s="46" t="s">
        <v>249</v>
      </c>
      <c r="I942" s="7" t="s">
        <v>160</v>
      </c>
      <c r="J942" s="7" t="s">
        <v>148</v>
      </c>
      <c r="K942" s="7"/>
      <c r="L942" s="7"/>
      <c r="M942" s="7"/>
    </row>
    <row r="943" ht="15.75" customHeight="1">
      <c r="A943" s="7" t="s">
        <v>4978</v>
      </c>
      <c r="B943" s="45" t="s">
        <v>4979</v>
      </c>
      <c r="C943" s="7" t="s">
        <v>4980</v>
      </c>
      <c r="D943" s="7" t="s">
        <v>4981</v>
      </c>
      <c r="E943" s="7" t="s">
        <v>4982</v>
      </c>
      <c r="F943" s="7" t="s">
        <v>4983</v>
      </c>
      <c r="G943" s="7"/>
      <c r="H943" s="46" t="s">
        <v>249</v>
      </c>
      <c r="I943" s="7" t="s">
        <v>160</v>
      </c>
      <c r="J943" s="7" t="s">
        <v>148</v>
      </c>
      <c r="K943" s="7"/>
      <c r="L943" s="7"/>
      <c r="M943" s="7"/>
    </row>
    <row r="944" ht="15.75" customHeight="1">
      <c r="A944" s="7" t="s">
        <v>4984</v>
      </c>
      <c r="B944" s="45" t="s">
        <v>4985</v>
      </c>
      <c r="C944" s="7" t="s">
        <v>4986</v>
      </c>
      <c r="D944" s="7" t="s">
        <v>4987</v>
      </c>
      <c r="E944" s="7" t="s">
        <v>4988</v>
      </c>
      <c r="F944" s="7" t="s">
        <v>4989</v>
      </c>
      <c r="G944" s="7"/>
      <c r="H944" s="46" t="s">
        <v>249</v>
      </c>
      <c r="I944" s="7" t="s">
        <v>160</v>
      </c>
      <c r="J944" s="7" t="s">
        <v>148</v>
      </c>
      <c r="K944" s="7"/>
      <c r="L944" s="7"/>
      <c r="M944" s="7"/>
    </row>
    <row r="945" ht="15.75" customHeight="1">
      <c r="A945" s="7" t="s">
        <v>4990</v>
      </c>
      <c r="B945" s="45" t="s">
        <v>4991</v>
      </c>
      <c r="C945" s="7" t="s">
        <v>4992</v>
      </c>
      <c r="D945" s="7" t="s">
        <v>4993</v>
      </c>
      <c r="E945" s="7" t="s">
        <v>4994</v>
      </c>
      <c r="F945" s="7" t="s">
        <v>4995</v>
      </c>
      <c r="G945" s="7"/>
      <c r="H945" s="46" t="s">
        <v>249</v>
      </c>
      <c r="I945" s="7" t="s">
        <v>160</v>
      </c>
      <c r="J945" s="7" t="s">
        <v>148</v>
      </c>
      <c r="K945" s="7"/>
      <c r="L945" s="7"/>
      <c r="M945" s="7"/>
    </row>
    <row r="946" ht="15.75" customHeight="1">
      <c r="A946" s="7" t="s">
        <v>4996</v>
      </c>
      <c r="B946" s="45" t="s">
        <v>4997</v>
      </c>
      <c r="C946" s="7" t="s">
        <v>4998</v>
      </c>
      <c r="D946" s="7" t="s">
        <v>4999</v>
      </c>
      <c r="E946" s="7" t="s">
        <v>5000</v>
      </c>
      <c r="F946" s="7" t="s">
        <v>4995</v>
      </c>
      <c r="G946" s="7"/>
      <c r="H946" s="46" t="s">
        <v>249</v>
      </c>
      <c r="I946" s="7" t="s">
        <v>160</v>
      </c>
      <c r="J946" s="7" t="s">
        <v>148</v>
      </c>
      <c r="K946" s="7"/>
      <c r="L946" s="7"/>
      <c r="M946" s="7"/>
    </row>
    <row r="947" ht="15.75" customHeight="1">
      <c r="A947" s="7" t="s">
        <v>5001</v>
      </c>
      <c r="B947" s="45" t="s">
        <v>5002</v>
      </c>
      <c r="C947" s="7" t="s">
        <v>5003</v>
      </c>
      <c r="D947" s="7" t="s">
        <v>5004</v>
      </c>
      <c r="E947" s="7" t="s">
        <v>5005</v>
      </c>
      <c r="F947" s="7" t="s">
        <v>4995</v>
      </c>
      <c r="G947" s="7"/>
      <c r="H947" s="46" t="s">
        <v>249</v>
      </c>
      <c r="I947" s="7" t="s">
        <v>160</v>
      </c>
      <c r="J947" s="7" t="s">
        <v>148</v>
      </c>
      <c r="K947" s="7"/>
      <c r="L947" s="7"/>
      <c r="M947" s="7"/>
    </row>
    <row r="948" ht="15.75" customHeight="1">
      <c r="A948" s="7" t="s">
        <v>5006</v>
      </c>
      <c r="B948" s="45" t="s">
        <v>5007</v>
      </c>
      <c r="C948" s="7" t="s">
        <v>5008</v>
      </c>
      <c r="D948" s="7" t="s">
        <v>5009</v>
      </c>
      <c r="E948" s="7" t="s">
        <v>5010</v>
      </c>
      <c r="F948" s="7" t="s">
        <v>4995</v>
      </c>
      <c r="G948" s="7"/>
      <c r="H948" s="46" t="s">
        <v>249</v>
      </c>
      <c r="I948" s="7" t="s">
        <v>160</v>
      </c>
      <c r="J948" s="7" t="s">
        <v>148</v>
      </c>
      <c r="K948" s="7"/>
      <c r="L948" s="7"/>
      <c r="M948" s="7"/>
    </row>
    <row r="949" ht="15.75" customHeight="1">
      <c r="A949" s="7" t="s">
        <v>5011</v>
      </c>
      <c r="B949" s="45" t="s">
        <v>5012</v>
      </c>
      <c r="C949" s="7" t="s">
        <v>5013</v>
      </c>
      <c r="D949" s="7" t="s">
        <v>5014</v>
      </c>
      <c r="E949" s="7" t="s">
        <v>4994</v>
      </c>
      <c r="F949" s="7" t="s">
        <v>4995</v>
      </c>
      <c r="G949" s="7"/>
      <c r="H949" s="46" t="s">
        <v>249</v>
      </c>
      <c r="I949" s="7" t="s">
        <v>160</v>
      </c>
      <c r="J949" s="7" t="s">
        <v>148</v>
      </c>
      <c r="K949" s="7"/>
      <c r="L949" s="7"/>
      <c r="M949" s="7"/>
    </row>
    <row r="950" ht="15.75" customHeight="1">
      <c r="A950" s="7" t="s">
        <v>5015</v>
      </c>
      <c r="B950" s="45" t="s">
        <v>5016</v>
      </c>
      <c r="C950" s="7" t="s">
        <v>5017</v>
      </c>
      <c r="D950" s="7" t="s">
        <v>5018</v>
      </c>
      <c r="E950" s="7" t="s">
        <v>5019</v>
      </c>
      <c r="F950" s="7" t="s">
        <v>4989</v>
      </c>
      <c r="G950" s="7"/>
      <c r="H950" s="46" t="s">
        <v>249</v>
      </c>
      <c r="I950" s="7" t="s">
        <v>160</v>
      </c>
      <c r="J950" s="7" t="s">
        <v>148</v>
      </c>
      <c r="K950" s="7"/>
      <c r="L950" s="7"/>
      <c r="M950" s="7"/>
    </row>
    <row r="951" ht="15.75" customHeight="1">
      <c r="A951" s="7" t="s">
        <v>5020</v>
      </c>
      <c r="B951" s="45" t="s">
        <v>5021</v>
      </c>
      <c r="C951" s="7" t="s">
        <v>5022</v>
      </c>
      <c r="D951" s="7" t="s">
        <v>5023</v>
      </c>
      <c r="E951" s="7" t="s">
        <v>5024</v>
      </c>
      <c r="F951" s="7" t="s">
        <v>4995</v>
      </c>
      <c r="G951" s="7"/>
      <c r="H951" s="46" t="s">
        <v>249</v>
      </c>
      <c r="I951" s="7" t="s">
        <v>160</v>
      </c>
      <c r="J951" s="7" t="s">
        <v>148</v>
      </c>
      <c r="K951" s="7"/>
      <c r="L951" s="7"/>
      <c r="M951" s="7"/>
    </row>
    <row r="952" ht="15.75" customHeight="1">
      <c r="A952" s="7" t="s">
        <v>5025</v>
      </c>
      <c r="B952" s="45" t="s">
        <v>5026</v>
      </c>
      <c r="C952" s="7" t="s">
        <v>5027</v>
      </c>
      <c r="D952" s="7" t="s">
        <v>5028</v>
      </c>
      <c r="E952" s="7" t="s">
        <v>5029</v>
      </c>
      <c r="F952" s="7" t="s">
        <v>4989</v>
      </c>
      <c r="G952" s="7"/>
      <c r="H952" s="46" t="s">
        <v>249</v>
      </c>
      <c r="I952" s="7" t="s">
        <v>160</v>
      </c>
      <c r="J952" s="7" t="s">
        <v>148</v>
      </c>
      <c r="K952" s="7"/>
      <c r="L952" s="7"/>
      <c r="M952" s="7"/>
    </row>
    <row r="953" ht="15.75" customHeight="1">
      <c r="A953" s="7" t="s">
        <v>5030</v>
      </c>
      <c r="B953" s="45" t="s">
        <v>5031</v>
      </c>
      <c r="C953" s="7" t="s">
        <v>5032</v>
      </c>
      <c r="D953" s="7" t="s">
        <v>5033</v>
      </c>
      <c r="E953" s="7" t="s">
        <v>5024</v>
      </c>
      <c r="F953" s="7" t="s">
        <v>4995</v>
      </c>
      <c r="G953" s="7" t="s">
        <v>5034</v>
      </c>
      <c r="H953" s="46" t="s">
        <v>249</v>
      </c>
      <c r="I953" s="7" t="s">
        <v>160</v>
      </c>
      <c r="J953" s="7" t="s">
        <v>148</v>
      </c>
      <c r="K953" s="7"/>
      <c r="L953" s="7"/>
      <c r="M953" s="7"/>
    </row>
    <row r="954" ht="15.75" customHeight="1">
      <c r="A954" s="7" t="s">
        <v>5035</v>
      </c>
      <c r="B954" s="45" t="s">
        <v>5036</v>
      </c>
      <c r="C954" s="7" t="s">
        <v>5037</v>
      </c>
      <c r="D954" s="7" t="s">
        <v>5038</v>
      </c>
      <c r="E954" s="7" t="s">
        <v>5039</v>
      </c>
      <c r="F954" s="7" t="s">
        <v>4989</v>
      </c>
      <c r="G954" s="7"/>
      <c r="H954" s="46" t="s">
        <v>249</v>
      </c>
      <c r="I954" s="7" t="s">
        <v>160</v>
      </c>
      <c r="J954" s="7" t="s">
        <v>148</v>
      </c>
      <c r="K954" s="7"/>
      <c r="L954" s="7"/>
      <c r="M954" s="7"/>
    </row>
    <row r="955" ht="15.75" customHeight="1">
      <c r="A955" s="7" t="s">
        <v>5040</v>
      </c>
      <c r="B955" s="45" t="s">
        <v>5041</v>
      </c>
      <c r="C955" s="7" t="s">
        <v>5042</v>
      </c>
      <c r="D955" s="7" t="s">
        <v>5043</v>
      </c>
      <c r="E955" s="7" t="s">
        <v>5044</v>
      </c>
      <c r="F955" s="7" t="s">
        <v>5045</v>
      </c>
      <c r="G955" s="7"/>
      <c r="H955" s="46" t="s">
        <v>249</v>
      </c>
      <c r="I955" s="7" t="s">
        <v>160</v>
      </c>
      <c r="J955" s="7" t="s">
        <v>148</v>
      </c>
      <c r="K955" s="7"/>
      <c r="L955" s="7"/>
      <c r="M955" s="7"/>
    </row>
    <row r="956" ht="15.75" customHeight="1">
      <c r="A956" s="7" t="s">
        <v>5046</v>
      </c>
      <c r="B956" s="45" t="s">
        <v>5047</v>
      </c>
      <c r="C956" s="7" t="s">
        <v>5048</v>
      </c>
      <c r="D956" s="7" t="s">
        <v>5049</v>
      </c>
      <c r="E956" s="7" t="s">
        <v>5050</v>
      </c>
      <c r="F956" s="7" t="s">
        <v>5051</v>
      </c>
      <c r="G956" s="7"/>
      <c r="H956" s="46" t="s">
        <v>249</v>
      </c>
      <c r="I956" s="7" t="s">
        <v>160</v>
      </c>
      <c r="J956" s="7" t="s">
        <v>148</v>
      </c>
      <c r="K956" s="7"/>
      <c r="L956" s="7"/>
      <c r="M956" s="7"/>
    </row>
    <row r="957" ht="15.75" customHeight="1">
      <c r="A957" s="7" t="s">
        <v>5052</v>
      </c>
      <c r="B957" s="45" t="s">
        <v>5053</v>
      </c>
      <c r="C957" s="7" t="s">
        <v>5054</v>
      </c>
      <c r="D957" s="7" t="s">
        <v>5055</v>
      </c>
      <c r="E957" s="7" t="s">
        <v>5056</v>
      </c>
      <c r="F957" s="7" t="s">
        <v>5057</v>
      </c>
      <c r="G957" s="7"/>
      <c r="H957" s="46" t="s">
        <v>249</v>
      </c>
      <c r="I957" s="7" t="s">
        <v>160</v>
      </c>
      <c r="J957" s="7" t="s">
        <v>148</v>
      </c>
      <c r="K957" s="7"/>
      <c r="L957" s="7"/>
      <c r="M957" s="7"/>
    </row>
    <row r="958" ht="15.75" customHeight="1">
      <c r="A958" s="7" t="s">
        <v>5058</v>
      </c>
      <c r="B958" s="45" t="s">
        <v>5059</v>
      </c>
      <c r="C958" s="7" t="s">
        <v>5060</v>
      </c>
      <c r="D958" s="7" t="s">
        <v>5061</v>
      </c>
      <c r="E958" s="7" t="s">
        <v>5062</v>
      </c>
      <c r="F958" s="7" t="s">
        <v>5063</v>
      </c>
      <c r="G958" s="7"/>
      <c r="H958" s="46" t="s">
        <v>249</v>
      </c>
      <c r="I958" s="7" t="s">
        <v>160</v>
      </c>
      <c r="J958" s="7" t="s">
        <v>148</v>
      </c>
      <c r="K958" s="7"/>
      <c r="L958" s="7"/>
      <c r="M958" s="7"/>
    </row>
    <row r="959" ht="15.75" customHeight="1">
      <c r="A959" s="7" t="s">
        <v>5064</v>
      </c>
      <c r="B959" s="45" t="s">
        <v>5065</v>
      </c>
      <c r="C959" s="7" t="s">
        <v>5066</v>
      </c>
      <c r="D959" s="7" t="s">
        <v>5067</v>
      </c>
      <c r="E959" s="7" t="s">
        <v>5068</v>
      </c>
      <c r="F959" s="7" t="s">
        <v>5069</v>
      </c>
      <c r="G959" s="7"/>
      <c r="H959" s="46" t="s">
        <v>249</v>
      </c>
      <c r="I959" s="7" t="s">
        <v>160</v>
      </c>
      <c r="J959" s="7" t="s">
        <v>148</v>
      </c>
      <c r="K959" s="7"/>
      <c r="L959" s="7"/>
      <c r="M959" s="7"/>
    </row>
    <row r="960" ht="15.75" customHeight="1">
      <c r="A960" s="7" t="s">
        <v>5070</v>
      </c>
      <c r="B960" s="45" t="s">
        <v>5071</v>
      </c>
      <c r="C960" s="7" t="s">
        <v>5072</v>
      </c>
      <c r="D960" s="7" t="s">
        <v>5073</v>
      </c>
      <c r="E960" s="7" t="s">
        <v>5074</v>
      </c>
      <c r="F960" s="7" t="s">
        <v>5075</v>
      </c>
      <c r="G960" s="7"/>
      <c r="H960" s="46" t="s">
        <v>249</v>
      </c>
      <c r="I960" s="7" t="s">
        <v>160</v>
      </c>
      <c r="J960" s="7" t="s">
        <v>148</v>
      </c>
      <c r="K960" s="7"/>
      <c r="L960" s="7"/>
      <c r="M960" s="7"/>
    </row>
    <row r="961" ht="15.75" customHeight="1">
      <c r="A961" s="7" t="s">
        <v>5076</v>
      </c>
      <c r="B961" s="45" t="s">
        <v>5077</v>
      </c>
      <c r="C961" s="7" t="s">
        <v>5078</v>
      </c>
      <c r="D961" s="7" t="s">
        <v>5079</v>
      </c>
      <c r="E961" s="7" t="s">
        <v>5080</v>
      </c>
      <c r="F961" s="7" t="s">
        <v>5081</v>
      </c>
      <c r="G961" s="7"/>
      <c r="H961" s="46" t="s">
        <v>249</v>
      </c>
      <c r="I961" s="7" t="s">
        <v>160</v>
      </c>
      <c r="J961" s="7" t="s">
        <v>148</v>
      </c>
      <c r="K961" s="7"/>
      <c r="L961" s="7"/>
      <c r="M961" s="7"/>
    </row>
    <row r="962" ht="15.75" customHeight="1">
      <c r="A962" s="7" t="s">
        <v>5082</v>
      </c>
      <c r="B962" s="45" t="s">
        <v>5083</v>
      </c>
      <c r="C962" s="7" t="s">
        <v>5078</v>
      </c>
      <c r="D962" s="7" t="s">
        <v>5079</v>
      </c>
      <c r="E962" s="7" t="s">
        <v>5080</v>
      </c>
      <c r="F962" s="7" t="s">
        <v>5084</v>
      </c>
      <c r="G962" s="7"/>
      <c r="H962" s="46" t="s">
        <v>249</v>
      </c>
      <c r="I962" s="7" t="s">
        <v>160</v>
      </c>
      <c r="J962" s="7" t="s">
        <v>148</v>
      </c>
      <c r="K962" s="7"/>
      <c r="L962" s="7"/>
      <c r="M962" s="7"/>
    </row>
    <row r="963" ht="15.75" customHeight="1">
      <c r="A963" s="7" t="s">
        <v>5085</v>
      </c>
      <c r="B963" s="45" t="s">
        <v>5086</v>
      </c>
      <c r="C963" s="7" t="s">
        <v>5087</v>
      </c>
      <c r="D963" s="7" t="s">
        <v>5088</v>
      </c>
      <c r="E963" s="7" t="s">
        <v>5089</v>
      </c>
      <c r="F963" s="7" t="s">
        <v>5090</v>
      </c>
      <c r="G963" s="7"/>
      <c r="H963" s="46" t="s">
        <v>249</v>
      </c>
      <c r="I963" s="7" t="s">
        <v>160</v>
      </c>
      <c r="J963" s="7" t="s">
        <v>148</v>
      </c>
      <c r="K963" s="7"/>
      <c r="L963" s="7"/>
      <c r="M963" s="7"/>
    </row>
    <row r="964" ht="15.75" customHeight="1">
      <c r="A964" s="7" t="s">
        <v>5091</v>
      </c>
      <c r="B964" s="45" t="s">
        <v>5092</v>
      </c>
      <c r="C964" s="7" t="s">
        <v>5087</v>
      </c>
      <c r="D964" s="7" t="s">
        <v>5093</v>
      </c>
      <c r="E964" s="7" t="s">
        <v>5094</v>
      </c>
      <c r="F964" s="7" t="s">
        <v>5090</v>
      </c>
      <c r="G964" s="7"/>
      <c r="H964" s="46" t="s">
        <v>249</v>
      </c>
      <c r="I964" s="7" t="s">
        <v>160</v>
      </c>
      <c r="J964" s="7" t="s">
        <v>148</v>
      </c>
      <c r="K964" s="7"/>
      <c r="L964" s="7"/>
      <c r="M964" s="7"/>
    </row>
    <row r="965" ht="15.75" customHeight="1">
      <c r="A965" s="7" t="s">
        <v>5095</v>
      </c>
      <c r="B965" s="45" t="s">
        <v>5096</v>
      </c>
      <c r="C965" s="7" t="s">
        <v>5097</v>
      </c>
      <c r="D965" s="7" t="s">
        <v>5098</v>
      </c>
      <c r="E965" s="7" t="s">
        <v>5099</v>
      </c>
      <c r="F965" s="7" t="s">
        <v>5100</v>
      </c>
      <c r="G965" s="7"/>
      <c r="H965" s="46" t="s">
        <v>249</v>
      </c>
      <c r="I965" s="7" t="s">
        <v>160</v>
      </c>
      <c r="J965" s="7" t="s">
        <v>148</v>
      </c>
      <c r="K965" s="7"/>
      <c r="L965" s="7"/>
      <c r="M965" s="7"/>
    </row>
    <row r="966" ht="15.75" customHeight="1">
      <c r="A966" s="7" t="s">
        <v>5101</v>
      </c>
      <c r="B966" s="45" t="s">
        <v>5102</v>
      </c>
      <c r="C966" s="7" t="s">
        <v>5103</v>
      </c>
      <c r="D966" s="7" t="s">
        <v>5104</v>
      </c>
      <c r="E966" s="7" t="s">
        <v>5105</v>
      </c>
      <c r="F966" s="7" t="s">
        <v>5106</v>
      </c>
      <c r="G966" s="7"/>
      <c r="H966" s="46" t="s">
        <v>249</v>
      </c>
      <c r="I966" s="7" t="s">
        <v>160</v>
      </c>
      <c r="J966" s="7" t="s">
        <v>148</v>
      </c>
      <c r="K966" s="7"/>
      <c r="L966" s="7"/>
      <c r="M966" s="7"/>
    </row>
    <row r="967" ht="15.75" customHeight="1">
      <c r="A967" s="7" t="s">
        <v>5107</v>
      </c>
      <c r="B967" s="45" t="s">
        <v>5108</v>
      </c>
      <c r="C967" s="7" t="s">
        <v>5103</v>
      </c>
      <c r="D967" s="7" t="s">
        <v>5109</v>
      </c>
      <c r="E967" s="7" t="s">
        <v>5110</v>
      </c>
      <c r="F967" s="7" t="s">
        <v>5111</v>
      </c>
      <c r="G967" s="7"/>
      <c r="H967" s="46" t="s">
        <v>249</v>
      </c>
      <c r="I967" s="7" t="s">
        <v>160</v>
      </c>
      <c r="J967" s="7" t="s">
        <v>148</v>
      </c>
      <c r="K967" s="7"/>
      <c r="L967" s="7"/>
      <c r="M967" s="7"/>
    </row>
    <row r="968" ht="15.75" customHeight="1">
      <c r="A968" s="7" t="s">
        <v>5112</v>
      </c>
      <c r="B968" s="45" t="s">
        <v>5113</v>
      </c>
      <c r="C968" s="7" t="s">
        <v>5114</v>
      </c>
      <c r="D968" s="7" t="s">
        <v>5115</v>
      </c>
      <c r="E968" s="7" t="s">
        <v>5116</v>
      </c>
      <c r="F968" s="7" t="s">
        <v>5117</v>
      </c>
      <c r="G968" s="7"/>
      <c r="H968" s="46" t="s">
        <v>249</v>
      </c>
      <c r="I968" s="7" t="s">
        <v>160</v>
      </c>
      <c r="J968" s="7" t="s">
        <v>148</v>
      </c>
      <c r="K968" s="7"/>
      <c r="L968" s="7"/>
      <c r="M968" s="7"/>
    </row>
    <row r="969" ht="15.75" customHeight="1">
      <c r="A969" s="7" t="s">
        <v>5118</v>
      </c>
      <c r="B969" s="45" t="s">
        <v>5119</v>
      </c>
      <c r="C969" s="7" t="s">
        <v>5120</v>
      </c>
      <c r="D969" s="7" t="s">
        <v>5121</v>
      </c>
      <c r="E969" s="7" t="s">
        <v>5122</v>
      </c>
      <c r="F969" s="7" t="s">
        <v>5123</v>
      </c>
      <c r="G969" s="7"/>
      <c r="H969" s="46" t="s">
        <v>249</v>
      </c>
      <c r="I969" s="7" t="s">
        <v>160</v>
      </c>
      <c r="J969" s="7" t="s">
        <v>148</v>
      </c>
      <c r="K969" s="7"/>
      <c r="L969" s="7"/>
      <c r="M969" s="7"/>
    </row>
    <row r="970" ht="15.75" customHeight="1">
      <c r="A970" s="7" t="s">
        <v>5124</v>
      </c>
      <c r="B970" s="45" t="s">
        <v>5125</v>
      </c>
      <c r="C970" s="7" t="s">
        <v>5120</v>
      </c>
      <c r="D970" s="7" t="s">
        <v>5126</v>
      </c>
      <c r="E970" s="7" t="s">
        <v>5122</v>
      </c>
      <c r="F970" s="7" t="s">
        <v>5123</v>
      </c>
      <c r="G970" s="7"/>
      <c r="H970" s="46" t="s">
        <v>249</v>
      </c>
      <c r="I970" s="7" t="s">
        <v>160</v>
      </c>
      <c r="J970" s="7" t="s">
        <v>148</v>
      </c>
      <c r="K970" s="7"/>
      <c r="L970" s="7"/>
      <c r="M970" s="7"/>
    </row>
    <row r="971" ht="15.75" customHeight="1">
      <c r="A971" s="7" t="s">
        <v>5127</v>
      </c>
      <c r="B971" s="45" t="s">
        <v>5128</v>
      </c>
      <c r="C971" s="7" t="s">
        <v>5129</v>
      </c>
      <c r="D971" s="7" t="s">
        <v>5130</v>
      </c>
      <c r="E971" s="7" t="s">
        <v>5131</v>
      </c>
      <c r="F971" s="7" t="s">
        <v>5132</v>
      </c>
      <c r="G971" s="7"/>
      <c r="H971" s="46" t="s">
        <v>249</v>
      </c>
      <c r="I971" s="7" t="s">
        <v>160</v>
      </c>
      <c r="J971" s="7" t="s">
        <v>148</v>
      </c>
      <c r="K971" s="7"/>
      <c r="L971" s="7"/>
      <c r="M971" s="7"/>
    </row>
    <row r="972" ht="15.75" customHeight="1">
      <c r="A972" s="7" t="s">
        <v>5133</v>
      </c>
      <c r="B972" s="45" t="s">
        <v>5134</v>
      </c>
      <c r="C972" s="7" t="s">
        <v>5135</v>
      </c>
      <c r="D972" s="7" t="s">
        <v>5136</v>
      </c>
      <c r="E972" s="7" t="s">
        <v>5137</v>
      </c>
      <c r="F972" s="7" t="s">
        <v>5138</v>
      </c>
      <c r="G972" s="7"/>
      <c r="H972" s="46" t="s">
        <v>249</v>
      </c>
      <c r="I972" s="7" t="s">
        <v>160</v>
      </c>
      <c r="J972" s="7" t="s">
        <v>148</v>
      </c>
      <c r="K972" s="7"/>
      <c r="L972" s="7"/>
      <c r="M972" s="7"/>
    </row>
    <row r="973" ht="15.75" customHeight="1">
      <c r="A973" s="7" t="s">
        <v>5139</v>
      </c>
      <c r="B973" s="45" t="s">
        <v>5140</v>
      </c>
      <c r="C973" s="7" t="s">
        <v>5141</v>
      </c>
      <c r="D973" s="7" t="s">
        <v>5142</v>
      </c>
      <c r="E973" s="7" t="s">
        <v>5143</v>
      </c>
      <c r="F973" s="7" t="s">
        <v>5144</v>
      </c>
      <c r="G973" s="7"/>
      <c r="H973" s="46" t="s">
        <v>249</v>
      </c>
      <c r="I973" s="7" t="s">
        <v>160</v>
      </c>
      <c r="J973" s="7" t="s">
        <v>148</v>
      </c>
      <c r="K973" s="7"/>
      <c r="L973" s="7"/>
      <c r="M973" s="7"/>
    </row>
    <row r="974" ht="15.75" customHeight="1">
      <c r="A974" s="7" t="s">
        <v>5145</v>
      </c>
      <c r="B974" s="45" t="s">
        <v>5146</v>
      </c>
      <c r="C974" s="7" t="s">
        <v>5141</v>
      </c>
      <c r="D974" s="7" t="s">
        <v>5147</v>
      </c>
      <c r="E974" s="7" t="s">
        <v>5137</v>
      </c>
      <c r="F974" s="7" t="s">
        <v>5138</v>
      </c>
      <c r="G974" s="7"/>
      <c r="H974" s="46" t="s">
        <v>249</v>
      </c>
      <c r="I974" s="7" t="s">
        <v>160</v>
      </c>
      <c r="J974" s="7" t="s">
        <v>148</v>
      </c>
      <c r="K974" s="7"/>
      <c r="L974" s="7"/>
      <c r="M974" s="7"/>
    </row>
    <row r="975" ht="15.75" customHeight="1">
      <c r="A975" s="7" t="s">
        <v>5148</v>
      </c>
      <c r="B975" s="45" t="s">
        <v>5149</v>
      </c>
      <c r="C975" s="7" t="s">
        <v>5129</v>
      </c>
      <c r="D975" s="7" t="s">
        <v>5150</v>
      </c>
      <c r="E975" s="7" t="s">
        <v>5131</v>
      </c>
      <c r="F975" s="7" t="s">
        <v>5132</v>
      </c>
      <c r="G975" s="7"/>
      <c r="H975" s="46" t="s">
        <v>249</v>
      </c>
      <c r="I975" s="7" t="s">
        <v>160</v>
      </c>
      <c r="J975" s="7" t="s">
        <v>148</v>
      </c>
      <c r="K975" s="7"/>
      <c r="L975" s="7"/>
      <c r="M975" s="7"/>
    </row>
    <row r="976" ht="15.75" customHeight="1">
      <c r="A976" s="7" t="s">
        <v>5151</v>
      </c>
      <c r="B976" s="45" t="s">
        <v>5152</v>
      </c>
      <c r="C976" s="7" t="s">
        <v>5129</v>
      </c>
      <c r="D976" s="7" t="s">
        <v>5153</v>
      </c>
      <c r="E976" s="7" t="s">
        <v>5137</v>
      </c>
      <c r="F976" s="7" t="s">
        <v>5138</v>
      </c>
      <c r="G976" s="7"/>
      <c r="H976" s="46" t="s">
        <v>249</v>
      </c>
      <c r="I976" s="7" t="s">
        <v>160</v>
      </c>
      <c r="J976" s="7" t="s">
        <v>148</v>
      </c>
      <c r="K976" s="7"/>
      <c r="L976" s="7"/>
      <c r="M976" s="7"/>
    </row>
    <row r="977" ht="15.75" customHeight="1">
      <c r="A977" s="7" t="s">
        <v>5154</v>
      </c>
      <c r="B977" s="45" t="s">
        <v>5155</v>
      </c>
      <c r="C977" s="7" t="s">
        <v>5129</v>
      </c>
      <c r="D977" s="7" t="s">
        <v>5156</v>
      </c>
      <c r="E977" s="7" t="s">
        <v>5131</v>
      </c>
      <c r="F977" s="7" t="s">
        <v>5132</v>
      </c>
      <c r="G977" s="7"/>
      <c r="H977" s="46" t="s">
        <v>249</v>
      </c>
      <c r="I977" s="7" t="s">
        <v>160</v>
      </c>
      <c r="J977" s="7" t="s">
        <v>148</v>
      </c>
      <c r="K977" s="7"/>
      <c r="L977" s="7"/>
      <c r="M977" s="7"/>
    </row>
    <row r="978" ht="15.75" customHeight="1">
      <c r="A978" s="7" t="s">
        <v>5157</v>
      </c>
      <c r="B978" s="45" t="s">
        <v>5158</v>
      </c>
      <c r="C978" s="7" t="s">
        <v>5129</v>
      </c>
      <c r="D978" s="7" t="s">
        <v>5159</v>
      </c>
      <c r="E978" s="7" t="s">
        <v>5131</v>
      </c>
      <c r="F978" s="7" t="s">
        <v>5132</v>
      </c>
      <c r="G978" s="7"/>
      <c r="H978" s="46" t="s">
        <v>249</v>
      </c>
      <c r="I978" s="7" t="s">
        <v>160</v>
      </c>
      <c r="J978" s="7" t="s">
        <v>148</v>
      </c>
      <c r="K978" s="7"/>
      <c r="L978" s="7"/>
      <c r="M978" s="7"/>
    </row>
    <row r="979" ht="15.75" customHeight="1">
      <c r="A979" s="7" t="s">
        <v>5160</v>
      </c>
      <c r="B979" s="45" t="s">
        <v>5161</v>
      </c>
      <c r="C979" s="7" t="s">
        <v>5129</v>
      </c>
      <c r="D979" s="7" t="s">
        <v>5162</v>
      </c>
      <c r="E979" s="7" t="s">
        <v>5131</v>
      </c>
      <c r="F979" s="7" t="s">
        <v>5132</v>
      </c>
      <c r="G979" s="7"/>
      <c r="H979" s="46" t="s">
        <v>249</v>
      </c>
      <c r="I979" s="7" t="s">
        <v>160</v>
      </c>
      <c r="J979" s="7" t="s">
        <v>148</v>
      </c>
      <c r="K979" s="7"/>
      <c r="L979" s="7"/>
      <c r="M979" s="7"/>
    </row>
    <row r="980" ht="15.75" customHeight="1">
      <c r="A980" s="7" t="s">
        <v>5163</v>
      </c>
      <c r="B980" s="45" t="s">
        <v>5164</v>
      </c>
      <c r="C980" s="7" t="s">
        <v>5135</v>
      </c>
      <c r="D980" s="7" t="s">
        <v>5165</v>
      </c>
      <c r="E980" s="7" t="s">
        <v>5137</v>
      </c>
      <c r="F980" s="7" t="s">
        <v>5138</v>
      </c>
      <c r="G980" s="7"/>
      <c r="H980" s="46" t="s">
        <v>249</v>
      </c>
      <c r="I980" s="7" t="s">
        <v>160</v>
      </c>
      <c r="J980" s="7" t="s">
        <v>148</v>
      </c>
      <c r="K980" s="7"/>
      <c r="L980" s="7"/>
      <c r="M980" s="7"/>
    </row>
    <row r="981" ht="15.75" customHeight="1">
      <c r="A981" s="7" t="s">
        <v>5166</v>
      </c>
      <c r="B981" s="45" t="s">
        <v>5167</v>
      </c>
      <c r="C981" s="7" t="s">
        <v>5135</v>
      </c>
      <c r="D981" s="7" t="s">
        <v>5168</v>
      </c>
      <c r="E981" s="7" t="s">
        <v>5137</v>
      </c>
      <c r="F981" s="7" t="s">
        <v>5138</v>
      </c>
      <c r="G981" s="7"/>
      <c r="H981" s="46" t="s">
        <v>249</v>
      </c>
      <c r="I981" s="7" t="s">
        <v>160</v>
      </c>
      <c r="J981" s="7" t="s">
        <v>148</v>
      </c>
      <c r="K981" s="7"/>
      <c r="L981" s="7"/>
      <c r="M981" s="7"/>
    </row>
    <row r="982" ht="15.75" customHeight="1">
      <c r="A982" s="7" t="s">
        <v>5169</v>
      </c>
      <c r="B982" s="45" t="s">
        <v>5170</v>
      </c>
      <c r="C982" s="7" t="s">
        <v>5135</v>
      </c>
      <c r="D982" s="7" t="s">
        <v>5171</v>
      </c>
      <c r="E982" s="7" t="s">
        <v>5131</v>
      </c>
      <c r="F982" s="7" t="s">
        <v>5132</v>
      </c>
      <c r="G982" s="7"/>
      <c r="H982" s="46" t="s">
        <v>249</v>
      </c>
      <c r="I982" s="7" t="s">
        <v>160</v>
      </c>
      <c r="J982" s="7" t="s">
        <v>148</v>
      </c>
      <c r="K982" s="7"/>
      <c r="L982" s="7"/>
      <c r="M982" s="7"/>
    </row>
    <row r="983" ht="15.75" customHeight="1">
      <c r="A983" s="7" t="s">
        <v>5172</v>
      </c>
      <c r="B983" s="45" t="s">
        <v>5173</v>
      </c>
      <c r="C983" s="7" t="s">
        <v>5129</v>
      </c>
      <c r="D983" s="7" t="s">
        <v>5174</v>
      </c>
      <c r="E983" s="7" t="s">
        <v>5137</v>
      </c>
      <c r="F983" s="7" t="s">
        <v>5138</v>
      </c>
      <c r="G983" s="7"/>
      <c r="H983" s="46" t="s">
        <v>249</v>
      </c>
      <c r="I983" s="7" t="s">
        <v>160</v>
      </c>
      <c r="J983" s="7" t="s">
        <v>148</v>
      </c>
      <c r="K983" s="7"/>
      <c r="L983" s="7"/>
      <c r="M983" s="7"/>
    </row>
    <row r="984" ht="15.75" customHeight="1">
      <c r="A984" s="7" t="s">
        <v>5175</v>
      </c>
      <c r="B984" s="45" t="s">
        <v>5176</v>
      </c>
      <c r="C984" s="7" t="s">
        <v>5129</v>
      </c>
      <c r="D984" s="7" t="s">
        <v>5177</v>
      </c>
      <c r="E984" s="7" t="s">
        <v>5137</v>
      </c>
      <c r="F984" s="7" t="s">
        <v>5138</v>
      </c>
      <c r="G984" s="7"/>
      <c r="H984" s="46" t="s">
        <v>249</v>
      </c>
      <c r="I984" s="7" t="s">
        <v>160</v>
      </c>
      <c r="J984" s="7" t="s">
        <v>148</v>
      </c>
      <c r="K984" s="7"/>
      <c r="L984" s="7"/>
      <c r="M984" s="7"/>
    </row>
    <row r="985" ht="15.75" customHeight="1">
      <c r="A985" s="7" t="s">
        <v>5178</v>
      </c>
      <c r="B985" s="45" t="s">
        <v>5179</v>
      </c>
      <c r="C985" s="7" t="s">
        <v>5129</v>
      </c>
      <c r="D985" s="7" t="s">
        <v>5180</v>
      </c>
      <c r="E985" s="7" t="s">
        <v>5181</v>
      </c>
      <c r="F985" s="7" t="s">
        <v>5132</v>
      </c>
      <c r="G985" s="7"/>
      <c r="H985" s="46" t="s">
        <v>249</v>
      </c>
      <c r="I985" s="7" t="s">
        <v>160</v>
      </c>
      <c r="J985" s="7" t="s">
        <v>148</v>
      </c>
      <c r="K985" s="7"/>
      <c r="L985" s="7"/>
      <c r="M985" s="7"/>
    </row>
    <row r="986" ht="15.75" customHeight="1">
      <c r="A986" s="7" t="s">
        <v>5182</v>
      </c>
      <c r="B986" s="45" t="s">
        <v>5183</v>
      </c>
      <c r="C986" s="7" t="s">
        <v>5184</v>
      </c>
      <c r="D986" s="7" t="s">
        <v>5185</v>
      </c>
      <c r="E986" s="7" t="s">
        <v>5186</v>
      </c>
      <c r="F986" s="7" t="s">
        <v>5187</v>
      </c>
      <c r="G986" s="7"/>
      <c r="H986" s="46" t="s">
        <v>249</v>
      </c>
      <c r="I986" s="7" t="s">
        <v>160</v>
      </c>
      <c r="J986" s="7" t="s">
        <v>148</v>
      </c>
      <c r="K986" s="7"/>
      <c r="L986" s="7"/>
      <c r="M986" s="7"/>
    </row>
    <row r="987" ht="15.75" customHeight="1">
      <c r="A987" s="7" t="s">
        <v>5188</v>
      </c>
      <c r="B987" s="45" t="s">
        <v>5189</v>
      </c>
      <c r="C987" s="7" t="s">
        <v>5184</v>
      </c>
      <c r="D987" s="7" t="s">
        <v>5190</v>
      </c>
      <c r="E987" s="7" t="s">
        <v>5186</v>
      </c>
      <c r="F987" s="7" t="s">
        <v>5187</v>
      </c>
      <c r="G987" s="7"/>
      <c r="H987" s="46" t="s">
        <v>249</v>
      </c>
      <c r="I987" s="7" t="s">
        <v>160</v>
      </c>
      <c r="J987" s="7" t="s">
        <v>148</v>
      </c>
      <c r="K987" s="7"/>
      <c r="L987" s="7"/>
      <c r="M987" s="7"/>
    </row>
    <row r="988" ht="15.75" customHeight="1">
      <c r="A988" s="7" t="s">
        <v>5191</v>
      </c>
      <c r="B988" s="45" t="s">
        <v>5192</v>
      </c>
      <c r="C988" s="7" t="s">
        <v>5193</v>
      </c>
      <c r="D988" s="7" t="s">
        <v>5194</v>
      </c>
      <c r="E988" s="7" t="s">
        <v>5195</v>
      </c>
      <c r="F988" s="7" t="s">
        <v>5196</v>
      </c>
      <c r="G988" s="7"/>
      <c r="H988" s="46" t="s">
        <v>249</v>
      </c>
      <c r="I988" s="7" t="s">
        <v>160</v>
      </c>
      <c r="J988" s="7" t="s">
        <v>148</v>
      </c>
      <c r="K988" s="7"/>
      <c r="L988" s="7"/>
      <c r="M988" s="7"/>
    </row>
    <row r="989" ht="15.75" customHeight="1">
      <c r="A989" s="7" t="s">
        <v>5197</v>
      </c>
      <c r="B989" s="45" t="s">
        <v>5198</v>
      </c>
      <c r="C989" s="7" t="s">
        <v>5199</v>
      </c>
      <c r="D989" s="7" t="s">
        <v>5200</v>
      </c>
      <c r="E989" s="7" t="s">
        <v>5201</v>
      </c>
      <c r="F989" s="7" t="s">
        <v>5202</v>
      </c>
      <c r="G989" s="7"/>
      <c r="H989" s="46" t="s">
        <v>249</v>
      </c>
      <c r="I989" s="7" t="s">
        <v>160</v>
      </c>
      <c r="J989" s="7" t="s">
        <v>148</v>
      </c>
      <c r="K989" s="7"/>
      <c r="L989" s="7"/>
      <c r="M989" s="7"/>
    </row>
    <row r="990" ht="15.75" customHeight="1">
      <c r="A990" s="7" t="s">
        <v>5203</v>
      </c>
      <c r="B990" s="45" t="s">
        <v>5204</v>
      </c>
      <c r="C990" s="7" t="s">
        <v>5205</v>
      </c>
      <c r="D990" s="7" t="s">
        <v>5206</v>
      </c>
      <c r="E990" s="7" t="s">
        <v>5207</v>
      </c>
      <c r="F990" s="7" t="s">
        <v>5208</v>
      </c>
      <c r="G990" s="7"/>
      <c r="H990" s="46" t="s">
        <v>249</v>
      </c>
      <c r="I990" s="7" t="s">
        <v>160</v>
      </c>
      <c r="J990" s="7" t="s">
        <v>148</v>
      </c>
      <c r="K990" s="7"/>
      <c r="L990" s="7"/>
      <c r="M990" s="7"/>
    </row>
    <row r="991" ht="15.75" customHeight="1">
      <c r="A991" s="7" t="s">
        <v>5209</v>
      </c>
      <c r="B991" s="45" t="s">
        <v>5210</v>
      </c>
      <c r="C991" s="7" t="s">
        <v>5211</v>
      </c>
      <c r="D991" s="7" t="s">
        <v>5212</v>
      </c>
      <c r="E991" s="7" t="s">
        <v>5213</v>
      </c>
      <c r="F991" s="7" t="s">
        <v>5214</v>
      </c>
      <c r="G991" s="7"/>
      <c r="H991" s="46" t="s">
        <v>249</v>
      </c>
      <c r="I991" s="7" t="s">
        <v>160</v>
      </c>
      <c r="J991" s="7" t="s">
        <v>148</v>
      </c>
      <c r="K991" s="7"/>
      <c r="L991" s="7"/>
      <c r="M991" s="7"/>
    </row>
    <row r="992" ht="15.75" customHeight="1">
      <c r="A992" s="7" t="s">
        <v>5215</v>
      </c>
      <c r="B992" s="45" t="s">
        <v>5216</v>
      </c>
      <c r="C992" s="7" t="s">
        <v>5217</v>
      </c>
      <c r="D992" s="7" t="s">
        <v>5218</v>
      </c>
      <c r="E992" s="7" t="s">
        <v>5219</v>
      </c>
      <c r="F992" s="7" t="s">
        <v>5220</v>
      </c>
      <c r="G992" s="7"/>
      <c r="H992" s="46" t="s">
        <v>249</v>
      </c>
      <c r="I992" s="7" t="s">
        <v>160</v>
      </c>
      <c r="J992" s="7" t="s">
        <v>148</v>
      </c>
      <c r="K992" s="7"/>
      <c r="L992" s="7"/>
      <c r="M992" s="7"/>
    </row>
    <row r="993" ht="15.75" customHeight="1">
      <c r="A993" s="7" t="s">
        <v>5221</v>
      </c>
      <c r="B993" s="45" t="s">
        <v>5222</v>
      </c>
      <c r="C993" s="7" t="s">
        <v>5217</v>
      </c>
      <c r="D993" s="7" t="s">
        <v>5223</v>
      </c>
      <c r="E993" s="7" t="s">
        <v>5224</v>
      </c>
      <c r="F993" s="7" t="s">
        <v>5220</v>
      </c>
      <c r="G993" s="7"/>
      <c r="H993" s="46" t="s">
        <v>249</v>
      </c>
      <c r="I993" s="7" t="s">
        <v>160</v>
      </c>
      <c r="J993" s="7" t="s">
        <v>148</v>
      </c>
      <c r="K993" s="7"/>
      <c r="L993" s="7"/>
      <c r="M993" s="7"/>
    </row>
    <row r="994" ht="15.75" customHeight="1">
      <c r="A994" s="7" t="s">
        <v>5225</v>
      </c>
      <c r="B994" s="45" t="s">
        <v>5226</v>
      </c>
      <c r="C994" s="7" t="s">
        <v>5217</v>
      </c>
      <c r="D994" s="7" t="s">
        <v>5227</v>
      </c>
      <c r="E994" s="7" t="s">
        <v>5228</v>
      </c>
      <c r="F994" s="7" t="s">
        <v>5220</v>
      </c>
      <c r="G994" s="7"/>
      <c r="H994" s="46" t="s">
        <v>249</v>
      </c>
      <c r="I994" s="7" t="s">
        <v>160</v>
      </c>
      <c r="J994" s="7" t="s">
        <v>148</v>
      </c>
      <c r="K994" s="7"/>
      <c r="L994" s="7"/>
      <c r="M994" s="7"/>
    </row>
    <row r="995" ht="15.75" customHeight="1">
      <c r="A995" s="7" t="s">
        <v>5229</v>
      </c>
      <c r="B995" s="45" t="s">
        <v>5230</v>
      </c>
      <c r="C995" s="7" t="s">
        <v>5217</v>
      </c>
      <c r="D995" s="7" t="s">
        <v>5231</v>
      </c>
      <c r="E995" s="7" t="s">
        <v>5232</v>
      </c>
      <c r="F995" s="7" t="s">
        <v>5220</v>
      </c>
      <c r="G995" s="7"/>
      <c r="H995" s="46" t="s">
        <v>249</v>
      </c>
      <c r="I995" s="7" t="s">
        <v>160</v>
      </c>
      <c r="J995" s="7" t="s">
        <v>148</v>
      </c>
      <c r="K995" s="7"/>
      <c r="L995" s="7"/>
      <c r="M995" s="7"/>
    </row>
    <row r="996" ht="15.75" customHeight="1">
      <c r="A996" s="7" t="s">
        <v>5233</v>
      </c>
      <c r="B996" s="45" t="s">
        <v>5234</v>
      </c>
      <c r="C996" s="7" t="s">
        <v>5217</v>
      </c>
      <c r="D996" s="7" t="s">
        <v>5235</v>
      </c>
      <c r="E996" s="7" t="s">
        <v>5236</v>
      </c>
      <c r="F996" s="7" t="s">
        <v>5220</v>
      </c>
      <c r="G996" s="7"/>
      <c r="H996" s="46" t="s">
        <v>249</v>
      </c>
      <c r="I996" s="7" t="s">
        <v>160</v>
      </c>
      <c r="J996" s="7" t="s">
        <v>148</v>
      </c>
      <c r="K996" s="7"/>
      <c r="L996" s="7"/>
      <c r="M996" s="7"/>
    </row>
    <row r="997" ht="15.75" customHeight="1">
      <c r="A997" s="7" t="s">
        <v>5237</v>
      </c>
      <c r="B997" s="45" t="s">
        <v>5238</v>
      </c>
      <c r="C997" s="7" t="s">
        <v>5217</v>
      </c>
      <c r="D997" s="7" t="s">
        <v>5239</v>
      </c>
      <c r="E997" s="7" t="s">
        <v>5240</v>
      </c>
      <c r="F997" s="7" t="s">
        <v>5220</v>
      </c>
      <c r="G997" s="7"/>
      <c r="H997" s="46" t="s">
        <v>249</v>
      </c>
      <c r="I997" s="7" t="s">
        <v>160</v>
      </c>
      <c r="J997" s="7" t="s">
        <v>148</v>
      </c>
      <c r="K997" s="7"/>
      <c r="L997" s="7"/>
      <c r="M997" s="7"/>
    </row>
    <row r="998" ht="15.75" customHeight="1">
      <c r="A998" s="7" t="s">
        <v>5241</v>
      </c>
      <c r="B998" s="45" t="s">
        <v>5242</v>
      </c>
      <c r="C998" s="7" t="s">
        <v>5217</v>
      </c>
      <c r="D998" s="7" t="s">
        <v>5243</v>
      </c>
      <c r="E998" s="7" t="s">
        <v>5244</v>
      </c>
      <c r="F998" s="7" t="s">
        <v>5220</v>
      </c>
      <c r="G998" s="7"/>
      <c r="H998" s="46" t="s">
        <v>249</v>
      </c>
      <c r="I998" s="7" t="s">
        <v>160</v>
      </c>
      <c r="J998" s="7" t="s">
        <v>148</v>
      </c>
      <c r="K998" s="7"/>
      <c r="L998" s="7"/>
      <c r="M998" s="7"/>
    </row>
    <row r="999" ht="15.75" customHeight="1">
      <c r="A999" s="7" t="s">
        <v>5245</v>
      </c>
      <c r="B999" s="45" t="s">
        <v>5246</v>
      </c>
      <c r="C999" s="7" t="s">
        <v>5217</v>
      </c>
      <c r="D999" s="7" t="s">
        <v>5247</v>
      </c>
      <c r="E999" s="7" t="s">
        <v>5248</v>
      </c>
      <c r="F999" s="7" t="s">
        <v>5220</v>
      </c>
      <c r="G999" s="7"/>
      <c r="H999" s="46" t="s">
        <v>249</v>
      </c>
      <c r="I999" s="7" t="s">
        <v>160</v>
      </c>
      <c r="J999" s="7" t="s">
        <v>148</v>
      </c>
      <c r="K999" s="7"/>
      <c r="L999" s="7"/>
      <c r="M999" s="7"/>
    </row>
    <row r="1000" ht="15.75" customHeight="1">
      <c r="A1000" s="7" t="s">
        <v>5249</v>
      </c>
      <c r="B1000" s="45" t="s">
        <v>5250</v>
      </c>
      <c r="C1000" s="7" t="s">
        <v>5217</v>
      </c>
      <c r="D1000" s="7" t="s">
        <v>5251</v>
      </c>
      <c r="E1000" s="7" t="s">
        <v>5252</v>
      </c>
      <c r="F1000" s="7" t="s">
        <v>5220</v>
      </c>
      <c r="G1000" s="7"/>
      <c r="H1000" s="46" t="s">
        <v>249</v>
      </c>
      <c r="I1000" s="7" t="s">
        <v>160</v>
      </c>
      <c r="J1000" s="7" t="s">
        <v>148</v>
      </c>
      <c r="K1000" s="7"/>
      <c r="L1000" s="7"/>
      <c r="M1000" s="7"/>
    </row>
    <row r="1001" ht="15.75" customHeight="1">
      <c r="A1001" s="7" t="s">
        <v>5253</v>
      </c>
      <c r="B1001" s="45" t="s">
        <v>5254</v>
      </c>
      <c r="C1001" s="7" t="s">
        <v>5217</v>
      </c>
      <c r="D1001" s="7" t="s">
        <v>5255</v>
      </c>
      <c r="E1001" s="7" t="s">
        <v>5256</v>
      </c>
      <c r="F1001" s="7" t="s">
        <v>5220</v>
      </c>
      <c r="G1001" s="7"/>
      <c r="H1001" s="46" t="s">
        <v>249</v>
      </c>
      <c r="I1001" s="7" t="s">
        <v>160</v>
      </c>
      <c r="J1001" s="7" t="s">
        <v>148</v>
      </c>
      <c r="K1001" s="7"/>
      <c r="L1001" s="7"/>
      <c r="M1001" s="7"/>
    </row>
    <row r="1002" ht="15.75" customHeight="1">
      <c r="A1002" s="7" t="s">
        <v>5257</v>
      </c>
      <c r="B1002" s="45" t="s">
        <v>5258</v>
      </c>
      <c r="C1002" s="7" t="s">
        <v>5217</v>
      </c>
      <c r="D1002" s="7" t="s">
        <v>5259</v>
      </c>
      <c r="E1002" s="7" t="s">
        <v>5260</v>
      </c>
      <c r="F1002" s="7" t="s">
        <v>5220</v>
      </c>
      <c r="G1002" s="7"/>
      <c r="H1002" s="46" t="s">
        <v>249</v>
      </c>
      <c r="I1002" s="7" t="s">
        <v>160</v>
      </c>
      <c r="J1002" s="7" t="s">
        <v>148</v>
      </c>
      <c r="K1002" s="7"/>
      <c r="L1002" s="7"/>
      <c r="M1002" s="7"/>
    </row>
    <row r="1003" ht="15.75" customHeight="1">
      <c r="A1003" s="7" t="s">
        <v>5261</v>
      </c>
      <c r="B1003" s="45" t="s">
        <v>5262</v>
      </c>
      <c r="C1003" s="7" t="s">
        <v>5217</v>
      </c>
      <c r="D1003" s="7" t="s">
        <v>5263</v>
      </c>
      <c r="E1003" s="7" t="s">
        <v>5264</v>
      </c>
      <c r="F1003" s="7" t="s">
        <v>5220</v>
      </c>
      <c r="G1003" s="7"/>
      <c r="H1003" s="46" t="s">
        <v>249</v>
      </c>
      <c r="I1003" s="7" t="s">
        <v>160</v>
      </c>
      <c r="J1003" s="7" t="s">
        <v>148</v>
      </c>
      <c r="K1003" s="7"/>
      <c r="L1003" s="7"/>
      <c r="M1003" s="7"/>
    </row>
    <row r="1004" ht="15.75" customHeight="1">
      <c r="A1004" s="7" t="s">
        <v>5265</v>
      </c>
      <c r="B1004" s="45" t="s">
        <v>5266</v>
      </c>
      <c r="C1004" s="7" t="s">
        <v>5217</v>
      </c>
      <c r="D1004" s="7" t="s">
        <v>5267</v>
      </c>
      <c r="E1004" s="7" t="s">
        <v>5268</v>
      </c>
      <c r="F1004" s="7" t="s">
        <v>5220</v>
      </c>
      <c r="G1004" s="7"/>
      <c r="H1004" s="46" t="s">
        <v>249</v>
      </c>
      <c r="I1004" s="7" t="s">
        <v>160</v>
      </c>
      <c r="J1004" s="7" t="s">
        <v>148</v>
      </c>
      <c r="K1004" s="7"/>
      <c r="L1004" s="7"/>
      <c r="M1004" s="7"/>
    </row>
    <row r="1005" ht="15.75" customHeight="1">
      <c r="A1005" s="7" t="s">
        <v>5269</v>
      </c>
      <c r="B1005" s="45" t="s">
        <v>5270</v>
      </c>
      <c r="C1005" s="7" t="s">
        <v>5271</v>
      </c>
      <c r="D1005" s="7" t="s">
        <v>5272</v>
      </c>
      <c r="E1005" s="7" t="s">
        <v>5273</v>
      </c>
      <c r="F1005" s="7" t="s">
        <v>5274</v>
      </c>
      <c r="G1005" s="7"/>
      <c r="H1005" s="46" t="s">
        <v>249</v>
      </c>
      <c r="I1005" s="7" t="s">
        <v>160</v>
      </c>
      <c r="J1005" s="7" t="s">
        <v>148</v>
      </c>
      <c r="K1005" s="7"/>
      <c r="L1005" s="7"/>
      <c r="M1005" s="7"/>
    </row>
    <row r="1006" ht="15.75" customHeight="1">
      <c r="A1006" s="7" t="s">
        <v>5275</v>
      </c>
      <c r="B1006" s="45" t="s">
        <v>5276</v>
      </c>
      <c r="C1006" s="7" t="s">
        <v>5217</v>
      </c>
      <c r="D1006" s="7" t="s">
        <v>5277</v>
      </c>
      <c r="E1006" s="7" t="s">
        <v>5278</v>
      </c>
      <c r="F1006" s="7" t="s">
        <v>5220</v>
      </c>
      <c r="G1006" s="7"/>
      <c r="H1006" s="46" t="s">
        <v>249</v>
      </c>
      <c r="I1006" s="7" t="s">
        <v>160</v>
      </c>
      <c r="J1006" s="7" t="s">
        <v>148</v>
      </c>
      <c r="K1006" s="7"/>
      <c r="L1006" s="7"/>
      <c r="M1006" s="7"/>
    </row>
    <row r="1007" ht="15.75" customHeight="1">
      <c r="A1007" s="7" t="s">
        <v>5279</v>
      </c>
      <c r="B1007" s="45" t="s">
        <v>5280</v>
      </c>
      <c r="C1007" s="7" t="s">
        <v>5217</v>
      </c>
      <c r="D1007" s="7" t="s">
        <v>5281</v>
      </c>
      <c r="E1007" s="7" t="s">
        <v>5282</v>
      </c>
      <c r="F1007" s="7" t="s">
        <v>5220</v>
      </c>
      <c r="G1007" s="7"/>
      <c r="H1007" s="46" t="s">
        <v>249</v>
      </c>
      <c r="I1007" s="7" t="s">
        <v>160</v>
      </c>
      <c r="J1007" s="7" t="s">
        <v>148</v>
      </c>
      <c r="K1007" s="7"/>
      <c r="L1007" s="7"/>
      <c r="M1007" s="7"/>
    </row>
    <row r="1008" ht="15.75" customHeight="1">
      <c r="A1008" s="7" t="s">
        <v>5283</v>
      </c>
      <c r="B1008" s="45" t="s">
        <v>5284</v>
      </c>
      <c r="C1008" s="7" t="s">
        <v>5217</v>
      </c>
      <c r="D1008" s="7" t="s">
        <v>5285</v>
      </c>
      <c r="E1008" s="7" t="s">
        <v>5286</v>
      </c>
      <c r="F1008" s="7" t="s">
        <v>5220</v>
      </c>
      <c r="G1008" s="7"/>
      <c r="H1008" s="46" t="s">
        <v>249</v>
      </c>
      <c r="I1008" s="7" t="s">
        <v>160</v>
      </c>
      <c r="J1008" s="7" t="s">
        <v>148</v>
      </c>
      <c r="K1008" s="7"/>
      <c r="L1008" s="7"/>
      <c r="M1008" s="7"/>
    </row>
    <row r="1009" ht="15.75" customHeight="1">
      <c r="A1009" s="7" t="s">
        <v>5287</v>
      </c>
      <c r="B1009" s="45" t="s">
        <v>5288</v>
      </c>
      <c r="C1009" s="7" t="s">
        <v>5289</v>
      </c>
      <c r="D1009" s="7" t="s">
        <v>5290</v>
      </c>
      <c r="E1009" s="7" t="s">
        <v>5291</v>
      </c>
      <c r="F1009" s="7" t="s">
        <v>5292</v>
      </c>
      <c r="G1009" s="7"/>
      <c r="H1009" s="46" t="s">
        <v>249</v>
      </c>
      <c r="I1009" s="7" t="s">
        <v>160</v>
      </c>
      <c r="J1009" s="7" t="s">
        <v>148</v>
      </c>
      <c r="K1009" s="7"/>
      <c r="L1009" s="7"/>
      <c r="M1009" s="7"/>
    </row>
    <row r="1010" ht="15.75" customHeight="1">
      <c r="A1010" s="7" t="s">
        <v>5293</v>
      </c>
      <c r="B1010" s="45" t="s">
        <v>5294</v>
      </c>
      <c r="C1010" s="7" t="s">
        <v>5295</v>
      </c>
      <c r="D1010" s="7" t="s">
        <v>5296</v>
      </c>
      <c r="E1010" s="7" t="s">
        <v>5297</v>
      </c>
      <c r="F1010" s="7" t="s">
        <v>1521</v>
      </c>
      <c r="G1010" s="7"/>
      <c r="H1010" s="46" t="s">
        <v>249</v>
      </c>
      <c r="I1010" s="7" t="s">
        <v>160</v>
      </c>
      <c r="J1010" s="7" t="s">
        <v>148</v>
      </c>
      <c r="K1010" s="7"/>
      <c r="L1010" s="7"/>
      <c r="M1010" s="7"/>
    </row>
    <row r="1011" ht="15.75" customHeight="1">
      <c r="A1011" s="7" t="s">
        <v>5298</v>
      </c>
      <c r="B1011" s="45" t="s">
        <v>5299</v>
      </c>
      <c r="C1011" s="7" t="s">
        <v>5295</v>
      </c>
      <c r="D1011" s="7" t="s">
        <v>5300</v>
      </c>
      <c r="E1011" s="7" t="s">
        <v>5301</v>
      </c>
      <c r="F1011" s="7" t="s">
        <v>1521</v>
      </c>
      <c r="G1011" s="7"/>
      <c r="H1011" s="46" t="s">
        <v>249</v>
      </c>
      <c r="I1011" s="7" t="s">
        <v>160</v>
      </c>
      <c r="J1011" s="7" t="s">
        <v>148</v>
      </c>
      <c r="K1011" s="7"/>
      <c r="L1011" s="7"/>
      <c r="M1011" s="7"/>
    </row>
    <row r="1012" ht="15.75" customHeight="1">
      <c r="A1012" s="7" t="s">
        <v>5302</v>
      </c>
      <c r="B1012" s="45" t="s">
        <v>5303</v>
      </c>
      <c r="C1012" s="7" t="s">
        <v>5295</v>
      </c>
      <c r="D1012" s="7" t="s">
        <v>5304</v>
      </c>
      <c r="E1012" s="7" t="s">
        <v>5297</v>
      </c>
      <c r="F1012" s="7" t="s">
        <v>1521</v>
      </c>
      <c r="G1012" s="7"/>
      <c r="H1012" s="46" t="s">
        <v>249</v>
      </c>
      <c r="I1012" s="7" t="s">
        <v>160</v>
      </c>
      <c r="J1012" s="7" t="s">
        <v>148</v>
      </c>
      <c r="K1012" s="7"/>
      <c r="L1012" s="7"/>
      <c r="M1012" s="7"/>
    </row>
    <row r="1013" ht="15.75" customHeight="1">
      <c r="A1013" s="7" t="s">
        <v>5305</v>
      </c>
      <c r="B1013" s="45" t="s">
        <v>5306</v>
      </c>
      <c r="C1013" s="7" t="s">
        <v>5295</v>
      </c>
      <c r="D1013" s="7" t="s">
        <v>5307</v>
      </c>
      <c r="E1013" s="7" t="s">
        <v>5297</v>
      </c>
      <c r="F1013" s="7" t="s">
        <v>1521</v>
      </c>
      <c r="G1013" s="7"/>
      <c r="H1013" s="46" t="s">
        <v>249</v>
      </c>
      <c r="I1013" s="7" t="s">
        <v>160</v>
      </c>
      <c r="J1013" s="7" t="s">
        <v>148</v>
      </c>
      <c r="K1013" s="7"/>
      <c r="L1013" s="7"/>
      <c r="M1013" s="7"/>
    </row>
    <row r="1014" ht="15.75" customHeight="1">
      <c r="A1014" s="7" t="s">
        <v>5308</v>
      </c>
      <c r="B1014" s="45" t="s">
        <v>5309</v>
      </c>
      <c r="C1014" s="7" t="s">
        <v>5310</v>
      </c>
      <c r="D1014" s="7" t="s">
        <v>5311</v>
      </c>
      <c r="E1014" s="7" t="s">
        <v>5312</v>
      </c>
      <c r="F1014" s="7" t="s">
        <v>5313</v>
      </c>
      <c r="G1014" s="7"/>
      <c r="H1014" s="46" t="s">
        <v>249</v>
      </c>
      <c r="I1014" s="7" t="s">
        <v>160</v>
      </c>
      <c r="J1014" s="7" t="s">
        <v>148</v>
      </c>
      <c r="K1014" s="7"/>
      <c r="L1014" s="7"/>
      <c r="M1014" s="7"/>
    </row>
    <row r="1015" ht="15.75" customHeight="1">
      <c r="A1015" s="7" t="s">
        <v>5314</v>
      </c>
      <c r="B1015" s="45" t="s">
        <v>5315</v>
      </c>
      <c r="C1015" s="7" t="s">
        <v>5310</v>
      </c>
      <c r="D1015" s="7" t="s">
        <v>5316</v>
      </c>
      <c r="E1015" s="7" t="s">
        <v>5312</v>
      </c>
      <c r="F1015" s="7" t="s">
        <v>5313</v>
      </c>
      <c r="G1015" s="7"/>
      <c r="H1015" s="46" t="s">
        <v>249</v>
      </c>
      <c r="I1015" s="7" t="s">
        <v>160</v>
      </c>
      <c r="J1015" s="7" t="s">
        <v>148</v>
      </c>
      <c r="K1015" s="7"/>
      <c r="L1015" s="7"/>
      <c r="M1015" s="7"/>
    </row>
    <row r="1016" ht="15.75" customHeight="1">
      <c r="A1016" s="7" t="s">
        <v>5317</v>
      </c>
      <c r="B1016" s="45" t="s">
        <v>5318</v>
      </c>
      <c r="C1016" s="7" t="s">
        <v>5319</v>
      </c>
      <c r="D1016" s="7" t="s">
        <v>5320</v>
      </c>
      <c r="E1016" s="7" t="s">
        <v>5312</v>
      </c>
      <c r="F1016" s="7" t="s">
        <v>5313</v>
      </c>
      <c r="G1016" s="7"/>
      <c r="H1016" s="46" t="s">
        <v>249</v>
      </c>
      <c r="I1016" s="7" t="s">
        <v>160</v>
      </c>
      <c r="J1016" s="7" t="s">
        <v>148</v>
      </c>
      <c r="K1016" s="7"/>
      <c r="L1016" s="7"/>
      <c r="M1016" s="7"/>
    </row>
    <row r="1017" ht="15.75" customHeight="1">
      <c r="A1017" s="7" t="s">
        <v>5321</v>
      </c>
      <c r="B1017" s="45" t="s">
        <v>5322</v>
      </c>
      <c r="C1017" s="7" t="s">
        <v>5319</v>
      </c>
      <c r="D1017" s="7" t="s">
        <v>5323</v>
      </c>
      <c r="E1017" s="7" t="s">
        <v>5312</v>
      </c>
      <c r="F1017" s="7" t="s">
        <v>5313</v>
      </c>
      <c r="G1017" s="7"/>
      <c r="H1017" s="46" t="s">
        <v>249</v>
      </c>
      <c r="I1017" s="7" t="s">
        <v>160</v>
      </c>
      <c r="J1017" s="7" t="s">
        <v>148</v>
      </c>
      <c r="K1017" s="7"/>
      <c r="L1017" s="7"/>
      <c r="M1017" s="7"/>
    </row>
    <row r="1018" ht="15.75" customHeight="1">
      <c r="A1018" s="7" t="s">
        <v>5324</v>
      </c>
      <c r="B1018" s="45" t="s">
        <v>5325</v>
      </c>
      <c r="C1018" s="7" t="s">
        <v>5310</v>
      </c>
      <c r="D1018" s="7" t="s">
        <v>5326</v>
      </c>
      <c r="E1018" s="7" t="s">
        <v>5312</v>
      </c>
      <c r="F1018" s="7" t="s">
        <v>5313</v>
      </c>
      <c r="G1018" s="7"/>
      <c r="H1018" s="46" t="s">
        <v>249</v>
      </c>
      <c r="I1018" s="7" t="s">
        <v>160</v>
      </c>
      <c r="J1018" s="7" t="s">
        <v>148</v>
      </c>
      <c r="K1018" s="7"/>
      <c r="L1018" s="7"/>
      <c r="M1018" s="7"/>
    </row>
    <row r="1019" ht="15.75" customHeight="1">
      <c r="A1019" s="7" t="s">
        <v>5327</v>
      </c>
      <c r="B1019" s="45" t="s">
        <v>5328</v>
      </c>
      <c r="C1019" s="7" t="s">
        <v>5310</v>
      </c>
      <c r="D1019" s="7" t="s">
        <v>5329</v>
      </c>
      <c r="E1019" s="7" t="s">
        <v>5312</v>
      </c>
      <c r="F1019" s="7" t="s">
        <v>5313</v>
      </c>
      <c r="G1019" s="7"/>
      <c r="H1019" s="46" t="s">
        <v>249</v>
      </c>
      <c r="I1019" s="7" t="s">
        <v>160</v>
      </c>
      <c r="J1019" s="7" t="s">
        <v>148</v>
      </c>
      <c r="K1019" s="7"/>
      <c r="L1019" s="7"/>
      <c r="M1019" s="7"/>
    </row>
    <row r="1020" ht="15.75" customHeight="1">
      <c r="A1020" s="7" t="s">
        <v>5330</v>
      </c>
      <c r="B1020" s="45" t="s">
        <v>5331</v>
      </c>
      <c r="C1020" s="7" t="s">
        <v>5310</v>
      </c>
      <c r="D1020" s="7" t="s">
        <v>5332</v>
      </c>
      <c r="E1020" s="7" t="s">
        <v>5312</v>
      </c>
      <c r="F1020" s="7" t="s">
        <v>5313</v>
      </c>
      <c r="G1020" s="7"/>
      <c r="H1020" s="46" t="s">
        <v>249</v>
      </c>
      <c r="I1020" s="7" t="s">
        <v>160</v>
      </c>
      <c r="J1020" s="7" t="s">
        <v>148</v>
      </c>
      <c r="K1020" s="7"/>
      <c r="L1020" s="7"/>
      <c r="M1020" s="7"/>
    </row>
    <row r="1021" ht="15.75" customHeight="1">
      <c r="A1021" s="7" t="s">
        <v>5333</v>
      </c>
      <c r="B1021" s="45" t="s">
        <v>5334</v>
      </c>
      <c r="C1021" s="7" t="s">
        <v>5319</v>
      </c>
      <c r="D1021" s="7" t="s">
        <v>5335</v>
      </c>
      <c r="E1021" s="7" t="s">
        <v>5312</v>
      </c>
      <c r="F1021" s="7" t="s">
        <v>5313</v>
      </c>
      <c r="G1021" s="7"/>
      <c r="H1021" s="46" t="s">
        <v>249</v>
      </c>
      <c r="I1021" s="7" t="s">
        <v>160</v>
      </c>
      <c r="J1021" s="7" t="s">
        <v>148</v>
      </c>
      <c r="K1021" s="7"/>
      <c r="L1021" s="7"/>
      <c r="M1021" s="7"/>
    </row>
    <row r="1022" ht="15.75" customHeight="1">
      <c r="A1022" s="7" t="s">
        <v>5336</v>
      </c>
      <c r="B1022" s="45" t="s">
        <v>5337</v>
      </c>
      <c r="C1022" s="7" t="s">
        <v>5338</v>
      </c>
      <c r="D1022" s="7" t="s">
        <v>5339</v>
      </c>
      <c r="E1022" s="7" t="s">
        <v>5312</v>
      </c>
      <c r="F1022" s="7" t="s">
        <v>5313</v>
      </c>
      <c r="G1022" s="7"/>
      <c r="H1022" s="46" t="s">
        <v>249</v>
      </c>
      <c r="I1022" s="7" t="s">
        <v>160</v>
      </c>
      <c r="J1022" s="7" t="s">
        <v>148</v>
      </c>
      <c r="K1022" s="7"/>
      <c r="L1022" s="7"/>
      <c r="M1022" s="7"/>
    </row>
    <row r="1023" ht="15.75" customHeight="1">
      <c r="A1023" s="7" t="s">
        <v>5340</v>
      </c>
      <c r="B1023" s="45" t="s">
        <v>5341</v>
      </c>
      <c r="C1023" s="7" t="s">
        <v>5319</v>
      </c>
      <c r="D1023" s="7" t="s">
        <v>5342</v>
      </c>
      <c r="E1023" s="7" t="s">
        <v>5312</v>
      </c>
      <c r="F1023" s="7" t="s">
        <v>5313</v>
      </c>
      <c r="G1023" s="7"/>
      <c r="H1023" s="46" t="s">
        <v>249</v>
      </c>
      <c r="I1023" s="7" t="s">
        <v>160</v>
      </c>
      <c r="J1023" s="7" t="s">
        <v>148</v>
      </c>
      <c r="K1023" s="7"/>
      <c r="L1023" s="7"/>
      <c r="M1023" s="7"/>
    </row>
    <row r="1024" ht="15.75" customHeight="1">
      <c r="A1024" s="7" t="s">
        <v>5343</v>
      </c>
      <c r="B1024" s="45" t="s">
        <v>5344</v>
      </c>
      <c r="C1024" s="7" t="s">
        <v>5310</v>
      </c>
      <c r="D1024" s="7" t="s">
        <v>5345</v>
      </c>
      <c r="E1024" s="7" t="s">
        <v>5312</v>
      </c>
      <c r="F1024" s="7" t="s">
        <v>5313</v>
      </c>
      <c r="G1024" s="7"/>
      <c r="H1024" s="46" t="s">
        <v>249</v>
      </c>
      <c r="I1024" s="7" t="s">
        <v>160</v>
      </c>
      <c r="J1024" s="7" t="s">
        <v>148</v>
      </c>
      <c r="K1024" s="7"/>
      <c r="L1024" s="7"/>
      <c r="M1024" s="7"/>
    </row>
    <row r="1025" ht="15.75" customHeight="1">
      <c r="A1025" s="7" t="s">
        <v>5346</v>
      </c>
      <c r="B1025" s="45" t="s">
        <v>5347</v>
      </c>
      <c r="C1025" s="7" t="s">
        <v>5310</v>
      </c>
      <c r="D1025" s="7" t="s">
        <v>5348</v>
      </c>
      <c r="E1025" s="7" t="s">
        <v>5312</v>
      </c>
      <c r="F1025" s="7" t="s">
        <v>5313</v>
      </c>
      <c r="G1025" s="7"/>
      <c r="H1025" s="46" t="s">
        <v>249</v>
      </c>
      <c r="I1025" s="7" t="s">
        <v>160</v>
      </c>
      <c r="J1025" s="7" t="s">
        <v>148</v>
      </c>
      <c r="K1025" s="7"/>
      <c r="L1025" s="7"/>
      <c r="M1025" s="7"/>
    </row>
    <row r="1026" ht="15.75" customHeight="1">
      <c r="A1026" s="7" t="s">
        <v>5349</v>
      </c>
      <c r="B1026" s="45" t="s">
        <v>5350</v>
      </c>
      <c r="C1026" s="7" t="s">
        <v>5319</v>
      </c>
      <c r="D1026" s="7" t="s">
        <v>5351</v>
      </c>
      <c r="E1026" s="7" t="s">
        <v>5312</v>
      </c>
      <c r="F1026" s="7" t="s">
        <v>5313</v>
      </c>
      <c r="G1026" s="7"/>
      <c r="H1026" s="46" t="s">
        <v>249</v>
      </c>
      <c r="I1026" s="7" t="s">
        <v>160</v>
      </c>
      <c r="J1026" s="7" t="s">
        <v>148</v>
      </c>
      <c r="K1026" s="7"/>
      <c r="L1026" s="7"/>
      <c r="M1026" s="7"/>
    </row>
    <row r="1027" ht="15.75" customHeight="1">
      <c r="A1027" s="7" t="s">
        <v>5352</v>
      </c>
      <c r="B1027" s="45" t="s">
        <v>5353</v>
      </c>
      <c r="C1027" s="7" t="s">
        <v>5310</v>
      </c>
      <c r="D1027" s="7" t="s">
        <v>5354</v>
      </c>
      <c r="E1027" s="7" t="s">
        <v>5312</v>
      </c>
      <c r="F1027" s="7" t="s">
        <v>5313</v>
      </c>
      <c r="G1027" s="7"/>
      <c r="H1027" s="46" t="s">
        <v>249</v>
      </c>
      <c r="I1027" s="7" t="s">
        <v>160</v>
      </c>
      <c r="J1027" s="7" t="s">
        <v>148</v>
      </c>
      <c r="K1027" s="7"/>
      <c r="L1027" s="7"/>
      <c r="M1027" s="7"/>
    </row>
    <row r="1028" ht="15.75" customHeight="1">
      <c r="A1028" s="7" t="s">
        <v>5355</v>
      </c>
      <c r="B1028" s="45" t="s">
        <v>5356</v>
      </c>
      <c r="C1028" s="7" t="s">
        <v>5310</v>
      </c>
      <c r="D1028" s="7" t="s">
        <v>5357</v>
      </c>
      <c r="E1028" s="7" t="s">
        <v>5312</v>
      </c>
      <c r="F1028" s="7" t="s">
        <v>5313</v>
      </c>
      <c r="G1028" s="7"/>
      <c r="H1028" s="46" t="s">
        <v>249</v>
      </c>
      <c r="I1028" s="7" t="s">
        <v>160</v>
      </c>
      <c r="J1028" s="7" t="s">
        <v>148</v>
      </c>
      <c r="K1028" s="7"/>
      <c r="L1028" s="7"/>
      <c r="M1028" s="7"/>
    </row>
    <row r="1029" ht="15.75" customHeight="1">
      <c r="A1029" s="7" t="s">
        <v>5358</v>
      </c>
      <c r="B1029" s="45" t="s">
        <v>5359</v>
      </c>
      <c r="C1029" s="7" t="s">
        <v>5310</v>
      </c>
      <c r="D1029" s="7" t="s">
        <v>5360</v>
      </c>
      <c r="E1029" s="7" t="s">
        <v>5312</v>
      </c>
      <c r="F1029" s="7" t="s">
        <v>5313</v>
      </c>
      <c r="G1029" s="7"/>
      <c r="H1029" s="46" t="s">
        <v>249</v>
      </c>
      <c r="I1029" s="7" t="s">
        <v>160</v>
      </c>
      <c r="J1029" s="7" t="s">
        <v>148</v>
      </c>
      <c r="K1029" s="7"/>
      <c r="L1029" s="7"/>
      <c r="M1029" s="7"/>
    </row>
    <row r="1030" ht="15.75" customHeight="1">
      <c r="A1030" s="7" t="s">
        <v>5361</v>
      </c>
      <c r="B1030" s="45" t="s">
        <v>5362</v>
      </c>
      <c r="C1030" s="7" t="s">
        <v>5310</v>
      </c>
      <c r="D1030" s="7" t="s">
        <v>5363</v>
      </c>
      <c r="E1030" s="7" t="s">
        <v>5312</v>
      </c>
      <c r="F1030" s="7" t="s">
        <v>5313</v>
      </c>
      <c r="G1030" s="7"/>
      <c r="H1030" s="46" t="s">
        <v>249</v>
      </c>
      <c r="I1030" s="7" t="s">
        <v>160</v>
      </c>
      <c r="J1030" s="7" t="s">
        <v>148</v>
      </c>
      <c r="K1030" s="7"/>
      <c r="L1030" s="7"/>
      <c r="M1030" s="7"/>
    </row>
    <row r="1031" ht="15.75" customHeight="1">
      <c r="A1031" s="7" t="s">
        <v>5364</v>
      </c>
      <c r="B1031" s="45" t="s">
        <v>5365</v>
      </c>
      <c r="C1031" s="7" t="s">
        <v>5310</v>
      </c>
      <c r="D1031" s="7" t="s">
        <v>5366</v>
      </c>
      <c r="E1031" s="7" t="s">
        <v>5312</v>
      </c>
      <c r="F1031" s="7" t="s">
        <v>5313</v>
      </c>
      <c r="G1031" s="7"/>
      <c r="H1031" s="46" t="s">
        <v>249</v>
      </c>
      <c r="I1031" s="7" t="s">
        <v>160</v>
      </c>
      <c r="J1031" s="7" t="s">
        <v>148</v>
      </c>
      <c r="K1031" s="7"/>
      <c r="L1031" s="7"/>
      <c r="M1031" s="7"/>
    </row>
    <row r="1032" ht="15.75" customHeight="1">
      <c r="A1032" s="7" t="s">
        <v>5367</v>
      </c>
      <c r="B1032" s="45" t="s">
        <v>5368</v>
      </c>
      <c r="C1032" s="7" t="s">
        <v>5310</v>
      </c>
      <c r="D1032" s="7" t="s">
        <v>5369</v>
      </c>
      <c r="E1032" s="7" t="s">
        <v>5312</v>
      </c>
      <c r="F1032" s="7" t="s">
        <v>5313</v>
      </c>
      <c r="G1032" s="7"/>
      <c r="H1032" s="46" t="s">
        <v>249</v>
      </c>
      <c r="I1032" s="7" t="s">
        <v>160</v>
      </c>
      <c r="J1032" s="7" t="s">
        <v>148</v>
      </c>
      <c r="K1032" s="7"/>
      <c r="L1032" s="7"/>
      <c r="M1032" s="7"/>
    </row>
    <row r="1033" ht="15.75" customHeight="1">
      <c r="A1033" s="7" t="s">
        <v>5370</v>
      </c>
      <c r="B1033" s="45" t="s">
        <v>5371</v>
      </c>
      <c r="C1033" s="7" t="s">
        <v>5372</v>
      </c>
      <c r="D1033" s="7" t="s">
        <v>5373</v>
      </c>
      <c r="E1033" s="7" t="s">
        <v>5374</v>
      </c>
      <c r="F1033" s="7" t="s">
        <v>5375</v>
      </c>
      <c r="G1033" s="7"/>
      <c r="H1033" s="46" t="s">
        <v>249</v>
      </c>
      <c r="I1033" s="7" t="s">
        <v>160</v>
      </c>
      <c r="J1033" s="7" t="s">
        <v>148</v>
      </c>
      <c r="K1033" s="7"/>
      <c r="L1033" s="7"/>
      <c r="M1033" s="7"/>
    </row>
    <row r="1034" ht="15.75" customHeight="1">
      <c r="A1034" s="7" t="s">
        <v>5376</v>
      </c>
      <c r="B1034" s="45" t="s">
        <v>5377</v>
      </c>
      <c r="C1034" s="7" t="s">
        <v>5378</v>
      </c>
      <c r="D1034" s="7" t="s">
        <v>5379</v>
      </c>
      <c r="E1034" s="7" t="s">
        <v>5380</v>
      </c>
      <c r="F1034" s="7" t="s">
        <v>5381</v>
      </c>
      <c r="G1034" s="7"/>
      <c r="H1034" s="46" t="s">
        <v>249</v>
      </c>
      <c r="I1034" s="7" t="s">
        <v>160</v>
      </c>
      <c r="J1034" s="7" t="s">
        <v>148</v>
      </c>
      <c r="K1034" s="7"/>
      <c r="L1034" s="7"/>
      <c r="M1034" s="7"/>
    </row>
    <row r="1035" ht="15.75" customHeight="1">
      <c r="A1035" s="7" t="s">
        <v>5382</v>
      </c>
      <c r="B1035" s="45" t="s">
        <v>5383</v>
      </c>
      <c r="C1035" s="7" t="s">
        <v>5384</v>
      </c>
      <c r="D1035" s="7" t="s">
        <v>5385</v>
      </c>
      <c r="E1035" s="7" t="s">
        <v>5386</v>
      </c>
      <c r="F1035" s="7" t="s">
        <v>5387</v>
      </c>
      <c r="G1035" s="7"/>
      <c r="H1035" s="46" t="s">
        <v>249</v>
      </c>
      <c r="I1035" s="7" t="s">
        <v>160</v>
      </c>
      <c r="J1035" s="7" t="s">
        <v>148</v>
      </c>
      <c r="K1035" s="7"/>
      <c r="L1035" s="7"/>
      <c r="M1035" s="7"/>
    </row>
    <row r="1036" ht="15.75" customHeight="1">
      <c r="A1036" s="7" t="s">
        <v>5388</v>
      </c>
      <c r="B1036" s="45" t="s">
        <v>5389</v>
      </c>
      <c r="C1036" s="7" t="s">
        <v>5384</v>
      </c>
      <c r="D1036" s="7" t="s">
        <v>5390</v>
      </c>
      <c r="E1036" s="7" t="s">
        <v>5386</v>
      </c>
      <c r="F1036" s="7" t="s">
        <v>5391</v>
      </c>
      <c r="G1036" s="7"/>
      <c r="H1036" s="46" t="s">
        <v>249</v>
      </c>
      <c r="I1036" s="7" t="s">
        <v>160</v>
      </c>
      <c r="J1036" s="7" t="s">
        <v>148</v>
      </c>
      <c r="K1036" s="7"/>
      <c r="L1036" s="7"/>
      <c r="M1036" s="7"/>
    </row>
    <row r="1037" ht="15.75" customHeight="1">
      <c r="A1037" s="7" t="s">
        <v>5392</v>
      </c>
      <c r="B1037" s="45" t="s">
        <v>5393</v>
      </c>
      <c r="C1037" s="7" t="s">
        <v>5384</v>
      </c>
      <c r="D1037" s="7" t="s">
        <v>5394</v>
      </c>
      <c r="E1037" s="7" t="s">
        <v>5386</v>
      </c>
      <c r="F1037" s="7" t="s">
        <v>5391</v>
      </c>
      <c r="G1037" s="7"/>
      <c r="H1037" s="46" t="s">
        <v>249</v>
      </c>
      <c r="I1037" s="7" t="s">
        <v>160</v>
      </c>
      <c r="J1037" s="7" t="s">
        <v>148</v>
      </c>
      <c r="K1037" s="7"/>
      <c r="L1037" s="7"/>
      <c r="M1037" s="7"/>
    </row>
    <row r="1038" ht="15.75" customHeight="1">
      <c r="A1038" s="7" t="s">
        <v>5395</v>
      </c>
      <c r="B1038" s="45" t="s">
        <v>5396</v>
      </c>
      <c r="C1038" s="7" t="s">
        <v>5384</v>
      </c>
      <c r="D1038" s="7" t="s">
        <v>5397</v>
      </c>
      <c r="E1038" s="7" t="s">
        <v>5386</v>
      </c>
      <c r="F1038" s="7" t="s">
        <v>5387</v>
      </c>
      <c r="G1038" s="7"/>
      <c r="H1038" s="46" t="s">
        <v>249</v>
      </c>
      <c r="I1038" s="7" t="s">
        <v>160</v>
      </c>
      <c r="J1038" s="7" t="s">
        <v>148</v>
      </c>
      <c r="K1038" s="7"/>
      <c r="L1038" s="7"/>
      <c r="M1038" s="7"/>
    </row>
    <row r="1039" ht="15.75" customHeight="1">
      <c r="A1039" s="7" t="s">
        <v>5398</v>
      </c>
      <c r="B1039" s="45" t="s">
        <v>5399</v>
      </c>
      <c r="C1039" s="7" t="s">
        <v>5400</v>
      </c>
      <c r="D1039" s="7" t="s">
        <v>5390</v>
      </c>
      <c r="E1039" s="7" t="s">
        <v>5386</v>
      </c>
      <c r="F1039" s="7" t="s">
        <v>5391</v>
      </c>
      <c r="G1039" s="7"/>
      <c r="H1039" s="46" t="s">
        <v>249</v>
      </c>
      <c r="I1039" s="7" t="s">
        <v>160</v>
      </c>
      <c r="J1039" s="7" t="s">
        <v>148</v>
      </c>
      <c r="K1039" s="7"/>
      <c r="L1039" s="7"/>
      <c r="M1039" s="7"/>
    </row>
    <row r="1040" ht="15.75" customHeight="1">
      <c r="A1040" s="7" t="s">
        <v>5401</v>
      </c>
      <c r="B1040" s="45" t="s">
        <v>5402</v>
      </c>
      <c r="C1040" s="7" t="s">
        <v>5403</v>
      </c>
      <c r="D1040" s="7" t="s">
        <v>5404</v>
      </c>
      <c r="E1040" s="7" t="s">
        <v>5405</v>
      </c>
      <c r="F1040" s="7" t="s">
        <v>5406</v>
      </c>
      <c r="G1040" s="7" t="s">
        <v>5407</v>
      </c>
      <c r="H1040" s="46" t="s">
        <v>249</v>
      </c>
      <c r="I1040" s="7" t="s">
        <v>160</v>
      </c>
      <c r="J1040" s="7" t="s">
        <v>148</v>
      </c>
      <c r="K1040" s="7"/>
      <c r="L1040" s="7"/>
      <c r="M1040" s="7"/>
    </row>
    <row r="1041" ht="15.75" customHeight="1">
      <c r="A1041" s="7" t="s">
        <v>5408</v>
      </c>
      <c r="B1041" s="45" t="s">
        <v>5409</v>
      </c>
      <c r="C1041" s="7" t="s">
        <v>5410</v>
      </c>
      <c r="D1041" s="7" t="s">
        <v>5411</v>
      </c>
      <c r="E1041" s="7" t="s">
        <v>5412</v>
      </c>
      <c r="F1041" s="7" t="s">
        <v>5413</v>
      </c>
      <c r="G1041" s="7"/>
      <c r="H1041" s="46" t="s">
        <v>249</v>
      </c>
      <c r="I1041" s="7" t="s">
        <v>160</v>
      </c>
      <c r="J1041" s="7" t="s">
        <v>148</v>
      </c>
      <c r="K1041" s="7"/>
      <c r="L1041" s="7"/>
      <c r="M1041" s="7"/>
    </row>
    <row r="1042" ht="15.75" customHeight="1">
      <c r="A1042" s="7" t="s">
        <v>5414</v>
      </c>
      <c r="B1042" s="45" t="s">
        <v>5415</v>
      </c>
      <c r="C1042" s="7" t="s">
        <v>5416</v>
      </c>
      <c r="D1042" s="7" t="s">
        <v>5417</v>
      </c>
      <c r="E1042" s="7" t="s">
        <v>5418</v>
      </c>
      <c r="F1042" s="7" t="s">
        <v>5419</v>
      </c>
      <c r="G1042" s="7"/>
      <c r="H1042" s="46" t="s">
        <v>249</v>
      </c>
      <c r="I1042" s="7" t="s">
        <v>160</v>
      </c>
      <c r="J1042" s="7" t="s">
        <v>148</v>
      </c>
      <c r="K1042" s="7"/>
      <c r="L1042" s="7"/>
      <c r="M1042" s="7"/>
    </row>
    <row r="1043" ht="15.75" customHeight="1">
      <c r="A1043" s="7" t="s">
        <v>5420</v>
      </c>
      <c r="B1043" s="45" t="s">
        <v>5421</v>
      </c>
      <c r="C1043" s="7" t="s">
        <v>5422</v>
      </c>
      <c r="D1043" s="7" t="s">
        <v>5423</v>
      </c>
      <c r="E1043" s="7" t="s">
        <v>5418</v>
      </c>
      <c r="F1043" s="7" t="s">
        <v>5419</v>
      </c>
      <c r="G1043" s="7"/>
      <c r="H1043" s="46" t="s">
        <v>249</v>
      </c>
      <c r="I1043" s="7" t="s">
        <v>160</v>
      </c>
      <c r="J1043" s="7" t="s">
        <v>148</v>
      </c>
      <c r="K1043" s="7"/>
      <c r="L1043" s="7"/>
      <c r="M1043" s="7"/>
    </row>
    <row r="1044" ht="15.75" customHeight="1">
      <c r="A1044" s="7" t="s">
        <v>5424</v>
      </c>
      <c r="B1044" s="45" t="s">
        <v>5425</v>
      </c>
      <c r="C1044" s="7" t="s">
        <v>5426</v>
      </c>
      <c r="D1044" s="7" t="s">
        <v>5427</v>
      </c>
      <c r="E1044" s="7" t="s">
        <v>5428</v>
      </c>
      <c r="F1044" s="7" t="s">
        <v>5429</v>
      </c>
      <c r="G1044" s="7"/>
      <c r="H1044" s="46" t="s">
        <v>249</v>
      </c>
      <c r="I1044" s="7" t="s">
        <v>160</v>
      </c>
      <c r="J1044" s="7" t="s">
        <v>148</v>
      </c>
      <c r="K1044" s="7"/>
      <c r="L1044" s="7"/>
      <c r="M1044" s="7"/>
    </row>
    <row r="1045" ht="15.75" customHeight="1">
      <c r="A1045" s="7" t="s">
        <v>5430</v>
      </c>
      <c r="B1045" s="45" t="s">
        <v>5431</v>
      </c>
      <c r="C1045" s="7" t="s">
        <v>5432</v>
      </c>
      <c r="D1045" s="7" t="s">
        <v>5433</v>
      </c>
      <c r="E1045" s="7" t="s">
        <v>5434</v>
      </c>
      <c r="F1045" s="7" t="s">
        <v>5435</v>
      </c>
      <c r="G1045" s="7"/>
      <c r="H1045" s="46" t="s">
        <v>249</v>
      </c>
      <c r="I1045" s="7" t="s">
        <v>160</v>
      </c>
      <c r="J1045" s="7" t="s">
        <v>148</v>
      </c>
      <c r="K1045" s="7"/>
      <c r="L1045" s="7"/>
      <c r="M1045" s="7"/>
    </row>
    <row r="1046" ht="15.75" customHeight="1">
      <c r="A1046" s="7" t="s">
        <v>5436</v>
      </c>
      <c r="B1046" s="45" t="s">
        <v>5437</v>
      </c>
      <c r="C1046" s="7" t="s">
        <v>5438</v>
      </c>
      <c r="D1046" s="7" t="s">
        <v>5439</v>
      </c>
      <c r="E1046" s="7" t="s">
        <v>5434</v>
      </c>
      <c r="F1046" s="7" t="s">
        <v>5435</v>
      </c>
      <c r="G1046" s="7"/>
      <c r="H1046" s="46" t="s">
        <v>249</v>
      </c>
      <c r="I1046" s="7" t="s">
        <v>160</v>
      </c>
      <c r="J1046" s="7" t="s">
        <v>148</v>
      </c>
      <c r="K1046" s="7"/>
      <c r="L1046" s="7"/>
      <c r="M1046" s="7"/>
    </row>
    <row r="1047" ht="15.75" customHeight="1">
      <c r="A1047" s="7" t="s">
        <v>5440</v>
      </c>
      <c r="B1047" s="45" t="s">
        <v>5441</v>
      </c>
      <c r="C1047" s="7" t="s">
        <v>5442</v>
      </c>
      <c r="D1047" s="7" t="s">
        <v>5443</v>
      </c>
      <c r="E1047" s="7" t="s">
        <v>5444</v>
      </c>
      <c r="F1047" s="7" t="s">
        <v>5445</v>
      </c>
      <c r="G1047" s="7"/>
      <c r="H1047" s="46" t="s">
        <v>249</v>
      </c>
      <c r="I1047" s="7" t="s">
        <v>160</v>
      </c>
      <c r="J1047" s="7" t="s">
        <v>148</v>
      </c>
      <c r="K1047" s="7"/>
      <c r="L1047" s="7"/>
      <c r="M1047" s="7"/>
    </row>
    <row r="1048" ht="15.75" customHeight="1">
      <c r="A1048" s="7" t="s">
        <v>5446</v>
      </c>
      <c r="B1048" s="45" t="s">
        <v>5447</v>
      </c>
      <c r="C1048" s="7" t="s">
        <v>5448</v>
      </c>
      <c r="D1048" s="7" t="s">
        <v>5449</v>
      </c>
      <c r="E1048" s="7" t="s">
        <v>5450</v>
      </c>
      <c r="F1048" s="7" t="s">
        <v>5451</v>
      </c>
      <c r="G1048" s="7"/>
      <c r="H1048" s="46" t="s">
        <v>249</v>
      </c>
      <c r="I1048" s="7" t="s">
        <v>160</v>
      </c>
      <c r="J1048" s="7" t="s">
        <v>148</v>
      </c>
      <c r="K1048" s="7"/>
      <c r="L1048" s="7"/>
      <c r="M1048" s="7"/>
    </row>
    <row r="1049" ht="15.75" customHeight="1">
      <c r="A1049" s="7" t="s">
        <v>5452</v>
      </c>
      <c r="B1049" s="45" t="s">
        <v>5453</v>
      </c>
      <c r="C1049" s="7" t="s">
        <v>5454</v>
      </c>
      <c r="D1049" s="7" t="s">
        <v>5455</v>
      </c>
      <c r="E1049" s="7" t="s">
        <v>5456</v>
      </c>
      <c r="F1049" s="7" t="s">
        <v>5457</v>
      </c>
      <c r="G1049" s="7"/>
      <c r="H1049" s="46" t="s">
        <v>249</v>
      </c>
      <c r="I1049" s="7" t="s">
        <v>160</v>
      </c>
      <c r="J1049" s="7" t="s">
        <v>148</v>
      </c>
      <c r="K1049" s="7"/>
      <c r="L1049" s="7"/>
      <c r="M1049" s="7"/>
    </row>
    <row r="1050" ht="15.75" customHeight="1">
      <c r="A1050" s="7" t="s">
        <v>5458</v>
      </c>
      <c r="B1050" s="45" t="s">
        <v>5459</v>
      </c>
      <c r="C1050" s="7" t="s">
        <v>5460</v>
      </c>
      <c r="D1050" s="7" t="s">
        <v>5461</v>
      </c>
      <c r="E1050" s="7" t="s">
        <v>5462</v>
      </c>
      <c r="F1050" s="7" t="s">
        <v>5463</v>
      </c>
      <c r="G1050" s="7"/>
      <c r="H1050" s="46" t="s">
        <v>249</v>
      </c>
      <c r="I1050" s="7" t="s">
        <v>160</v>
      </c>
      <c r="J1050" s="7" t="s">
        <v>148</v>
      </c>
      <c r="K1050" s="7"/>
      <c r="L1050" s="7"/>
      <c r="M1050" s="7"/>
    </row>
    <row r="1051" ht="15.75" customHeight="1">
      <c r="A1051" s="7" t="s">
        <v>5464</v>
      </c>
      <c r="B1051" s="45" t="s">
        <v>5465</v>
      </c>
      <c r="C1051" s="7" t="s">
        <v>5466</v>
      </c>
      <c r="D1051" s="7" t="s">
        <v>5467</v>
      </c>
      <c r="E1051" s="7" t="s">
        <v>5468</v>
      </c>
      <c r="F1051" s="7" t="s">
        <v>5469</v>
      </c>
      <c r="G1051" s="7"/>
      <c r="H1051" s="46" t="s">
        <v>249</v>
      </c>
      <c r="I1051" s="7" t="s">
        <v>160</v>
      </c>
      <c r="J1051" s="7" t="s">
        <v>148</v>
      </c>
      <c r="K1051" s="7"/>
      <c r="L1051" s="7"/>
      <c r="M1051" s="7"/>
    </row>
    <row r="1052" ht="15.75" customHeight="1">
      <c r="A1052" s="7" t="s">
        <v>5470</v>
      </c>
      <c r="B1052" s="45" t="s">
        <v>5471</v>
      </c>
      <c r="C1052" s="7" t="s">
        <v>5466</v>
      </c>
      <c r="D1052" s="7" t="s">
        <v>5472</v>
      </c>
      <c r="E1052" s="7" t="s">
        <v>5473</v>
      </c>
      <c r="F1052" s="7" t="s">
        <v>5474</v>
      </c>
      <c r="G1052" s="7"/>
      <c r="H1052" s="46" t="s">
        <v>249</v>
      </c>
      <c r="I1052" s="7" t="s">
        <v>160</v>
      </c>
      <c r="J1052" s="7" t="s">
        <v>148</v>
      </c>
      <c r="K1052" s="7"/>
      <c r="L1052" s="7"/>
      <c r="M1052" s="7"/>
    </row>
    <row r="1053" ht="15.75" customHeight="1">
      <c r="A1053" s="7" t="s">
        <v>5475</v>
      </c>
      <c r="B1053" s="45" t="s">
        <v>5476</v>
      </c>
      <c r="C1053" s="7" t="s">
        <v>5477</v>
      </c>
      <c r="D1053" s="7" t="s">
        <v>5478</v>
      </c>
      <c r="E1053" s="7" t="s">
        <v>5479</v>
      </c>
      <c r="F1053" s="7" t="s">
        <v>5480</v>
      </c>
      <c r="G1053" s="7"/>
      <c r="H1053" s="46" t="s">
        <v>249</v>
      </c>
      <c r="I1053" s="7" t="s">
        <v>160</v>
      </c>
      <c r="J1053" s="7" t="s">
        <v>148</v>
      </c>
      <c r="K1053" s="7"/>
      <c r="L1053" s="7"/>
      <c r="M1053" s="7"/>
    </row>
    <row r="1054" ht="15.75" customHeight="1">
      <c r="A1054" s="7" t="s">
        <v>5481</v>
      </c>
      <c r="B1054" s="45" t="s">
        <v>5482</v>
      </c>
      <c r="C1054" s="7" t="s">
        <v>5483</v>
      </c>
      <c r="D1054" s="7" t="s">
        <v>5484</v>
      </c>
      <c r="E1054" s="7" t="s">
        <v>5485</v>
      </c>
      <c r="F1054" s="7" t="s">
        <v>5486</v>
      </c>
      <c r="G1054" s="7"/>
      <c r="H1054" s="46" t="s">
        <v>249</v>
      </c>
      <c r="I1054" s="7" t="s">
        <v>160</v>
      </c>
      <c r="J1054" s="7" t="s">
        <v>148</v>
      </c>
      <c r="K1054" s="7"/>
      <c r="L1054" s="7"/>
      <c r="M1054" s="7"/>
    </row>
    <row r="1055" ht="15.75" customHeight="1">
      <c r="A1055" s="7" t="s">
        <v>5487</v>
      </c>
      <c r="B1055" s="45" t="s">
        <v>5488</v>
      </c>
      <c r="C1055" s="7" t="s">
        <v>5489</v>
      </c>
      <c r="D1055" s="7" t="s">
        <v>5490</v>
      </c>
      <c r="E1055" s="7" t="s">
        <v>5491</v>
      </c>
      <c r="F1055" s="7" t="s">
        <v>5492</v>
      </c>
      <c r="G1055" s="7" t="s">
        <v>5493</v>
      </c>
      <c r="H1055" s="46" t="s">
        <v>249</v>
      </c>
      <c r="I1055" s="7" t="s">
        <v>160</v>
      </c>
      <c r="J1055" s="7" t="s">
        <v>148</v>
      </c>
      <c r="K1055" s="7"/>
      <c r="L1055" s="7"/>
      <c r="M1055" s="7"/>
    </row>
    <row r="1056" ht="15.75" customHeight="1">
      <c r="A1056" s="7" t="s">
        <v>5494</v>
      </c>
      <c r="B1056" s="45" t="s">
        <v>5495</v>
      </c>
      <c r="C1056" s="7" t="s">
        <v>5496</v>
      </c>
      <c r="D1056" s="7" t="s">
        <v>5497</v>
      </c>
      <c r="E1056" s="7" t="s">
        <v>5498</v>
      </c>
      <c r="F1056" s="7" t="s">
        <v>5499</v>
      </c>
      <c r="G1056" s="7"/>
      <c r="H1056" s="46" t="s">
        <v>249</v>
      </c>
      <c r="I1056" s="7" t="s">
        <v>160</v>
      </c>
      <c r="J1056" s="7" t="s">
        <v>148</v>
      </c>
      <c r="K1056" s="7"/>
      <c r="L1056" s="7"/>
      <c r="M1056" s="7"/>
    </row>
    <row r="1057" ht="15.75" customHeight="1">
      <c r="A1057" s="7" t="s">
        <v>5500</v>
      </c>
      <c r="B1057" s="45" t="s">
        <v>5501</v>
      </c>
      <c r="C1057" s="7" t="s">
        <v>5502</v>
      </c>
      <c r="D1057" s="7" t="s">
        <v>5503</v>
      </c>
      <c r="E1057" s="7" t="s">
        <v>5504</v>
      </c>
      <c r="F1057" s="7" t="s">
        <v>5505</v>
      </c>
      <c r="G1057" s="7"/>
      <c r="H1057" s="46" t="s">
        <v>249</v>
      </c>
      <c r="I1057" s="7" t="s">
        <v>160</v>
      </c>
      <c r="J1057" s="7" t="s">
        <v>148</v>
      </c>
      <c r="K1057" s="7"/>
      <c r="L1057" s="7"/>
      <c r="M1057" s="7"/>
    </row>
    <row r="1058" ht="15.75" customHeight="1">
      <c r="A1058" s="7" t="s">
        <v>5506</v>
      </c>
      <c r="B1058" s="45" t="s">
        <v>5507</v>
      </c>
      <c r="C1058" s="7" t="s">
        <v>5508</v>
      </c>
      <c r="D1058" s="7" t="s">
        <v>5509</v>
      </c>
      <c r="E1058" s="7" t="s">
        <v>5510</v>
      </c>
      <c r="F1058" s="7" t="s">
        <v>5505</v>
      </c>
      <c r="G1058" s="7"/>
      <c r="H1058" s="46" t="s">
        <v>249</v>
      </c>
      <c r="I1058" s="7" t="s">
        <v>160</v>
      </c>
      <c r="J1058" s="7" t="s">
        <v>148</v>
      </c>
      <c r="K1058" s="7"/>
      <c r="L1058" s="7"/>
      <c r="M1058" s="7"/>
    </row>
    <row r="1059" ht="15.75" customHeight="1">
      <c r="A1059" s="7" t="s">
        <v>5511</v>
      </c>
      <c r="B1059" s="45" t="s">
        <v>5512</v>
      </c>
      <c r="C1059" s="7" t="s">
        <v>5513</v>
      </c>
      <c r="D1059" s="7" t="s">
        <v>5514</v>
      </c>
      <c r="E1059" s="7" t="s">
        <v>5515</v>
      </c>
      <c r="F1059" s="7" t="s">
        <v>5516</v>
      </c>
      <c r="G1059" s="7"/>
      <c r="H1059" s="46" t="s">
        <v>249</v>
      </c>
      <c r="I1059" s="7" t="s">
        <v>160</v>
      </c>
      <c r="J1059" s="7" t="s">
        <v>148</v>
      </c>
      <c r="K1059" s="7"/>
      <c r="L1059" s="7"/>
      <c r="M1059" s="7"/>
    </row>
    <row r="1060" ht="15.75" customHeight="1">
      <c r="A1060" s="7" t="s">
        <v>5517</v>
      </c>
      <c r="B1060" s="45" t="s">
        <v>5518</v>
      </c>
      <c r="C1060" s="7" t="s">
        <v>5519</v>
      </c>
      <c r="D1060" s="7" t="s">
        <v>5520</v>
      </c>
      <c r="E1060" s="7" t="s">
        <v>5521</v>
      </c>
      <c r="F1060" s="7" t="s">
        <v>5522</v>
      </c>
      <c r="G1060" s="7"/>
      <c r="H1060" s="46" t="s">
        <v>249</v>
      </c>
      <c r="I1060" s="7" t="s">
        <v>160</v>
      </c>
      <c r="J1060" s="7" t="s">
        <v>148</v>
      </c>
      <c r="K1060" s="7"/>
      <c r="L1060" s="7"/>
      <c r="M1060" s="7"/>
    </row>
    <row r="1061" ht="15.75" customHeight="1">
      <c r="A1061" s="7" t="s">
        <v>5523</v>
      </c>
      <c r="B1061" s="45" t="s">
        <v>5524</v>
      </c>
      <c r="C1061" s="7" t="s">
        <v>5525</v>
      </c>
      <c r="D1061" s="7" t="s">
        <v>5526</v>
      </c>
      <c r="E1061" s="7" t="s">
        <v>5527</v>
      </c>
      <c r="F1061" s="7" t="s">
        <v>5528</v>
      </c>
      <c r="G1061" s="7" t="s">
        <v>5529</v>
      </c>
      <c r="H1061" s="46" t="s">
        <v>249</v>
      </c>
      <c r="I1061" s="7" t="s">
        <v>160</v>
      </c>
      <c r="J1061" s="7" t="s">
        <v>148</v>
      </c>
      <c r="K1061" s="7"/>
      <c r="L1061" s="7"/>
      <c r="M1061" s="7"/>
    </row>
    <row r="1062" ht="15.75" customHeight="1">
      <c r="A1062" s="7" t="s">
        <v>5530</v>
      </c>
      <c r="B1062" s="45" t="s">
        <v>5531</v>
      </c>
      <c r="C1062" s="7" t="s">
        <v>5532</v>
      </c>
      <c r="D1062" s="7" t="s">
        <v>5526</v>
      </c>
      <c r="E1062" s="7" t="s">
        <v>5527</v>
      </c>
      <c r="F1062" s="7" t="s">
        <v>5528</v>
      </c>
      <c r="G1062" s="7"/>
      <c r="H1062" s="46" t="s">
        <v>249</v>
      </c>
      <c r="I1062" s="7" t="s">
        <v>160</v>
      </c>
      <c r="J1062" s="7" t="s">
        <v>148</v>
      </c>
      <c r="K1062" s="7"/>
      <c r="L1062" s="7"/>
      <c r="M1062" s="7"/>
    </row>
    <row r="1063" ht="15.75" customHeight="1">
      <c r="A1063" s="7" t="s">
        <v>5533</v>
      </c>
      <c r="B1063" s="45" t="s">
        <v>5534</v>
      </c>
      <c r="C1063" s="7" t="s">
        <v>5535</v>
      </c>
      <c r="D1063" s="7" t="s">
        <v>5536</v>
      </c>
      <c r="E1063" s="7" t="s">
        <v>5537</v>
      </c>
      <c r="F1063" s="7" t="s">
        <v>5538</v>
      </c>
      <c r="G1063" s="7"/>
      <c r="H1063" s="46" t="s">
        <v>249</v>
      </c>
      <c r="I1063" s="7" t="s">
        <v>160</v>
      </c>
      <c r="J1063" s="7" t="s">
        <v>148</v>
      </c>
      <c r="K1063" s="7"/>
      <c r="L1063" s="7"/>
      <c r="M1063" s="7"/>
    </row>
    <row r="1064" ht="15.75" customHeight="1">
      <c r="A1064" s="7" t="s">
        <v>5539</v>
      </c>
      <c r="B1064" s="45" t="s">
        <v>5540</v>
      </c>
      <c r="C1064" s="7" t="s">
        <v>5541</v>
      </c>
      <c r="D1064" s="7" t="s">
        <v>5542</v>
      </c>
      <c r="E1064" s="7" t="s">
        <v>5543</v>
      </c>
      <c r="F1064" s="7" t="s">
        <v>5544</v>
      </c>
      <c r="G1064" s="7"/>
      <c r="H1064" s="46" t="s">
        <v>249</v>
      </c>
      <c r="I1064" s="7" t="s">
        <v>160</v>
      </c>
      <c r="J1064" s="7" t="s">
        <v>148</v>
      </c>
      <c r="K1064" s="7"/>
      <c r="L1064" s="7"/>
      <c r="M1064" s="7"/>
    </row>
    <row r="1065" ht="15.75" customHeight="1">
      <c r="A1065" s="7" t="s">
        <v>5545</v>
      </c>
      <c r="B1065" s="45" t="s">
        <v>5546</v>
      </c>
      <c r="C1065" s="7" t="s">
        <v>5547</v>
      </c>
      <c r="D1065" s="7" t="s">
        <v>5548</v>
      </c>
      <c r="E1065" s="7" t="s">
        <v>5549</v>
      </c>
      <c r="F1065" s="7" t="s">
        <v>5550</v>
      </c>
      <c r="G1065" s="7"/>
      <c r="H1065" s="46" t="s">
        <v>249</v>
      </c>
      <c r="I1065" s="7" t="s">
        <v>160</v>
      </c>
      <c r="J1065" s="7" t="s">
        <v>148</v>
      </c>
      <c r="K1065" s="7"/>
      <c r="L1065" s="7"/>
      <c r="M1065" s="7"/>
    </row>
    <row r="1066" ht="15.75" customHeight="1">
      <c r="A1066" s="7" t="s">
        <v>5551</v>
      </c>
      <c r="B1066" s="45" t="s">
        <v>5552</v>
      </c>
      <c r="C1066" s="7" t="s">
        <v>5553</v>
      </c>
      <c r="D1066" s="7" t="s">
        <v>5554</v>
      </c>
      <c r="E1066" s="7" t="s">
        <v>5555</v>
      </c>
      <c r="F1066" s="7" t="s">
        <v>5556</v>
      </c>
      <c r="G1066" s="7"/>
      <c r="H1066" s="46" t="s">
        <v>249</v>
      </c>
      <c r="I1066" s="7" t="s">
        <v>160</v>
      </c>
      <c r="J1066" s="7" t="s">
        <v>148</v>
      </c>
      <c r="K1066" s="7"/>
      <c r="L1066" s="7"/>
      <c r="M1066" s="7"/>
    </row>
    <row r="1067" ht="15.75" customHeight="1">
      <c r="A1067" s="7" t="s">
        <v>5557</v>
      </c>
      <c r="B1067" s="45" t="s">
        <v>5558</v>
      </c>
      <c r="C1067" s="7" t="s">
        <v>5559</v>
      </c>
      <c r="D1067" s="7" t="s">
        <v>5560</v>
      </c>
      <c r="E1067" s="7" t="s">
        <v>5561</v>
      </c>
      <c r="F1067" s="7" t="s">
        <v>5562</v>
      </c>
      <c r="G1067" s="7"/>
      <c r="H1067" s="46" t="s">
        <v>249</v>
      </c>
      <c r="I1067" s="7" t="s">
        <v>160</v>
      </c>
      <c r="J1067" s="7" t="s">
        <v>148</v>
      </c>
      <c r="K1067" s="7"/>
      <c r="L1067" s="7"/>
      <c r="M1067" s="7"/>
    </row>
    <row r="1068" ht="15.75" customHeight="1">
      <c r="A1068" s="7" t="s">
        <v>5563</v>
      </c>
      <c r="B1068" s="45" t="s">
        <v>5564</v>
      </c>
      <c r="C1068" s="7" t="s">
        <v>5565</v>
      </c>
      <c r="D1068" s="7" t="s">
        <v>5566</v>
      </c>
      <c r="E1068" s="7" t="s">
        <v>5567</v>
      </c>
      <c r="F1068" s="7" t="s">
        <v>5568</v>
      </c>
      <c r="G1068" s="7"/>
      <c r="H1068" s="46" t="s">
        <v>249</v>
      </c>
      <c r="I1068" s="7" t="s">
        <v>160</v>
      </c>
      <c r="J1068" s="7" t="s">
        <v>148</v>
      </c>
      <c r="K1068" s="7"/>
      <c r="L1068" s="7"/>
      <c r="M1068" s="7"/>
    </row>
    <row r="1069" ht="15.75" customHeight="1">
      <c r="A1069" s="7" t="s">
        <v>5569</v>
      </c>
      <c r="B1069" s="45" t="s">
        <v>5570</v>
      </c>
      <c r="C1069" s="7" t="s">
        <v>5571</v>
      </c>
      <c r="D1069" s="7" t="s">
        <v>5572</v>
      </c>
      <c r="E1069" s="7" t="s">
        <v>5573</v>
      </c>
      <c r="F1069" s="7" t="s">
        <v>5574</v>
      </c>
      <c r="G1069" s="7"/>
      <c r="H1069" s="46" t="s">
        <v>249</v>
      </c>
      <c r="I1069" s="7" t="s">
        <v>160</v>
      </c>
      <c r="J1069" s="7" t="s">
        <v>148</v>
      </c>
      <c r="K1069" s="7"/>
      <c r="L1069" s="7"/>
      <c r="M1069" s="7"/>
    </row>
    <row r="1070" ht="15.75" customHeight="1">
      <c r="A1070" s="7" t="s">
        <v>5575</v>
      </c>
      <c r="B1070" s="45" t="s">
        <v>5576</v>
      </c>
      <c r="C1070" s="7" t="s">
        <v>5577</v>
      </c>
      <c r="D1070" s="7" t="s">
        <v>5578</v>
      </c>
      <c r="E1070" s="7" t="s">
        <v>5579</v>
      </c>
      <c r="F1070" s="7" t="s">
        <v>5580</v>
      </c>
      <c r="G1070" s="7"/>
      <c r="H1070" s="46" t="s">
        <v>249</v>
      </c>
      <c r="I1070" s="7" t="s">
        <v>160</v>
      </c>
      <c r="J1070" s="7" t="s">
        <v>148</v>
      </c>
      <c r="K1070" s="7"/>
      <c r="L1070" s="7"/>
      <c r="M1070" s="7"/>
    </row>
    <row r="1071" ht="15.75" customHeight="1">
      <c r="A1071" s="7" t="s">
        <v>5581</v>
      </c>
      <c r="B1071" s="45" t="s">
        <v>5582</v>
      </c>
      <c r="C1071" s="7" t="s">
        <v>5583</v>
      </c>
      <c r="D1071" s="7" t="s">
        <v>5584</v>
      </c>
      <c r="E1071" s="7" t="s">
        <v>5585</v>
      </c>
      <c r="F1071" s="7" t="s">
        <v>5586</v>
      </c>
      <c r="G1071" s="7"/>
      <c r="H1071" s="46" t="s">
        <v>249</v>
      </c>
      <c r="I1071" s="7" t="s">
        <v>160</v>
      </c>
      <c r="J1071" s="7" t="s">
        <v>148</v>
      </c>
      <c r="K1071" s="7"/>
      <c r="L1071" s="7"/>
      <c r="M1071" s="7"/>
    </row>
    <row r="1072" ht="15.75" customHeight="1">
      <c r="A1072" s="7" t="s">
        <v>5587</v>
      </c>
      <c r="B1072" s="45" t="s">
        <v>5588</v>
      </c>
      <c r="C1072" s="7" t="s">
        <v>5589</v>
      </c>
      <c r="D1072" s="7" t="s">
        <v>5590</v>
      </c>
      <c r="E1072" s="7" t="s">
        <v>5591</v>
      </c>
      <c r="F1072" s="7" t="s">
        <v>5592</v>
      </c>
      <c r="G1072" s="7"/>
      <c r="H1072" s="46" t="s">
        <v>249</v>
      </c>
      <c r="I1072" s="7" t="s">
        <v>160</v>
      </c>
      <c r="J1072" s="7" t="s">
        <v>148</v>
      </c>
      <c r="K1072" s="7"/>
      <c r="L1072" s="7"/>
      <c r="M1072" s="7"/>
    </row>
    <row r="1073" ht="15.75" customHeight="1">
      <c r="A1073" s="7" t="s">
        <v>5593</v>
      </c>
      <c r="B1073" s="45" t="s">
        <v>5594</v>
      </c>
      <c r="C1073" s="7" t="s">
        <v>5595</v>
      </c>
      <c r="D1073" s="7" t="s">
        <v>5596</v>
      </c>
      <c r="E1073" s="7" t="s">
        <v>5591</v>
      </c>
      <c r="F1073" s="7" t="s">
        <v>5592</v>
      </c>
      <c r="G1073" s="7"/>
      <c r="H1073" s="46" t="s">
        <v>249</v>
      </c>
      <c r="I1073" s="7" t="s">
        <v>160</v>
      </c>
      <c r="J1073" s="7" t="s">
        <v>148</v>
      </c>
      <c r="K1073" s="7"/>
      <c r="L1073" s="7"/>
      <c r="M1073" s="7"/>
    </row>
    <row r="1074" ht="15.75" customHeight="1">
      <c r="A1074" s="7" t="s">
        <v>5597</v>
      </c>
      <c r="B1074" s="45" t="s">
        <v>5598</v>
      </c>
      <c r="C1074" s="7" t="s">
        <v>1566</v>
      </c>
      <c r="D1074" s="7" t="s">
        <v>5599</v>
      </c>
      <c r="E1074" s="7" t="s">
        <v>1568</v>
      </c>
      <c r="F1074" s="7" t="s">
        <v>1569</v>
      </c>
      <c r="G1074" s="7"/>
      <c r="H1074" s="46" t="s">
        <v>249</v>
      </c>
      <c r="I1074" s="7" t="s">
        <v>160</v>
      </c>
      <c r="J1074" s="7" t="s">
        <v>148</v>
      </c>
      <c r="K1074" s="7"/>
      <c r="L1074" s="7"/>
      <c r="M1074" s="7"/>
    </row>
    <row r="1075" ht="15.75" customHeight="1">
      <c r="A1075" s="7" t="s">
        <v>5600</v>
      </c>
      <c r="B1075" s="45" t="s">
        <v>5601</v>
      </c>
      <c r="C1075" s="7" t="s">
        <v>5602</v>
      </c>
      <c r="D1075" s="7" t="s">
        <v>5603</v>
      </c>
      <c r="E1075" s="7" t="s">
        <v>5604</v>
      </c>
      <c r="F1075" s="7" t="s">
        <v>5605</v>
      </c>
      <c r="G1075" s="7"/>
      <c r="H1075" s="46" t="s">
        <v>249</v>
      </c>
      <c r="I1075" s="7" t="s">
        <v>160</v>
      </c>
      <c r="J1075" s="7" t="s">
        <v>148</v>
      </c>
      <c r="K1075" s="7"/>
      <c r="L1075" s="7"/>
      <c r="M1075" s="7"/>
    </row>
    <row r="1076" ht="15.75" customHeight="1">
      <c r="A1076" s="7" t="s">
        <v>5606</v>
      </c>
      <c r="B1076" s="45" t="s">
        <v>5607</v>
      </c>
      <c r="C1076" s="7" t="s">
        <v>5608</v>
      </c>
      <c r="D1076" s="7" t="s">
        <v>5609</v>
      </c>
      <c r="E1076" s="7" t="s">
        <v>5610</v>
      </c>
      <c r="F1076" s="7" t="s">
        <v>5611</v>
      </c>
      <c r="G1076" s="7"/>
      <c r="H1076" s="46" t="s">
        <v>249</v>
      </c>
      <c r="I1076" s="7" t="s">
        <v>160</v>
      </c>
      <c r="J1076" s="7" t="s">
        <v>148</v>
      </c>
      <c r="K1076" s="7"/>
      <c r="L1076" s="7"/>
      <c r="M1076" s="7"/>
    </row>
    <row r="1077" ht="15.75" customHeight="1">
      <c r="A1077" s="7" t="s">
        <v>5612</v>
      </c>
      <c r="B1077" s="45" t="s">
        <v>5613</v>
      </c>
      <c r="C1077" s="7" t="s">
        <v>5614</v>
      </c>
      <c r="D1077" s="7" t="s">
        <v>5615</v>
      </c>
      <c r="E1077" s="7" t="s">
        <v>5616</v>
      </c>
      <c r="F1077" s="7" t="s">
        <v>5617</v>
      </c>
      <c r="G1077" s="7"/>
      <c r="H1077" s="46" t="s">
        <v>249</v>
      </c>
      <c r="I1077" s="7" t="s">
        <v>160</v>
      </c>
      <c r="J1077" s="7" t="s">
        <v>148</v>
      </c>
      <c r="K1077" s="7"/>
      <c r="L1077" s="7"/>
      <c r="M1077" s="7"/>
    </row>
    <row r="1078" ht="15.75" customHeight="1">
      <c r="A1078" s="7" t="s">
        <v>5618</v>
      </c>
      <c r="B1078" s="45" t="s">
        <v>5619</v>
      </c>
      <c r="C1078" s="7" t="s">
        <v>3937</v>
      </c>
      <c r="D1078" s="7" t="s">
        <v>5620</v>
      </c>
      <c r="E1078" s="7" t="s">
        <v>5621</v>
      </c>
      <c r="F1078" s="7" t="s">
        <v>5622</v>
      </c>
      <c r="G1078" s="7"/>
      <c r="H1078" s="46" t="s">
        <v>249</v>
      </c>
      <c r="I1078" s="7" t="s">
        <v>160</v>
      </c>
      <c r="J1078" s="7" t="s">
        <v>148</v>
      </c>
      <c r="K1078" s="7"/>
      <c r="L1078" s="7"/>
      <c r="M1078" s="7"/>
    </row>
    <row r="1079" ht="15.75" customHeight="1">
      <c r="A1079" s="7" t="s">
        <v>5623</v>
      </c>
      <c r="B1079" s="45" t="s">
        <v>5624</v>
      </c>
      <c r="C1079" s="7" t="s">
        <v>5625</v>
      </c>
      <c r="D1079" s="7" t="s">
        <v>5626</v>
      </c>
      <c r="E1079" s="7" t="s">
        <v>5627</v>
      </c>
      <c r="F1079" s="7" t="s">
        <v>5628</v>
      </c>
      <c r="G1079" s="7"/>
      <c r="H1079" s="46" t="s">
        <v>249</v>
      </c>
      <c r="I1079" s="7" t="s">
        <v>160</v>
      </c>
      <c r="J1079" s="7" t="s">
        <v>148</v>
      </c>
      <c r="K1079" s="7"/>
      <c r="L1079" s="7"/>
      <c r="M1079" s="7"/>
    </row>
    <row r="1080" ht="15.75" customHeight="1">
      <c r="A1080" s="7" t="s">
        <v>5629</v>
      </c>
      <c r="B1080" s="45" t="s">
        <v>5630</v>
      </c>
      <c r="C1080" s="7" t="s">
        <v>5631</v>
      </c>
      <c r="D1080" s="7" t="s">
        <v>5632</v>
      </c>
      <c r="E1080" s="7" t="s">
        <v>5633</v>
      </c>
      <c r="F1080" s="7" t="s">
        <v>5634</v>
      </c>
      <c r="G1080" s="7"/>
      <c r="H1080" s="46" t="s">
        <v>249</v>
      </c>
      <c r="I1080" s="7" t="s">
        <v>160</v>
      </c>
      <c r="J1080" s="7" t="s">
        <v>148</v>
      </c>
      <c r="K1080" s="7"/>
      <c r="L1080" s="7"/>
      <c r="M1080" s="7"/>
    </row>
    <row r="1081" ht="15.75" customHeight="1">
      <c r="A1081" s="7" t="s">
        <v>5635</v>
      </c>
      <c r="B1081" s="45" t="s">
        <v>5636</v>
      </c>
      <c r="C1081" s="7" t="s">
        <v>5637</v>
      </c>
      <c r="D1081" s="7" t="s">
        <v>5638</v>
      </c>
      <c r="E1081" s="7" t="s">
        <v>5639</v>
      </c>
      <c r="F1081" s="7" t="s">
        <v>5640</v>
      </c>
      <c r="G1081" s="7"/>
      <c r="H1081" s="46" t="s">
        <v>249</v>
      </c>
      <c r="I1081" s="7" t="s">
        <v>160</v>
      </c>
      <c r="J1081" s="7" t="s">
        <v>148</v>
      </c>
      <c r="K1081" s="7"/>
      <c r="L1081" s="7"/>
      <c r="M1081" s="7"/>
    </row>
    <row r="1082" ht="15.75" customHeight="1">
      <c r="A1082" s="7" t="s">
        <v>5641</v>
      </c>
      <c r="B1082" s="45" t="s">
        <v>5642</v>
      </c>
      <c r="C1082" s="7" t="s">
        <v>5643</v>
      </c>
      <c r="D1082" s="7" t="s">
        <v>5644</v>
      </c>
      <c r="E1082" s="7" t="s">
        <v>5645</v>
      </c>
      <c r="F1082" s="7" t="s">
        <v>5646</v>
      </c>
      <c r="G1082" s="7"/>
      <c r="H1082" s="46" t="s">
        <v>249</v>
      </c>
      <c r="I1082" s="7" t="s">
        <v>160</v>
      </c>
      <c r="J1082" s="7" t="s">
        <v>148</v>
      </c>
      <c r="K1082" s="7"/>
      <c r="L1082" s="7"/>
      <c r="M1082" s="7"/>
    </row>
    <row r="1083" ht="15.75" customHeight="1">
      <c r="A1083" s="7" t="s">
        <v>5647</v>
      </c>
      <c r="B1083" s="45" t="s">
        <v>5648</v>
      </c>
      <c r="C1083" s="7" t="s">
        <v>5649</v>
      </c>
      <c r="D1083" s="7" t="s">
        <v>5650</v>
      </c>
      <c r="E1083" s="7" t="s">
        <v>5651</v>
      </c>
      <c r="F1083" s="7" t="s">
        <v>5652</v>
      </c>
      <c r="G1083" s="7"/>
      <c r="H1083" s="46" t="s">
        <v>249</v>
      </c>
      <c r="I1083" s="7" t="s">
        <v>160</v>
      </c>
      <c r="J1083" s="7" t="s">
        <v>148</v>
      </c>
      <c r="K1083" s="7"/>
      <c r="L1083" s="7"/>
      <c r="M1083" s="7"/>
    </row>
    <row r="1084" ht="15.75" customHeight="1">
      <c r="A1084" s="7" t="s">
        <v>5653</v>
      </c>
      <c r="B1084" s="45" t="s">
        <v>5654</v>
      </c>
      <c r="C1084" s="7" t="s">
        <v>5655</v>
      </c>
      <c r="D1084" s="7" t="s">
        <v>5656</v>
      </c>
      <c r="E1084" s="7" t="s">
        <v>1184</v>
      </c>
      <c r="F1084" s="7" t="s">
        <v>5657</v>
      </c>
      <c r="G1084" s="7"/>
      <c r="H1084" s="46" t="s">
        <v>249</v>
      </c>
      <c r="I1084" s="7" t="s">
        <v>160</v>
      </c>
      <c r="J1084" s="7" t="s">
        <v>148</v>
      </c>
      <c r="K1084" s="7"/>
      <c r="L1084" s="7"/>
      <c r="M1084" s="7"/>
    </row>
    <row r="1085" ht="15.75" customHeight="1">
      <c r="A1085" s="7" t="s">
        <v>5658</v>
      </c>
      <c r="B1085" s="45" t="s">
        <v>5659</v>
      </c>
      <c r="C1085" s="7" t="s">
        <v>5660</v>
      </c>
      <c r="D1085" s="7" t="s">
        <v>5661</v>
      </c>
      <c r="E1085" s="7" t="s">
        <v>5662</v>
      </c>
      <c r="F1085" s="7" t="s">
        <v>5663</v>
      </c>
      <c r="G1085" s="7"/>
      <c r="H1085" s="46" t="s">
        <v>249</v>
      </c>
      <c r="I1085" s="7" t="s">
        <v>160</v>
      </c>
      <c r="J1085" s="7" t="s">
        <v>148</v>
      </c>
      <c r="K1085" s="7"/>
      <c r="L1085" s="7"/>
      <c r="M1085" s="7"/>
    </row>
    <row r="1086" ht="15.75" customHeight="1">
      <c r="A1086" s="7" t="s">
        <v>5664</v>
      </c>
      <c r="B1086" s="45" t="s">
        <v>5665</v>
      </c>
      <c r="C1086" s="7" t="s">
        <v>5666</v>
      </c>
      <c r="D1086" s="7" t="s">
        <v>5667</v>
      </c>
      <c r="E1086" s="7" t="s">
        <v>5668</v>
      </c>
      <c r="F1086" s="7" t="s">
        <v>5669</v>
      </c>
      <c r="G1086" s="7"/>
      <c r="H1086" s="46" t="s">
        <v>249</v>
      </c>
      <c r="I1086" s="7" t="s">
        <v>160</v>
      </c>
      <c r="J1086" s="7" t="s">
        <v>148</v>
      </c>
      <c r="K1086" s="7"/>
      <c r="L1086" s="7"/>
      <c r="M1086" s="7"/>
    </row>
    <row r="1087" ht="15.75" customHeight="1">
      <c r="A1087" s="7" t="s">
        <v>5670</v>
      </c>
      <c r="B1087" s="45" t="s">
        <v>5671</v>
      </c>
      <c r="C1087" s="7" t="s">
        <v>5672</v>
      </c>
      <c r="D1087" s="7" t="s">
        <v>5673</v>
      </c>
      <c r="E1087" s="7" t="s">
        <v>5674</v>
      </c>
      <c r="F1087" s="7" t="s">
        <v>5675</v>
      </c>
      <c r="G1087" s="7"/>
      <c r="H1087" s="46" t="s">
        <v>249</v>
      </c>
      <c r="I1087" s="7" t="s">
        <v>160</v>
      </c>
      <c r="J1087" s="7" t="s">
        <v>148</v>
      </c>
      <c r="K1087" s="7"/>
      <c r="L1087" s="7"/>
      <c r="M1087" s="7"/>
    </row>
    <row r="1088" ht="15.75" customHeight="1">
      <c r="A1088" s="7" t="s">
        <v>5676</v>
      </c>
      <c r="B1088" s="45" t="s">
        <v>5677</v>
      </c>
      <c r="C1088" s="7" t="s">
        <v>5678</v>
      </c>
      <c r="D1088" s="7" t="s">
        <v>5115</v>
      </c>
      <c r="E1088" s="7" t="s">
        <v>5116</v>
      </c>
      <c r="F1088" s="7" t="s">
        <v>5117</v>
      </c>
      <c r="G1088" s="7"/>
      <c r="H1088" s="46" t="s">
        <v>249</v>
      </c>
      <c r="I1088" s="7" t="s">
        <v>160</v>
      </c>
      <c r="J1088" s="7" t="s">
        <v>148</v>
      </c>
      <c r="K1088" s="7"/>
      <c r="L1088" s="7"/>
      <c r="M1088" s="7"/>
    </row>
    <row r="1089" ht="15.75" customHeight="1">
      <c r="A1089" s="7" t="s">
        <v>5679</v>
      </c>
      <c r="B1089" s="45" t="s">
        <v>5680</v>
      </c>
      <c r="C1089" s="7" t="s">
        <v>5681</v>
      </c>
      <c r="D1089" s="7" t="s">
        <v>5682</v>
      </c>
      <c r="E1089" s="7" t="s">
        <v>5683</v>
      </c>
      <c r="F1089" s="7" t="s">
        <v>5684</v>
      </c>
      <c r="G1089" s="7"/>
      <c r="H1089" s="46" t="s">
        <v>249</v>
      </c>
      <c r="I1089" s="7" t="s">
        <v>160</v>
      </c>
      <c r="J1089" s="7" t="s">
        <v>148</v>
      </c>
      <c r="K1089" s="7"/>
      <c r="L1089" s="7"/>
      <c r="M1089" s="7"/>
    </row>
    <row r="1090" ht="15.75" customHeight="1">
      <c r="A1090" s="7" t="s">
        <v>5685</v>
      </c>
      <c r="B1090" s="45" t="s">
        <v>5686</v>
      </c>
      <c r="C1090" s="7" t="s">
        <v>5687</v>
      </c>
      <c r="D1090" s="7" t="s">
        <v>5688</v>
      </c>
      <c r="E1090" s="7" t="s">
        <v>5689</v>
      </c>
      <c r="F1090" s="7" t="s">
        <v>5690</v>
      </c>
      <c r="G1090" s="7"/>
      <c r="H1090" s="46" t="s">
        <v>249</v>
      </c>
      <c r="I1090" s="7" t="s">
        <v>160</v>
      </c>
      <c r="J1090" s="7" t="s">
        <v>148</v>
      </c>
      <c r="K1090" s="7"/>
      <c r="L1090" s="7"/>
      <c r="M1090" s="7"/>
    </row>
    <row r="1091" ht="15.75" customHeight="1">
      <c r="A1091" s="7" t="s">
        <v>5691</v>
      </c>
      <c r="B1091" s="45" t="s">
        <v>5692</v>
      </c>
      <c r="C1091" s="7" t="s">
        <v>5687</v>
      </c>
      <c r="D1091" s="7" t="s">
        <v>3752</v>
      </c>
      <c r="E1091" s="7" t="s">
        <v>3753</v>
      </c>
      <c r="F1091" s="7" t="s">
        <v>5693</v>
      </c>
      <c r="G1091" s="7"/>
      <c r="H1091" s="46" t="s">
        <v>249</v>
      </c>
      <c r="I1091" s="7" t="s">
        <v>160</v>
      </c>
      <c r="J1091" s="7" t="s">
        <v>148</v>
      </c>
      <c r="K1091" s="7"/>
      <c r="L1091" s="7"/>
      <c r="M1091" s="7"/>
    </row>
    <row r="1092" ht="15.75" customHeight="1">
      <c r="A1092" s="7" t="s">
        <v>5694</v>
      </c>
      <c r="B1092" s="45" t="s">
        <v>5695</v>
      </c>
      <c r="C1092" s="7" t="s">
        <v>5696</v>
      </c>
      <c r="D1092" s="7" t="s">
        <v>5697</v>
      </c>
      <c r="E1092" s="7" t="s">
        <v>5698</v>
      </c>
      <c r="F1092" s="7" t="s">
        <v>5699</v>
      </c>
      <c r="G1092" s="7"/>
      <c r="H1092" s="46" t="s">
        <v>249</v>
      </c>
      <c r="I1092" s="7" t="s">
        <v>160</v>
      </c>
      <c r="J1092" s="7" t="s">
        <v>148</v>
      </c>
      <c r="K1092" s="7"/>
      <c r="L1092" s="7"/>
      <c r="M1092" s="7"/>
    </row>
    <row r="1093" ht="15.75" customHeight="1">
      <c r="A1093" s="7" t="s">
        <v>5700</v>
      </c>
      <c r="B1093" s="45" t="s">
        <v>5701</v>
      </c>
      <c r="C1093" s="7" t="s">
        <v>5702</v>
      </c>
      <c r="D1093" s="7" t="s">
        <v>5703</v>
      </c>
      <c r="E1093" s="7" t="s">
        <v>5704</v>
      </c>
      <c r="F1093" s="7" t="s">
        <v>5705</v>
      </c>
      <c r="G1093" s="7"/>
      <c r="H1093" s="46" t="s">
        <v>249</v>
      </c>
      <c r="I1093" s="7" t="s">
        <v>160</v>
      </c>
      <c r="J1093" s="7" t="s">
        <v>148</v>
      </c>
      <c r="K1093" s="7"/>
      <c r="L1093" s="7"/>
      <c r="M1093" s="7"/>
    </row>
    <row r="1094" ht="15.75" customHeight="1">
      <c r="A1094" s="7" t="s">
        <v>5706</v>
      </c>
      <c r="B1094" s="45" t="s">
        <v>5707</v>
      </c>
      <c r="C1094" s="7" t="s">
        <v>5708</v>
      </c>
      <c r="D1094" s="7" t="s">
        <v>5709</v>
      </c>
      <c r="E1094" s="7" t="s">
        <v>5710</v>
      </c>
      <c r="F1094" s="7" t="s">
        <v>5711</v>
      </c>
      <c r="G1094" s="7"/>
      <c r="H1094" s="46" t="s">
        <v>249</v>
      </c>
      <c r="I1094" s="7" t="s">
        <v>160</v>
      </c>
      <c r="J1094" s="7" t="s">
        <v>148</v>
      </c>
      <c r="K1094" s="7"/>
      <c r="L1094" s="7"/>
      <c r="M1094" s="7"/>
    </row>
    <row r="1095" ht="15.75" customHeight="1">
      <c r="A1095" s="7" t="s">
        <v>5712</v>
      </c>
      <c r="B1095" s="45" t="s">
        <v>5713</v>
      </c>
      <c r="C1095" s="7" t="s">
        <v>5714</v>
      </c>
      <c r="D1095" s="7" t="s">
        <v>5715</v>
      </c>
      <c r="E1095" s="7" t="s">
        <v>5716</v>
      </c>
      <c r="F1095" s="7" t="s">
        <v>5717</v>
      </c>
      <c r="G1095" s="7"/>
      <c r="H1095" s="46" t="s">
        <v>249</v>
      </c>
      <c r="I1095" s="7" t="s">
        <v>160</v>
      </c>
      <c r="J1095" s="7" t="s">
        <v>148</v>
      </c>
      <c r="K1095" s="7"/>
      <c r="L1095" s="7"/>
      <c r="M1095" s="7"/>
    </row>
    <row r="1096" ht="15.75" customHeight="1">
      <c r="A1096" s="7" t="s">
        <v>5718</v>
      </c>
      <c r="B1096" s="45" t="s">
        <v>5719</v>
      </c>
      <c r="C1096" s="7" t="s">
        <v>5720</v>
      </c>
      <c r="D1096" s="7" t="s">
        <v>5721</v>
      </c>
      <c r="E1096" s="7" t="s">
        <v>5722</v>
      </c>
      <c r="F1096" s="7" t="s">
        <v>5723</v>
      </c>
      <c r="G1096" s="7"/>
      <c r="H1096" s="46" t="s">
        <v>249</v>
      </c>
      <c r="I1096" s="7" t="s">
        <v>160</v>
      </c>
      <c r="J1096" s="7" t="s">
        <v>148</v>
      </c>
      <c r="K1096" s="7"/>
      <c r="L1096" s="7"/>
      <c r="M1096" s="7"/>
    </row>
    <row r="1097" ht="15.75" customHeight="1">
      <c r="A1097" s="7" t="s">
        <v>5724</v>
      </c>
      <c r="B1097" s="45" t="s">
        <v>5725</v>
      </c>
      <c r="C1097" s="7" t="s">
        <v>5726</v>
      </c>
      <c r="D1097" s="7" t="s">
        <v>5727</v>
      </c>
      <c r="E1097" s="7" t="s">
        <v>4671</v>
      </c>
      <c r="F1097" s="7" t="s">
        <v>5728</v>
      </c>
      <c r="G1097" s="7"/>
      <c r="H1097" s="46" t="s">
        <v>249</v>
      </c>
      <c r="I1097" s="7" t="s">
        <v>160</v>
      </c>
      <c r="J1097" s="7" t="s">
        <v>148</v>
      </c>
      <c r="K1097" s="7"/>
      <c r="L1097" s="7"/>
      <c r="M1097" s="7"/>
    </row>
    <row r="1098" ht="15.75" customHeight="1">
      <c r="A1098" s="7" t="s">
        <v>5729</v>
      </c>
      <c r="B1098" s="45" t="s">
        <v>5730</v>
      </c>
      <c r="C1098" s="7" t="s">
        <v>5731</v>
      </c>
      <c r="D1098" s="7" t="s">
        <v>5732</v>
      </c>
      <c r="E1098" s="7" t="s">
        <v>5733</v>
      </c>
      <c r="F1098" s="7" t="s">
        <v>5734</v>
      </c>
      <c r="G1098" s="7"/>
      <c r="H1098" s="46" t="s">
        <v>249</v>
      </c>
      <c r="I1098" s="7" t="s">
        <v>160</v>
      </c>
      <c r="J1098" s="7" t="s">
        <v>148</v>
      </c>
      <c r="K1098" s="7"/>
      <c r="L1098" s="7"/>
      <c r="M1098" s="7"/>
    </row>
    <row r="1099" ht="15.75" customHeight="1">
      <c r="A1099" s="7" t="s">
        <v>5735</v>
      </c>
      <c r="B1099" s="45" t="s">
        <v>5736</v>
      </c>
      <c r="C1099" s="7" t="s">
        <v>5731</v>
      </c>
      <c r="D1099" s="7" t="s">
        <v>5737</v>
      </c>
      <c r="E1099" s="7" t="s">
        <v>5738</v>
      </c>
      <c r="F1099" s="7" t="s">
        <v>5734</v>
      </c>
      <c r="G1099" s="7"/>
      <c r="H1099" s="46" t="s">
        <v>249</v>
      </c>
      <c r="I1099" s="7" t="s">
        <v>160</v>
      </c>
      <c r="J1099" s="7" t="s">
        <v>148</v>
      </c>
      <c r="K1099" s="7"/>
      <c r="L1099" s="7"/>
      <c r="M1099" s="7"/>
    </row>
    <row r="1100" ht="15.75" customHeight="1">
      <c r="A1100" s="7" t="s">
        <v>5739</v>
      </c>
      <c r="B1100" s="45" t="s">
        <v>5740</v>
      </c>
      <c r="C1100" s="7" t="s">
        <v>5741</v>
      </c>
      <c r="D1100" s="7" t="s">
        <v>5742</v>
      </c>
      <c r="E1100" s="7" t="s">
        <v>5743</v>
      </c>
      <c r="F1100" s="7" t="s">
        <v>5744</v>
      </c>
      <c r="G1100" s="7"/>
      <c r="H1100" s="46" t="s">
        <v>249</v>
      </c>
      <c r="I1100" s="7" t="s">
        <v>160</v>
      </c>
      <c r="J1100" s="7" t="s">
        <v>148</v>
      </c>
      <c r="K1100" s="7"/>
      <c r="L1100" s="7"/>
      <c r="M1100" s="7"/>
    </row>
    <row r="1101" ht="15.75" customHeight="1">
      <c r="A1101" s="7" t="s">
        <v>5745</v>
      </c>
      <c r="B1101" s="45" t="s">
        <v>5746</v>
      </c>
      <c r="C1101" s="7" t="s">
        <v>5747</v>
      </c>
      <c r="D1101" s="7" t="s">
        <v>5748</v>
      </c>
      <c r="E1101" s="7" t="s">
        <v>5749</v>
      </c>
      <c r="F1101" s="7" t="s">
        <v>5750</v>
      </c>
      <c r="G1101" s="7" t="s">
        <v>5751</v>
      </c>
      <c r="H1101" s="46" t="s">
        <v>249</v>
      </c>
      <c r="I1101" s="7" t="s">
        <v>160</v>
      </c>
      <c r="J1101" s="7" t="s">
        <v>148</v>
      </c>
      <c r="K1101" s="7"/>
      <c r="L1101" s="7"/>
      <c r="M1101" s="7"/>
    </row>
    <row r="1102" ht="15.75" customHeight="1">
      <c r="A1102" s="7" t="s">
        <v>5752</v>
      </c>
      <c r="B1102" s="45" t="s">
        <v>5753</v>
      </c>
      <c r="C1102" s="7" t="s">
        <v>5754</v>
      </c>
      <c r="D1102" s="7" t="s">
        <v>5755</v>
      </c>
      <c r="E1102" s="7" t="s">
        <v>5756</v>
      </c>
      <c r="F1102" s="7" t="s">
        <v>5757</v>
      </c>
      <c r="G1102" s="7"/>
      <c r="H1102" s="46" t="s">
        <v>249</v>
      </c>
      <c r="I1102" s="7" t="s">
        <v>160</v>
      </c>
      <c r="J1102" s="7" t="s">
        <v>148</v>
      </c>
      <c r="K1102" s="7"/>
      <c r="L1102" s="7"/>
      <c r="M1102" s="7"/>
    </row>
    <row r="1103" ht="15.75" customHeight="1">
      <c r="A1103" s="7" t="s">
        <v>5758</v>
      </c>
      <c r="B1103" s="45" t="s">
        <v>5759</v>
      </c>
      <c r="C1103" s="7" t="s">
        <v>349</v>
      </c>
      <c r="D1103" s="7" t="s">
        <v>350</v>
      </c>
      <c r="E1103" s="7" t="s">
        <v>351</v>
      </c>
      <c r="F1103" s="7" t="s">
        <v>352</v>
      </c>
      <c r="G1103" s="7"/>
      <c r="H1103" s="46" t="s">
        <v>249</v>
      </c>
      <c r="I1103" s="7" t="s">
        <v>160</v>
      </c>
      <c r="J1103" s="7" t="s">
        <v>148</v>
      </c>
      <c r="K1103" s="7"/>
      <c r="L1103" s="7"/>
      <c r="M1103" s="7"/>
    </row>
    <row r="1104" ht="15.75" customHeight="1">
      <c r="A1104" s="7" t="s">
        <v>5760</v>
      </c>
      <c r="B1104" s="45" t="s">
        <v>5761</v>
      </c>
      <c r="C1104" s="7" t="s">
        <v>744</v>
      </c>
      <c r="D1104" s="7" t="s">
        <v>5762</v>
      </c>
      <c r="E1104" s="7" t="s">
        <v>5763</v>
      </c>
      <c r="F1104" s="7" t="s">
        <v>5764</v>
      </c>
      <c r="G1104" s="7"/>
      <c r="H1104" s="46" t="s">
        <v>249</v>
      </c>
      <c r="I1104" s="7" t="s">
        <v>160</v>
      </c>
      <c r="J1104" s="7" t="s">
        <v>148</v>
      </c>
      <c r="K1104" s="7"/>
      <c r="L1104" s="7"/>
      <c r="M1104" s="7"/>
    </row>
    <row r="1105" ht="15.75" customHeight="1">
      <c r="A1105" s="7" t="s">
        <v>5765</v>
      </c>
      <c r="B1105" s="45" t="s">
        <v>5766</v>
      </c>
      <c r="C1105" s="7" t="s">
        <v>5767</v>
      </c>
      <c r="D1105" s="7" t="s">
        <v>5768</v>
      </c>
      <c r="E1105" s="7" t="s">
        <v>5769</v>
      </c>
      <c r="F1105" s="7" t="s">
        <v>5770</v>
      </c>
      <c r="G1105" s="7"/>
      <c r="H1105" s="46" t="s">
        <v>249</v>
      </c>
      <c r="I1105" s="7" t="s">
        <v>160</v>
      </c>
      <c r="J1105" s="7" t="s">
        <v>148</v>
      </c>
      <c r="K1105" s="7"/>
      <c r="L1105" s="7"/>
      <c r="M1105" s="7"/>
    </row>
    <row r="1106" ht="15.75" customHeight="1">
      <c r="A1106" s="7" t="s">
        <v>5771</v>
      </c>
      <c r="B1106" s="45" t="s">
        <v>5772</v>
      </c>
      <c r="C1106" s="7" t="s">
        <v>5773</v>
      </c>
      <c r="D1106" s="7" t="s">
        <v>5774</v>
      </c>
      <c r="E1106" s="7" t="s">
        <v>5769</v>
      </c>
      <c r="F1106" s="7" t="s">
        <v>5770</v>
      </c>
      <c r="G1106" s="7" t="s">
        <v>5775</v>
      </c>
      <c r="H1106" s="46" t="s">
        <v>249</v>
      </c>
      <c r="I1106" s="7" t="s">
        <v>160</v>
      </c>
      <c r="J1106" s="7" t="s">
        <v>148</v>
      </c>
      <c r="K1106" s="7"/>
      <c r="L1106" s="7"/>
      <c r="M1106" s="7"/>
    </row>
    <row r="1107" ht="15.75" customHeight="1">
      <c r="A1107" s="7" t="s">
        <v>5776</v>
      </c>
      <c r="B1107" s="45" t="s">
        <v>5777</v>
      </c>
      <c r="C1107" s="7" t="s">
        <v>5767</v>
      </c>
      <c r="D1107" s="7" t="s">
        <v>5778</v>
      </c>
      <c r="E1107" s="7" t="s">
        <v>5779</v>
      </c>
      <c r="F1107" s="7" t="s">
        <v>5770</v>
      </c>
      <c r="G1107" s="7"/>
      <c r="H1107" s="46" t="s">
        <v>249</v>
      </c>
      <c r="I1107" s="7" t="s">
        <v>160</v>
      </c>
      <c r="J1107" s="7" t="s">
        <v>148</v>
      </c>
      <c r="K1107" s="7"/>
      <c r="L1107" s="7"/>
      <c r="M1107" s="7"/>
    </row>
    <row r="1108" ht="15.75" customHeight="1">
      <c r="A1108" s="7" t="s">
        <v>5780</v>
      </c>
      <c r="B1108" s="45" t="s">
        <v>5781</v>
      </c>
      <c r="C1108" s="7" t="s">
        <v>5782</v>
      </c>
      <c r="D1108" s="7" t="s">
        <v>5783</v>
      </c>
      <c r="E1108" s="7" t="s">
        <v>5784</v>
      </c>
      <c r="F1108" s="7" t="s">
        <v>5785</v>
      </c>
      <c r="G1108" s="7"/>
      <c r="H1108" s="46" t="s">
        <v>249</v>
      </c>
      <c r="I1108" s="7" t="s">
        <v>160</v>
      </c>
      <c r="J1108" s="7" t="s">
        <v>148</v>
      </c>
      <c r="K1108" s="7"/>
      <c r="L1108" s="7"/>
      <c r="M1108" s="7"/>
    </row>
    <row r="1109" ht="15.75" customHeight="1">
      <c r="A1109" s="7" t="s">
        <v>5786</v>
      </c>
      <c r="B1109" s="45" t="s">
        <v>5787</v>
      </c>
      <c r="C1109" s="7" t="s">
        <v>5788</v>
      </c>
      <c r="D1109" s="7" t="s">
        <v>5789</v>
      </c>
      <c r="E1109" s="7" t="s">
        <v>5790</v>
      </c>
      <c r="F1109" s="7" t="s">
        <v>5791</v>
      </c>
      <c r="G1109" s="7"/>
      <c r="H1109" s="46" t="s">
        <v>249</v>
      </c>
      <c r="I1109" s="7" t="s">
        <v>160</v>
      </c>
      <c r="J1109" s="7" t="s">
        <v>148</v>
      </c>
      <c r="K1109" s="7"/>
      <c r="L1109" s="7"/>
      <c r="M1109" s="7"/>
    </row>
    <row r="1110" ht="15.75" customHeight="1">
      <c r="A1110" s="7" t="s">
        <v>5792</v>
      </c>
      <c r="B1110" s="45" t="s">
        <v>5793</v>
      </c>
      <c r="C1110" s="7" t="s">
        <v>5794</v>
      </c>
      <c r="D1110" s="7" t="s">
        <v>5789</v>
      </c>
      <c r="E1110" s="7" t="s">
        <v>5790</v>
      </c>
      <c r="F1110" s="7" t="s">
        <v>5791</v>
      </c>
      <c r="G1110" s="7"/>
      <c r="H1110" s="46" t="s">
        <v>249</v>
      </c>
      <c r="I1110" s="7" t="s">
        <v>160</v>
      </c>
      <c r="J1110" s="7" t="s">
        <v>148</v>
      </c>
      <c r="K1110" s="7"/>
      <c r="L1110" s="7"/>
      <c r="M1110" s="7"/>
    </row>
    <row r="1111" ht="15.75" customHeight="1">
      <c r="A1111" s="7" t="s">
        <v>5795</v>
      </c>
      <c r="B1111" s="45" t="s">
        <v>5796</v>
      </c>
      <c r="C1111" s="7" t="s">
        <v>5797</v>
      </c>
      <c r="D1111" s="7" t="s">
        <v>5798</v>
      </c>
      <c r="E1111" s="7" t="s">
        <v>5799</v>
      </c>
      <c r="F1111" s="7" t="s">
        <v>5800</v>
      </c>
      <c r="G1111" s="7" t="s">
        <v>5801</v>
      </c>
      <c r="H1111" s="46" t="s">
        <v>249</v>
      </c>
      <c r="I1111" s="7" t="s">
        <v>160</v>
      </c>
      <c r="J1111" s="7" t="s">
        <v>148</v>
      </c>
      <c r="K1111" s="7"/>
      <c r="L1111" s="7"/>
      <c r="M1111" s="7"/>
    </row>
    <row r="1112" ht="15.75" customHeight="1">
      <c r="A1112" s="7" t="s">
        <v>5802</v>
      </c>
      <c r="B1112" s="45" t="s">
        <v>5803</v>
      </c>
      <c r="C1112" s="7" t="s">
        <v>5804</v>
      </c>
      <c r="D1112" s="7" t="s">
        <v>5805</v>
      </c>
      <c r="E1112" s="7" t="s">
        <v>5806</v>
      </c>
      <c r="F1112" s="7" t="s">
        <v>5807</v>
      </c>
      <c r="G1112" s="7" t="s">
        <v>5808</v>
      </c>
      <c r="H1112" s="46" t="s">
        <v>249</v>
      </c>
      <c r="I1112" s="7" t="s">
        <v>160</v>
      </c>
      <c r="J1112" s="7" t="s">
        <v>148</v>
      </c>
      <c r="K1112" s="7"/>
      <c r="L1112" s="7"/>
      <c r="M1112" s="7"/>
    </row>
    <row r="1113" ht="15.75" customHeight="1">
      <c r="A1113" s="7" t="s">
        <v>5809</v>
      </c>
      <c r="B1113" s="45" t="s">
        <v>5810</v>
      </c>
      <c r="C1113" s="7" t="s">
        <v>1889</v>
      </c>
      <c r="D1113" s="7" t="s">
        <v>5811</v>
      </c>
      <c r="E1113" s="7" t="s">
        <v>5812</v>
      </c>
      <c r="F1113" s="7" t="s">
        <v>5813</v>
      </c>
      <c r="G1113" s="7"/>
      <c r="H1113" s="46" t="s">
        <v>249</v>
      </c>
      <c r="I1113" s="7" t="s">
        <v>160</v>
      </c>
      <c r="J1113" s="7" t="s">
        <v>148</v>
      </c>
      <c r="K1113" s="7"/>
      <c r="L1113" s="7"/>
      <c r="M1113" s="7"/>
    </row>
    <row r="1114" ht="15.75" customHeight="1">
      <c r="A1114" s="7" t="s">
        <v>5814</v>
      </c>
      <c r="B1114" s="45" t="s">
        <v>5815</v>
      </c>
      <c r="C1114" s="7" t="s">
        <v>5816</v>
      </c>
      <c r="D1114" s="7" t="s">
        <v>5817</v>
      </c>
      <c r="E1114" s="7" t="s">
        <v>5818</v>
      </c>
      <c r="F1114" s="7" t="s">
        <v>5819</v>
      </c>
      <c r="G1114" s="7"/>
      <c r="H1114" s="46" t="s">
        <v>249</v>
      </c>
      <c r="I1114" s="7" t="s">
        <v>160</v>
      </c>
      <c r="J1114" s="7" t="s">
        <v>148</v>
      </c>
      <c r="K1114" s="7"/>
      <c r="L1114" s="7"/>
      <c r="M1114" s="7"/>
    </row>
    <row r="1115" ht="15.75" customHeight="1">
      <c r="A1115" s="7" t="s">
        <v>5820</v>
      </c>
      <c r="B1115" s="45" t="s">
        <v>5821</v>
      </c>
      <c r="C1115" s="7" t="s">
        <v>5822</v>
      </c>
      <c r="D1115" s="7" t="s">
        <v>5823</v>
      </c>
      <c r="E1115" s="7" t="s">
        <v>5824</v>
      </c>
      <c r="F1115" s="7" t="s">
        <v>5825</v>
      </c>
      <c r="G1115" s="7"/>
      <c r="H1115" s="46" t="s">
        <v>249</v>
      </c>
      <c r="I1115" s="7" t="s">
        <v>160</v>
      </c>
      <c r="J1115" s="7" t="s">
        <v>148</v>
      </c>
      <c r="K1115" s="7"/>
      <c r="L1115" s="7"/>
      <c r="M1115" s="7"/>
    </row>
    <row r="1116" ht="15.75" customHeight="1">
      <c r="A1116" s="7" t="s">
        <v>5826</v>
      </c>
      <c r="B1116" s="45" t="s">
        <v>5827</v>
      </c>
      <c r="C1116" s="7" t="s">
        <v>5828</v>
      </c>
      <c r="D1116" s="7" t="s">
        <v>5829</v>
      </c>
      <c r="E1116" s="7" t="s">
        <v>5830</v>
      </c>
      <c r="F1116" s="7" t="s">
        <v>5831</v>
      </c>
      <c r="G1116" s="7"/>
      <c r="H1116" s="46" t="s">
        <v>249</v>
      </c>
      <c r="I1116" s="7" t="s">
        <v>160</v>
      </c>
      <c r="J1116" s="7" t="s">
        <v>148</v>
      </c>
      <c r="K1116" s="7"/>
      <c r="L1116" s="7"/>
      <c r="M1116" s="7"/>
    </row>
    <row r="1117" ht="15.75" customHeight="1">
      <c r="A1117" s="7" t="s">
        <v>5832</v>
      </c>
      <c r="B1117" s="45" t="s">
        <v>5833</v>
      </c>
      <c r="C1117" s="7" t="s">
        <v>5834</v>
      </c>
      <c r="D1117" s="7" t="s">
        <v>5835</v>
      </c>
      <c r="E1117" s="7" t="s">
        <v>5836</v>
      </c>
      <c r="F1117" s="7" t="s">
        <v>5837</v>
      </c>
      <c r="G1117" s="7"/>
      <c r="H1117" s="46" t="s">
        <v>249</v>
      </c>
      <c r="I1117" s="7" t="s">
        <v>160</v>
      </c>
      <c r="J1117" s="7" t="s">
        <v>148</v>
      </c>
      <c r="K1117" s="7"/>
      <c r="L1117" s="7"/>
      <c r="M1117" s="7"/>
    </row>
    <row r="1118" ht="15.75" customHeight="1">
      <c r="A1118" s="7" t="s">
        <v>5838</v>
      </c>
      <c r="B1118" s="45" t="s">
        <v>5839</v>
      </c>
      <c r="C1118" s="7" t="s">
        <v>1889</v>
      </c>
      <c r="D1118" s="7" t="s">
        <v>5840</v>
      </c>
      <c r="E1118" s="7" t="s">
        <v>5841</v>
      </c>
      <c r="F1118" s="7" t="s">
        <v>5813</v>
      </c>
      <c r="G1118" s="7"/>
      <c r="H1118" s="46" t="s">
        <v>249</v>
      </c>
      <c r="I1118" s="7" t="s">
        <v>160</v>
      </c>
      <c r="J1118" s="7" t="s">
        <v>148</v>
      </c>
      <c r="K1118" s="7"/>
      <c r="L1118" s="7"/>
      <c r="M1118" s="7"/>
    </row>
    <row r="1119" ht="15.75" customHeight="1">
      <c r="A1119" s="7" t="s">
        <v>5842</v>
      </c>
      <c r="B1119" s="45" t="s">
        <v>5843</v>
      </c>
      <c r="C1119" s="7" t="s">
        <v>1889</v>
      </c>
      <c r="D1119" s="7" t="s">
        <v>5844</v>
      </c>
      <c r="E1119" s="7" t="s">
        <v>5845</v>
      </c>
      <c r="F1119" s="7" t="s">
        <v>5813</v>
      </c>
      <c r="G1119" s="7"/>
      <c r="H1119" s="46" t="s">
        <v>249</v>
      </c>
      <c r="I1119" s="7" t="s">
        <v>160</v>
      </c>
      <c r="J1119" s="7" t="s">
        <v>148</v>
      </c>
      <c r="K1119" s="7"/>
      <c r="L1119" s="7"/>
      <c r="M1119" s="7"/>
    </row>
    <row r="1120" ht="15.75" customHeight="1">
      <c r="A1120" s="7" t="s">
        <v>5846</v>
      </c>
      <c r="B1120" s="45" t="s">
        <v>5847</v>
      </c>
      <c r="C1120" s="7" t="s">
        <v>5848</v>
      </c>
      <c r="D1120" s="7" t="s">
        <v>5849</v>
      </c>
      <c r="E1120" s="7" t="s">
        <v>5850</v>
      </c>
      <c r="F1120" s="7" t="s">
        <v>5851</v>
      </c>
      <c r="G1120" s="7"/>
      <c r="H1120" s="46" t="s">
        <v>249</v>
      </c>
      <c r="I1120" s="7" t="s">
        <v>160</v>
      </c>
      <c r="J1120" s="7" t="s">
        <v>148</v>
      </c>
      <c r="K1120" s="7"/>
      <c r="L1120" s="7"/>
      <c r="M1120" s="7"/>
    </row>
    <row r="1121" ht="15.75" customHeight="1">
      <c r="A1121" s="7" t="s">
        <v>5852</v>
      </c>
      <c r="B1121" s="45" t="s">
        <v>5853</v>
      </c>
      <c r="C1121" s="7" t="s">
        <v>5854</v>
      </c>
      <c r="D1121" s="7" t="s">
        <v>5855</v>
      </c>
      <c r="E1121" s="7" t="s">
        <v>5856</v>
      </c>
      <c r="F1121" s="7" t="s">
        <v>5851</v>
      </c>
      <c r="G1121" s="7"/>
      <c r="H1121" s="46" t="s">
        <v>249</v>
      </c>
      <c r="I1121" s="7" t="s">
        <v>160</v>
      </c>
      <c r="J1121" s="7" t="s">
        <v>148</v>
      </c>
      <c r="K1121" s="7"/>
      <c r="L1121" s="7"/>
      <c r="M1121" s="7"/>
    </row>
    <row r="1122" ht="15.75" customHeight="1">
      <c r="A1122" s="7" t="s">
        <v>5857</v>
      </c>
      <c r="B1122" s="45" t="s">
        <v>5858</v>
      </c>
      <c r="C1122" s="7" t="s">
        <v>5859</v>
      </c>
      <c r="D1122" s="7" t="s">
        <v>5860</v>
      </c>
      <c r="E1122" s="7" t="s">
        <v>5861</v>
      </c>
      <c r="F1122" s="7" t="s">
        <v>5862</v>
      </c>
      <c r="G1122" s="7"/>
      <c r="H1122" s="46" t="s">
        <v>249</v>
      </c>
      <c r="I1122" s="7" t="s">
        <v>160</v>
      </c>
      <c r="J1122" s="7" t="s">
        <v>148</v>
      </c>
      <c r="K1122" s="7"/>
      <c r="L1122" s="7"/>
      <c r="M1122" s="7"/>
    </row>
    <row r="1123" ht="15.75" customHeight="1">
      <c r="A1123" s="7" t="s">
        <v>5863</v>
      </c>
      <c r="B1123" s="45" t="s">
        <v>5864</v>
      </c>
      <c r="C1123" s="7" t="s">
        <v>5865</v>
      </c>
      <c r="D1123" s="7" t="s">
        <v>5866</v>
      </c>
      <c r="E1123" s="7" t="s">
        <v>5867</v>
      </c>
      <c r="F1123" s="7" t="s">
        <v>5868</v>
      </c>
      <c r="G1123" s="7" t="s">
        <v>5869</v>
      </c>
      <c r="H1123" s="46" t="s">
        <v>249</v>
      </c>
      <c r="I1123" s="7" t="s">
        <v>160</v>
      </c>
      <c r="J1123" s="7" t="s">
        <v>148</v>
      </c>
      <c r="K1123" s="7"/>
      <c r="L1123" s="7"/>
      <c r="M1123" s="7"/>
    </row>
    <row r="1124" ht="15.75" customHeight="1">
      <c r="A1124" s="7" t="s">
        <v>5870</v>
      </c>
      <c r="B1124" s="45" t="s">
        <v>5871</v>
      </c>
      <c r="C1124" s="7" t="s">
        <v>5872</v>
      </c>
      <c r="D1124" s="7" t="s">
        <v>5873</v>
      </c>
      <c r="E1124" s="7" t="s">
        <v>5874</v>
      </c>
      <c r="F1124" s="7" t="s">
        <v>5875</v>
      </c>
      <c r="G1124" s="7"/>
      <c r="H1124" s="46" t="s">
        <v>249</v>
      </c>
      <c r="I1124" s="7" t="s">
        <v>160</v>
      </c>
      <c r="J1124" s="7" t="s">
        <v>148</v>
      </c>
      <c r="K1124" s="7"/>
      <c r="L1124" s="7"/>
      <c r="M1124" s="7"/>
    </row>
    <row r="1125" ht="15.75" customHeight="1">
      <c r="A1125" s="7" t="s">
        <v>5876</v>
      </c>
      <c r="B1125" s="45" t="s">
        <v>5877</v>
      </c>
      <c r="C1125" s="7" t="s">
        <v>5878</v>
      </c>
      <c r="D1125" s="7" t="s">
        <v>5879</v>
      </c>
      <c r="E1125" s="7" t="s">
        <v>5880</v>
      </c>
      <c r="F1125" s="7" t="s">
        <v>5881</v>
      </c>
      <c r="G1125" s="7"/>
      <c r="H1125" s="46" t="s">
        <v>249</v>
      </c>
      <c r="I1125" s="7" t="s">
        <v>160</v>
      </c>
      <c r="J1125" s="7" t="s">
        <v>148</v>
      </c>
      <c r="K1125" s="7"/>
      <c r="L1125" s="7"/>
      <c r="M1125" s="7"/>
    </row>
    <row r="1126" ht="15.75" customHeight="1">
      <c r="A1126" s="7" t="s">
        <v>5882</v>
      </c>
      <c r="B1126" s="45" t="s">
        <v>5883</v>
      </c>
      <c r="C1126" s="7" t="s">
        <v>5884</v>
      </c>
      <c r="D1126" s="7" t="s">
        <v>5885</v>
      </c>
      <c r="E1126" s="7" t="s">
        <v>5886</v>
      </c>
      <c r="F1126" s="7" t="s">
        <v>5887</v>
      </c>
      <c r="G1126" s="7"/>
      <c r="H1126" s="46" t="s">
        <v>249</v>
      </c>
      <c r="I1126" s="7" t="s">
        <v>160</v>
      </c>
      <c r="J1126" s="7" t="s">
        <v>148</v>
      </c>
      <c r="K1126" s="7"/>
      <c r="L1126" s="7"/>
      <c r="M1126" s="7"/>
    </row>
    <row r="1127" ht="15.75" customHeight="1">
      <c r="A1127" s="7" t="s">
        <v>5888</v>
      </c>
      <c r="B1127" s="45" t="s">
        <v>5889</v>
      </c>
      <c r="C1127" s="7" t="s">
        <v>5890</v>
      </c>
      <c r="D1127" s="7" t="s">
        <v>5891</v>
      </c>
      <c r="E1127" s="7" t="s">
        <v>5892</v>
      </c>
      <c r="F1127" s="7" t="s">
        <v>5893</v>
      </c>
      <c r="G1127" s="7"/>
      <c r="H1127" s="46" t="s">
        <v>249</v>
      </c>
      <c r="I1127" s="7" t="s">
        <v>160</v>
      </c>
      <c r="J1127" s="7" t="s">
        <v>148</v>
      </c>
      <c r="K1127" s="7"/>
      <c r="L1127" s="7"/>
      <c r="M1127" s="7"/>
    </row>
    <row r="1128" ht="15.75" customHeight="1">
      <c r="A1128" s="7" t="s">
        <v>5894</v>
      </c>
      <c r="B1128" s="45" t="s">
        <v>5895</v>
      </c>
      <c r="C1128" s="7" t="s">
        <v>5896</v>
      </c>
      <c r="D1128" s="7" t="s">
        <v>5897</v>
      </c>
      <c r="E1128" s="7" t="s">
        <v>5898</v>
      </c>
      <c r="F1128" s="7" t="s">
        <v>5899</v>
      </c>
      <c r="G1128" s="7"/>
      <c r="H1128" s="46" t="s">
        <v>249</v>
      </c>
      <c r="I1128" s="7" t="s">
        <v>160</v>
      </c>
      <c r="J1128" s="7" t="s">
        <v>148</v>
      </c>
      <c r="K1128" s="7"/>
      <c r="L1128" s="7"/>
      <c r="M1128" s="7"/>
    </row>
    <row r="1129" ht="15.75" customHeight="1">
      <c r="A1129" s="7" t="s">
        <v>5900</v>
      </c>
      <c r="B1129" s="45" t="s">
        <v>5901</v>
      </c>
      <c r="C1129" s="7" t="s">
        <v>5902</v>
      </c>
      <c r="D1129" s="7" t="s">
        <v>5903</v>
      </c>
      <c r="E1129" s="7" t="s">
        <v>5904</v>
      </c>
      <c r="F1129" s="7" t="s">
        <v>5905</v>
      </c>
      <c r="G1129" s="7"/>
      <c r="H1129" s="46" t="s">
        <v>249</v>
      </c>
      <c r="I1129" s="7" t="s">
        <v>160</v>
      </c>
      <c r="J1129" s="7" t="s">
        <v>148</v>
      </c>
      <c r="K1129" s="7"/>
      <c r="L1129" s="7"/>
      <c r="M1129" s="7"/>
    </row>
    <row r="1130" ht="15.75" customHeight="1">
      <c r="A1130" s="7" t="s">
        <v>5906</v>
      </c>
      <c r="B1130" s="45" t="s">
        <v>5907</v>
      </c>
      <c r="C1130" s="7" t="s">
        <v>5908</v>
      </c>
      <c r="D1130" s="7" t="s">
        <v>5909</v>
      </c>
      <c r="E1130" s="7" t="s">
        <v>5910</v>
      </c>
      <c r="F1130" s="7" t="s">
        <v>5911</v>
      </c>
      <c r="G1130" s="7"/>
      <c r="H1130" s="46" t="s">
        <v>249</v>
      </c>
      <c r="I1130" s="7" t="s">
        <v>160</v>
      </c>
      <c r="J1130" s="7" t="s">
        <v>148</v>
      </c>
      <c r="K1130" s="7"/>
      <c r="L1130" s="7"/>
      <c r="M1130" s="7"/>
    </row>
    <row r="1131" ht="15.75" customHeight="1">
      <c r="A1131" s="7" t="s">
        <v>5912</v>
      </c>
      <c r="B1131" s="45" t="s">
        <v>5913</v>
      </c>
      <c r="C1131" s="7" t="s">
        <v>5914</v>
      </c>
      <c r="D1131" s="7" t="s">
        <v>5915</v>
      </c>
      <c r="E1131" s="7" t="s">
        <v>5916</v>
      </c>
      <c r="F1131" s="7" t="s">
        <v>5917</v>
      </c>
      <c r="G1131" s="7"/>
      <c r="H1131" s="46" t="s">
        <v>249</v>
      </c>
      <c r="I1131" s="7" t="s">
        <v>160</v>
      </c>
      <c r="J1131" s="7" t="s">
        <v>148</v>
      </c>
      <c r="K1131" s="7"/>
      <c r="L1131" s="7"/>
      <c r="M1131" s="7"/>
    </row>
    <row r="1132" ht="15.75" customHeight="1">
      <c r="A1132" s="7" t="s">
        <v>5918</v>
      </c>
      <c r="B1132" s="45" t="s">
        <v>5919</v>
      </c>
      <c r="C1132" s="7" t="s">
        <v>5920</v>
      </c>
      <c r="D1132" s="7" t="s">
        <v>5921</v>
      </c>
      <c r="E1132" s="7" t="s">
        <v>5922</v>
      </c>
      <c r="F1132" s="7" t="s">
        <v>5923</v>
      </c>
      <c r="G1132" s="7"/>
      <c r="H1132" s="46" t="s">
        <v>249</v>
      </c>
      <c r="I1132" s="7" t="s">
        <v>160</v>
      </c>
      <c r="J1132" s="7" t="s">
        <v>148</v>
      </c>
      <c r="K1132" s="7"/>
      <c r="L1132" s="7"/>
      <c r="M1132" s="7"/>
    </row>
    <row r="1133" ht="15.75" customHeight="1">
      <c r="A1133" s="7" t="s">
        <v>5924</v>
      </c>
      <c r="B1133" s="45" t="s">
        <v>5925</v>
      </c>
      <c r="C1133" s="7" t="s">
        <v>5926</v>
      </c>
      <c r="D1133" s="7" t="s">
        <v>5927</v>
      </c>
      <c r="E1133" s="7" t="s">
        <v>5928</v>
      </c>
      <c r="F1133" s="7" t="s">
        <v>5929</v>
      </c>
      <c r="G1133" s="7"/>
      <c r="H1133" s="46" t="s">
        <v>249</v>
      </c>
      <c r="I1133" s="7" t="s">
        <v>160</v>
      </c>
      <c r="J1133" s="7" t="s">
        <v>148</v>
      </c>
      <c r="K1133" s="7"/>
      <c r="L1133" s="7"/>
      <c r="M1133" s="7"/>
    </row>
    <row r="1134" ht="15.75" customHeight="1">
      <c r="A1134" s="7" t="s">
        <v>5930</v>
      </c>
      <c r="B1134" s="45" t="s">
        <v>5931</v>
      </c>
      <c r="C1134" s="7" t="s">
        <v>5932</v>
      </c>
      <c r="D1134" s="7" t="s">
        <v>5933</v>
      </c>
      <c r="E1134" s="7" t="s">
        <v>5934</v>
      </c>
      <c r="F1134" s="7" t="s">
        <v>5935</v>
      </c>
      <c r="G1134" s="7"/>
      <c r="H1134" s="46" t="s">
        <v>249</v>
      </c>
      <c r="I1134" s="7" t="s">
        <v>160</v>
      </c>
      <c r="J1134" s="7" t="s">
        <v>148</v>
      </c>
      <c r="K1134" s="7"/>
      <c r="L1134" s="7"/>
      <c r="M1134" s="7"/>
    </row>
    <row r="1135" ht="15.75" customHeight="1">
      <c r="A1135" s="7" t="s">
        <v>5936</v>
      </c>
      <c r="B1135" s="45" t="s">
        <v>5937</v>
      </c>
      <c r="C1135" s="7" t="s">
        <v>5938</v>
      </c>
      <c r="D1135" s="7" t="s">
        <v>5939</v>
      </c>
      <c r="E1135" s="7" t="s">
        <v>5940</v>
      </c>
      <c r="F1135" s="7" t="s">
        <v>5941</v>
      </c>
      <c r="G1135" s="7"/>
      <c r="H1135" s="46" t="s">
        <v>249</v>
      </c>
      <c r="I1135" s="7" t="s">
        <v>160</v>
      </c>
      <c r="J1135" s="7" t="s">
        <v>148</v>
      </c>
      <c r="K1135" s="7"/>
      <c r="L1135" s="7"/>
      <c r="M1135" s="7"/>
    </row>
    <row r="1136" ht="15.75" customHeight="1">
      <c r="A1136" s="7" t="s">
        <v>5942</v>
      </c>
      <c r="B1136" s="45" t="s">
        <v>5943</v>
      </c>
      <c r="C1136" s="7" t="s">
        <v>5944</v>
      </c>
      <c r="D1136" s="7" t="s">
        <v>5945</v>
      </c>
      <c r="E1136" s="7" t="s">
        <v>5946</v>
      </c>
      <c r="F1136" s="7" t="s">
        <v>5947</v>
      </c>
      <c r="G1136" s="7"/>
      <c r="H1136" s="46" t="s">
        <v>249</v>
      </c>
      <c r="I1136" s="7" t="s">
        <v>160</v>
      </c>
      <c r="J1136" s="7" t="s">
        <v>148</v>
      </c>
      <c r="K1136" s="7"/>
      <c r="L1136" s="7"/>
      <c r="M1136" s="7"/>
    </row>
    <row r="1137" ht="15.75" customHeight="1">
      <c r="A1137" s="7" t="s">
        <v>5948</v>
      </c>
      <c r="B1137" s="45" t="s">
        <v>5949</v>
      </c>
      <c r="C1137" s="7" t="s">
        <v>5950</v>
      </c>
      <c r="D1137" s="7" t="s">
        <v>5951</v>
      </c>
      <c r="E1137" s="7" t="s">
        <v>5952</v>
      </c>
      <c r="F1137" s="7" t="s">
        <v>5953</v>
      </c>
      <c r="G1137" s="7"/>
      <c r="H1137" s="46" t="s">
        <v>249</v>
      </c>
      <c r="I1137" s="7" t="s">
        <v>160</v>
      </c>
      <c r="J1137" s="7" t="s">
        <v>148</v>
      </c>
      <c r="K1137" s="7"/>
      <c r="L1137" s="7"/>
      <c r="M1137" s="7"/>
    </row>
    <row r="1138" ht="15.75" customHeight="1">
      <c r="A1138" s="7" t="s">
        <v>5954</v>
      </c>
      <c r="B1138" s="45" t="s">
        <v>5955</v>
      </c>
      <c r="C1138" s="7" t="s">
        <v>5950</v>
      </c>
      <c r="D1138" s="7" t="s">
        <v>5956</v>
      </c>
      <c r="E1138" s="7" t="s">
        <v>5952</v>
      </c>
      <c r="F1138" s="7" t="s">
        <v>5953</v>
      </c>
      <c r="G1138" s="7"/>
      <c r="H1138" s="46" t="s">
        <v>249</v>
      </c>
      <c r="I1138" s="7" t="s">
        <v>160</v>
      </c>
      <c r="J1138" s="7" t="s">
        <v>148</v>
      </c>
      <c r="K1138" s="7"/>
      <c r="L1138" s="7"/>
      <c r="M1138" s="7"/>
    </row>
    <row r="1139" ht="15.75" customHeight="1">
      <c r="A1139" s="7" t="s">
        <v>5957</v>
      </c>
      <c r="B1139" s="45" t="s">
        <v>5958</v>
      </c>
      <c r="C1139" s="7" t="s">
        <v>5959</v>
      </c>
      <c r="D1139" s="7" t="s">
        <v>5960</v>
      </c>
      <c r="E1139" s="7" t="s">
        <v>5961</v>
      </c>
      <c r="F1139" s="7" t="s">
        <v>5962</v>
      </c>
      <c r="G1139" s="7"/>
      <c r="H1139" s="46" t="s">
        <v>249</v>
      </c>
      <c r="I1139" s="7" t="s">
        <v>160</v>
      </c>
      <c r="J1139" s="7" t="s">
        <v>148</v>
      </c>
      <c r="K1139" s="7"/>
      <c r="L1139" s="7"/>
      <c r="M1139" s="7"/>
    </row>
    <row r="1140" ht="15.75" customHeight="1">
      <c r="A1140" s="7" t="s">
        <v>5963</v>
      </c>
      <c r="B1140" s="45" t="s">
        <v>5964</v>
      </c>
      <c r="C1140" s="7" t="s">
        <v>5965</v>
      </c>
      <c r="D1140" s="7" t="s">
        <v>5966</v>
      </c>
      <c r="E1140" s="7" t="s">
        <v>5967</v>
      </c>
      <c r="F1140" s="7" t="s">
        <v>5968</v>
      </c>
      <c r="G1140" s="7"/>
      <c r="H1140" s="46" t="s">
        <v>249</v>
      </c>
      <c r="I1140" s="7" t="s">
        <v>160</v>
      </c>
      <c r="J1140" s="7" t="s">
        <v>148</v>
      </c>
      <c r="K1140" s="7"/>
      <c r="L1140" s="7"/>
      <c r="M1140" s="7"/>
    </row>
    <row r="1141" ht="15.75" customHeight="1">
      <c r="A1141" s="7" t="s">
        <v>5969</v>
      </c>
      <c r="B1141" s="45" t="s">
        <v>5970</v>
      </c>
      <c r="C1141" s="7" t="s">
        <v>5965</v>
      </c>
      <c r="D1141" s="7" t="s">
        <v>5971</v>
      </c>
      <c r="E1141" s="7" t="s">
        <v>5972</v>
      </c>
      <c r="F1141" s="7" t="s">
        <v>5968</v>
      </c>
      <c r="G1141" s="7"/>
      <c r="H1141" s="46" t="s">
        <v>249</v>
      </c>
      <c r="I1141" s="7" t="s">
        <v>160</v>
      </c>
      <c r="J1141" s="7" t="s">
        <v>148</v>
      </c>
      <c r="K1141" s="7"/>
      <c r="L1141" s="7"/>
      <c r="M1141" s="7"/>
    </row>
    <row r="1142" ht="15.75" customHeight="1">
      <c r="A1142" s="7" t="s">
        <v>5973</v>
      </c>
      <c r="B1142" s="45" t="s">
        <v>5974</v>
      </c>
      <c r="C1142" s="7" t="s">
        <v>5975</v>
      </c>
      <c r="D1142" s="7" t="s">
        <v>5976</v>
      </c>
      <c r="E1142" s="7" t="s">
        <v>5977</v>
      </c>
      <c r="F1142" s="7" t="s">
        <v>5978</v>
      </c>
      <c r="G1142" s="7"/>
      <c r="H1142" s="46" t="s">
        <v>249</v>
      </c>
      <c r="I1142" s="7" t="s">
        <v>160</v>
      </c>
      <c r="J1142" s="7" t="s">
        <v>148</v>
      </c>
      <c r="K1142" s="7"/>
      <c r="L1142" s="7"/>
      <c r="M1142" s="7"/>
    </row>
    <row r="1143" ht="15.75" customHeight="1">
      <c r="A1143" s="7" t="s">
        <v>5979</v>
      </c>
      <c r="B1143" s="45" t="s">
        <v>5980</v>
      </c>
      <c r="C1143" s="7" t="s">
        <v>5981</v>
      </c>
      <c r="D1143" s="7" t="s">
        <v>5982</v>
      </c>
      <c r="E1143" s="7" t="s">
        <v>5983</v>
      </c>
      <c r="F1143" s="7" t="s">
        <v>5984</v>
      </c>
      <c r="G1143" s="7"/>
      <c r="H1143" s="46" t="s">
        <v>249</v>
      </c>
      <c r="I1143" s="7" t="s">
        <v>160</v>
      </c>
      <c r="J1143" s="7" t="s">
        <v>148</v>
      </c>
      <c r="K1143" s="7"/>
      <c r="L1143" s="7"/>
      <c r="M1143" s="7"/>
    </row>
    <row r="1144" ht="15.75" customHeight="1">
      <c r="A1144" s="7" t="s">
        <v>5985</v>
      </c>
      <c r="B1144" s="45" t="s">
        <v>5986</v>
      </c>
      <c r="C1144" s="7" t="s">
        <v>5987</v>
      </c>
      <c r="D1144" s="7" t="s">
        <v>5988</v>
      </c>
      <c r="E1144" s="7" t="s">
        <v>5989</v>
      </c>
      <c r="F1144" s="7" t="s">
        <v>5990</v>
      </c>
      <c r="G1144" s="7"/>
      <c r="H1144" s="46" t="s">
        <v>249</v>
      </c>
      <c r="I1144" s="7" t="s">
        <v>160</v>
      </c>
      <c r="J1144" s="7" t="s">
        <v>148</v>
      </c>
      <c r="K1144" s="7"/>
      <c r="L1144" s="7"/>
      <c r="M1144" s="7"/>
    </row>
    <row r="1145" ht="15.75" customHeight="1">
      <c r="A1145" s="7" t="s">
        <v>5991</v>
      </c>
      <c r="B1145" s="45" t="s">
        <v>5992</v>
      </c>
      <c r="C1145" s="7" t="s">
        <v>5993</v>
      </c>
      <c r="D1145" s="7" t="s">
        <v>5994</v>
      </c>
      <c r="E1145" s="7" t="s">
        <v>5995</v>
      </c>
      <c r="F1145" s="7" t="s">
        <v>5996</v>
      </c>
      <c r="G1145" s="7"/>
      <c r="H1145" s="46" t="s">
        <v>249</v>
      </c>
      <c r="I1145" s="7" t="s">
        <v>160</v>
      </c>
      <c r="J1145" s="7" t="s">
        <v>148</v>
      </c>
      <c r="K1145" s="7"/>
      <c r="L1145" s="7"/>
      <c r="M1145" s="7"/>
    </row>
    <row r="1146" ht="15.75" customHeight="1">
      <c r="A1146" s="7" t="s">
        <v>5997</v>
      </c>
      <c r="B1146" s="45" t="s">
        <v>5998</v>
      </c>
      <c r="C1146" s="7" t="s">
        <v>5999</v>
      </c>
      <c r="D1146" s="7" t="s">
        <v>6000</v>
      </c>
      <c r="E1146" s="7" t="s">
        <v>6001</v>
      </c>
      <c r="F1146" s="7" t="s">
        <v>6002</v>
      </c>
      <c r="G1146" s="7"/>
      <c r="H1146" s="46" t="s">
        <v>249</v>
      </c>
      <c r="I1146" s="7" t="s">
        <v>160</v>
      </c>
      <c r="J1146" s="7" t="s">
        <v>148</v>
      </c>
      <c r="K1146" s="7"/>
      <c r="L1146" s="7"/>
      <c r="M1146" s="7"/>
    </row>
    <row r="1147" ht="15.75" customHeight="1">
      <c r="A1147" s="7" t="s">
        <v>6003</v>
      </c>
      <c r="B1147" s="45" t="s">
        <v>6004</v>
      </c>
      <c r="C1147" s="7" t="s">
        <v>6005</v>
      </c>
      <c r="D1147" s="7" t="s">
        <v>6006</v>
      </c>
      <c r="E1147" s="7" t="s">
        <v>6007</v>
      </c>
      <c r="F1147" s="7" t="s">
        <v>6008</v>
      </c>
      <c r="G1147" s="7"/>
      <c r="H1147" s="46" t="s">
        <v>249</v>
      </c>
      <c r="I1147" s="7" t="s">
        <v>160</v>
      </c>
      <c r="J1147" s="7" t="s">
        <v>148</v>
      </c>
      <c r="K1147" s="7"/>
      <c r="L1147" s="7"/>
      <c r="M1147" s="7"/>
    </row>
    <row r="1148" ht="15.75" customHeight="1">
      <c r="A1148" s="7" t="s">
        <v>6009</v>
      </c>
      <c r="B1148" s="45" t="s">
        <v>6010</v>
      </c>
      <c r="C1148" s="7" t="s">
        <v>6011</v>
      </c>
      <c r="D1148" s="7" t="s">
        <v>6012</v>
      </c>
      <c r="E1148" s="7" t="s">
        <v>6013</v>
      </c>
      <c r="F1148" s="7" t="s">
        <v>6014</v>
      </c>
      <c r="G1148" s="7"/>
      <c r="H1148" s="46" t="s">
        <v>249</v>
      </c>
      <c r="I1148" s="7" t="s">
        <v>160</v>
      </c>
      <c r="J1148" s="7" t="s">
        <v>148</v>
      </c>
      <c r="K1148" s="7"/>
      <c r="L1148" s="7"/>
      <c r="M1148" s="7"/>
    </row>
    <row r="1149" ht="15.75" customHeight="1">
      <c r="A1149" s="7" t="s">
        <v>6015</v>
      </c>
      <c r="B1149" s="45" t="s">
        <v>6016</v>
      </c>
      <c r="C1149" s="7" t="s">
        <v>6017</v>
      </c>
      <c r="D1149" s="7" t="s">
        <v>6018</v>
      </c>
      <c r="E1149" s="7" t="s">
        <v>3589</v>
      </c>
      <c r="F1149" s="7" t="s">
        <v>3590</v>
      </c>
      <c r="G1149" s="7"/>
      <c r="H1149" s="46" t="s">
        <v>249</v>
      </c>
      <c r="I1149" s="7" t="s">
        <v>160</v>
      </c>
      <c r="J1149" s="7" t="s">
        <v>148</v>
      </c>
      <c r="K1149" s="7"/>
      <c r="L1149" s="7"/>
      <c r="M1149" s="7"/>
    </row>
    <row r="1150" ht="15.75" customHeight="1">
      <c r="A1150" s="7" t="s">
        <v>6019</v>
      </c>
      <c r="B1150" s="45" t="s">
        <v>6020</v>
      </c>
      <c r="C1150" s="7" t="s">
        <v>6021</v>
      </c>
      <c r="D1150" s="7" t="s">
        <v>3588</v>
      </c>
      <c r="E1150" s="7" t="s">
        <v>3589</v>
      </c>
      <c r="F1150" s="7" t="s">
        <v>6022</v>
      </c>
      <c r="G1150" s="7" t="s">
        <v>6023</v>
      </c>
      <c r="H1150" s="46" t="s">
        <v>249</v>
      </c>
      <c r="I1150" s="7" t="s">
        <v>160</v>
      </c>
      <c r="J1150" s="7" t="s">
        <v>148</v>
      </c>
      <c r="K1150" s="7"/>
      <c r="L1150" s="7"/>
      <c r="M1150" s="7"/>
    </row>
    <row r="1151" ht="15.75" customHeight="1">
      <c r="A1151" s="7" t="s">
        <v>6024</v>
      </c>
      <c r="B1151" s="45" t="s">
        <v>6025</v>
      </c>
      <c r="C1151" s="7" t="s">
        <v>6026</v>
      </c>
      <c r="D1151" s="7" t="s">
        <v>6027</v>
      </c>
      <c r="E1151" s="7" t="s">
        <v>6028</v>
      </c>
      <c r="F1151" s="7" t="s">
        <v>6029</v>
      </c>
      <c r="G1151" s="7"/>
      <c r="H1151" s="46" t="s">
        <v>249</v>
      </c>
      <c r="I1151" s="7" t="s">
        <v>160</v>
      </c>
      <c r="J1151" s="7" t="s">
        <v>148</v>
      </c>
      <c r="K1151" s="7"/>
      <c r="L1151" s="7"/>
      <c r="M1151" s="7"/>
    </row>
    <row r="1152" ht="15.75" customHeight="1">
      <c r="A1152" s="7" t="s">
        <v>6030</v>
      </c>
      <c r="B1152" s="45" t="s">
        <v>6031</v>
      </c>
      <c r="C1152" s="7" t="s">
        <v>6026</v>
      </c>
      <c r="D1152" s="7" t="s">
        <v>6032</v>
      </c>
      <c r="E1152" s="7" t="s">
        <v>6033</v>
      </c>
      <c r="F1152" s="7" t="s">
        <v>6029</v>
      </c>
      <c r="G1152" s="7"/>
      <c r="H1152" s="46" t="s">
        <v>249</v>
      </c>
      <c r="I1152" s="7" t="s">
        <v>160</v>
      </c>
      <c r="J1152" s="7" t="s">
        <v>148</v>
      </c>
      <c r="K1152" s="7"/>
      <c r="L1152" s="7"/>
      <c r="M1152" s="7"/>
    </row>
    <row r="1153" ht="15.75" customHeight="1">
      <c r="A1153" s="7" t="s">
        <v>6034</v>
      </c>
      <c r="B1153" s="45" t="s">
        <v>6035</v>
      </c>
      <c r="C1153" s="7" t="s">
        <v>6026</v>
      </c>
      <c r="D1153" s="7" t="s">
        <v>6036</v>
      </c>
      <c r="E1153" s="7" t="s">
        <v>6037</v>
      </c>
      <c r="F1153" s="7" t="s">
        <v>6029</v>
      </c>
      <c r="G1153" s="7"/>
      <c r="H1153" s="46" t="s">
        <v>249</v>
      </c>
      <c r="I1153" s="7" t="s">
        <v>160</v>
      </c>
      <c r="J1153" s="7" t="s">
        <v>148</v>
      </c>
      <c r="K1153" s="7"/>
      <c r="L1153" s="7"/>
      <c r="M1153" s="7"/>
    </row>
    <row r="1154" ht="15.75" customHeight="1">
      <c r="A1154" s="7" t="s">
        <v>6038</v>
      </c>
      <c r="B1154" s="45" t="s">
        <v>6039</v>
      </c>
      <c r="C1154" s="7" t="s">
        <v>6040</v>
      </c>
      <c r="D1154" s="7" t="s">
        <v>6041</v>
      </c>
      <c r="E1154" s="7" t="s">
        <v>6042</v>
      </c>
      <c r="F1154" s="7" t="s">
        <v>6029</v>
      </c>
      <c r="G1154" s="7"/>
      <c r="H1154" s="46" t="s">
        <v>249</v>
      </c>
      <c r="I1154" s="7" t="s">
        <v>160</v>
      </c>
      <c r="J1154" s="7" t="s">
        <v>148</v>
      </c>
      <c r="K1154" s="7"/>
      <c r="L1154" s="7"/>
      <c r="M1154" s="7"/>
    </row>
    <row r="1155" ht="15.75" customHeight="1">
      <c r="A1155" s="7" t="s">
        <v>6043</v>
      </c>
      <c r="B1155" s="45" t="s">
        <v>6044</v>
      </c>
      <c r="C1155" s="7" t="s">
        <v>6045</v>
      </c>
      <c r="D1155" s="7" t="s">
        <v>6046</v>
      </c>
      <c r="E1155" s="7" t="s">
        <v>6047</v>
      </c>
      <c r="F1155" s="7" t="s">
        <v>6048</v>
      </c>
      <c r="G1155" s="7"/>
      <c r="H1155" s="46" t="s">
        <v>249</v>
      </c>
      <c r="I1155" s="7" t="s">
        <v>160</v>
      </c>
      <c r="J1155" s="7" t="s">
        <v>148</v>
      </c>
      <c r="K1155" s="7"/>
      <c r="L1155" s="7"/>
      <c r="M1155" s="7"/>
    </row>
    <row r="1156" ht="15.75" customHeight="1">
      <c r="A1156" s="7" t="s">
        <v>6049</v>
      </c>
      <c r="B1156" s="45" t="s">
        <v>6050</v>
      </c>
      <c r="C1156" s="7" t="s">
        <v>6051</v>
      </c>
      <c r="D1156" s="7" t="s">
        <v>6052</v>
      </c>
      <c r="E1156" s="7" t="s">
        <v>6053</v>
      </c>
      <c r="F1156" s="7" t="s">
        <v>6054</v>
      </c>
      <c r="G1156" s="7"/>
      <c r="H1156" s="46" t="s">
        <v>249</v>
      </c>
      <c r="I1156" s="7" t="s">
        <v>160</v>
      </c>
      <c r="J1156" s="7" t="s">
        <v>148</v>
      </c>
      <c r="K1156" s="7"/>
      <c r="L1156" s="7"/>
      <c r="M1156" s="7"/>
    </row>
    <row r="1157" ht="15.75" customHeight="1">
      <c r="A1157" s="7" t="s">
        <v>6055</v>
      </c>
      <c r="B1157" s="45" t="s">
        <v>6056</v>
      </c>
      <c r="C1157" s="7" t="s">
        <v>6057</v>
      </c>
      <c r="D1157" s="7" t="s">
        <v>6058</v>
      </c>
      <c r="E1157" s="7" t="s">
        <v>6059</v>
      </c>
      <c r="F1157" s="7" t="s">
        <v>6060</v>
      </c>
      <c r="G1157" s="7"/>
      <c r="H1157" s="46" t="s">
        <v>249</v>
      </c>
      <c r="I1157" s="7" t="s">
        <v>160</v>
      </c>
      <c r="J1157" s="7" t="s">
        <v>148</v>
      </c>
      <c r="K1157" s="7"/>
      <c r="L1157" s="7"/>
      <c r="M1157" s="7"/>
    </row>
    <row r="1158" ht="15.75" customHeight="1">
      <c r="A1158" s="7" t="s">
        <v>6061</v>
      </c>
      <c r="B1158" s="45" t="s">
        <v>6062</v>
      </c>
      <c r="C1158" s="7" t="s">
        <v>6063</v>
      </c>
      <c r="D1158" s="7" t="s">
        <v>6064</v>
      </c>
      <c r="E1158" s="7" t="s">
        <v>6065</v>
      </c>
      <c r="F1158" s="7" t="s">
        <v>6066</v>
      </c>
      <c r="G1158" s="7"/>
      <c r="H1158" s="46" t="s">
        <v>249</v>
      </c>
      <c r="I1158" s="7" t="s">
        <v>160</v>
      </c>
      <c r="J1158" s="7" t="s">
        <v>148</v>
      </c>
      <c r="K1158" s="7"/>
      <c r="L1158" s="7"/>
      <c r="M1158" s="7"/>
    </row>
    <row r="1159" ht="15.75" customHeight="1">
      <c r="A1159" s="7" t="s">
        <v>6067</v>
      </c>
      <c r="B1159" s="45" t="s">
        <v>6068</v>
      </c>
      <c r="C1159" s="7" t="s">
        <v>6069</v>
      </c>
      <c r="D1159" s="7" t="s">
        <v>6070</v>
      </c>
      <c r="E1159" s="7" t="s">
        <v>6071</v>
      </c>
      <c r="F1159" s="7" t="s">
        <v>6072</v>
      </c>
      <c r="G1159" s="7" t="s">
        <v>6073</v>
      </c>
      <c r="H1159" s="46" t="s">
        <v>249</v>
      </c>
      <c r="I1159" s="7" t="s">
        <v>160</v>
      </c>
      <c r="J1159" s="7" t="s">
        <v>148</v>
      </c>
      <c r="K1159" s="7"/>
      <c r="L1159" s="7"/>
      <c r="M1159" s="7"/>
    </row>
    <row r="1160" ht="15.75" customHeight="1">
      <c r="A1160" s="7" t="s">
        <v>6074</v>
      </c>
      <c r="B1160" s="45" t="s">
        <v>6075</v>
      </c>
      <c r="C1160" s="7" t="s">
        <v>6076</v>
      </c>
      <c r="D1160" s="7" t="s">
        <v>6077</v>
      </c>
      <c r="E1160" s="7" t="s">
        <v>6078</v>
      </c>
      <c r="F1160" s="7" t="s">
        <v>6079</v>
      </c>
      <c r="G1160" s="7" t="s">
        <v>6080</v>
      </c>
      <c r="H1160" s="46" t="s">
        <v>249</v>
      </c>
      <c r="I1160" s="7" t="s">
        <v>160</v>
      </c>
      <c r="J1160" s="7" t="s">
        <v>148</v>
      </c>
      <c r="K1160" s="7"/>
      <c r="L1160" s="7"/>
      <c r="M1160" s="7"/>
    </row>
    <row r="1161" ht="15.75" customHeight="1">
      <c r="A1161" s="7" t="s">
        <v>6081</v>
      </c>
      <c r="B1161" s="45" t="s">
        <v>6082</v>
      </c>
      <c r="C1161" s="7" t="s">
        <v>6083</v>
      </c>
      <c r="D1161" s="7" t="s">
        <v>6084</v>
      </c>
      <c r="E1161" s="7" t="s">
        <v>6085</v>
      </c>
      <c r="F1161" s="7" t="s">
        <v>6086</v>
      </c>
      <c r="G1161" s="7" t="s">
        <v>6087</v>
      </c>
      <c r="H1161" s="46" t="s">
        <v>249</v>
      </c>
      <c r="I1161" s="7" t="s">
        <v>160</v>
      </c>
      <c r="J1161" s="7" t="s">
        <v>148</v>
      </c>
      <c r="K1161" s="7"/>
      <c r="L1161" s="7"/>
      <c r="M1161" s="7"/>
    </row>
    <row r="1162" ht="15.75" customHeight="1">
      <c r="A1162" s="7" t="s">
        <v>6088</v>
      </c>
      <c r="B1162" s="45" t="s">
        <v>6089</v>
      </c>
      <c r="C1162" s="7" t="s">
        <v>6090</v>
      </c>
      <c r="D1162" s="7" t="s">
        <v>6091</v>
      </c>
      <c r="E1162" s="7" t="s">
        <v>6092</v>
      </c>
      <c r="F1162" s="7" t="s">
        <v>6093</v>
      </c>
      <c r="G1162" s="7"/>
      <c r="H1162" s="46" t="s">
        <v>249</v>
      </c>
      <c r="I1162" s="7" t="s">
        <v>160</v>
      </c>
      <c r="J1162" s="7" t="s">
        <v>148</v>
      </c>
      <c r="K1162" s="7"/>
      <c r="L1162" s="7"/>
      <c r="M1162" s="7"/>
    </row>
    <row r="1163" ht="15.75" customHeight="1">
      <c r="A1163" s="7" t="s">
        <v>6094</v>
      </c>
      <c r="B1163" s="45" t="s">
        <v>6095</v>
      </c>
      <c r="C1163" s="7" t="s">
        <v>6096</v>
      </c>
      <c r="D1163" s="7" t="s">
        <v>6097</v>
      </c>
      <c r="E1163" s="7" t="s">
        <v>6098</v>
      </c>
      <c r="F1163" s="7" t="s">
        <v>6099</v>
      </c>
      <c r="G1163" s="7"/>
      <c r="H1163" s="46" t="s">
        <v>249</v>
      </c>
      <c r="I1163" s="7" t="s">
        <v>160</v>
      </c>
      <c r="J1163" s="7" t="s">
        <v>148</v>
      </c>
      <c r="K1163" s="7"/>
      <c r="L1163" s="7"/>
      <c r="M1163" s="7"/>
    </row>
    <row r="1164" ht="15.75" customHeight="1">
      <c r="A1164" s="7" t="s">
        <v>6100</v>
      </c>
      <c r="B1164" s="45" t="s">
        <v>6101</v>
      </c>
      <c r="C1164" s="7" t="s">
        <v>6102</v>
      </c>
      <c r="D1164" s="7" t="s">
        <v>6103</v>
      </c>
      <c r="E1164" s="7" t="s">
        <v>6104</v>
      </c>
      <c r="F1164" s="7" t="s">
        <v>6105</v>
      </c>
      <c r="G1164" s="7"/>
      <c r="H1164" s="46" t="s">
        <v>249</v>
      </c>
      <c r="I1164" s="7" t="s">
        <v>160</v>
      </c>
      <c r="J1164" s="7" t="s">
        <v>148</v>
      </c>
      <c r="K1164" s="7"/>
      <c r="L1164" s="7"/>
      <c r="M1164" s="7"/>
    </row>
    <row r="1165" ht="15.75" customHeight="1">
      <c r="A1165" s="7" t="s">
        <v>6106</v>
      </c>
      <c r="B1165" s="45" t="s">
        <v>6107</v>
      </c>
      <c r="C1165" s="7" t="s">
        <v>6108</v>
      </c>
      <c r="D1165" s="7" t="s">
        <v>6109</v>
      </c>
      <c r="E1165" s="7" t="s">
        <v>6110</v>
      </c>
      <c r="F1165" s="7" t="s">
        <v>6111</v>
      </c>
      <c r="G1165" s="7"/>
      <c r="H1165" s="46" t="s">
        <v>249</v>
      </c>
      <c r="I1165" s="7" t="s">
        <v>160</v>
      </c>
      <c r="J1165" s="7" t="s">
        <v>148</v>
      </c>
      <c r="K1165" s="7"/>
      <c r="L1165" s="7"/>
      <c r="M1165" s="7"/>
    </row>
    <row r="1166" ht="15.75" customHeight="1">
      <c r="A1166" s="7" t="s">
        <v>6112</v>
      </c>
      <c r="B1166" s="45" t="s">
        <v>6113</v>
      </c>
      <c r="C1166" s="7" t="s">
        <v>6114</v>
      </c>
      <c r="D1166" s="7" t="s">
        <v>6115</v>
      </c>
      <c r="E1166" s="7" t="s">
        <v>6116</v>
      </c>
      <c r="F1166" s="7" t="s">
        <v>6117</v>
      </c>
      <c r="G1166" s="7"/>
      <c r="H1166" s="46" t="s">
        <v>249</v>
      </c>
      <c r="I1166" s="7" t="s">
        <v>160</v>
      </c>
      <c r="J1166" s="7" t="s">
        <v>148</v>
      </c>
      <c r="K1166" s="7"/>
      <c r="L1166" s="7"/>
      <c r="M1166" s="7"/>
    </row>
    <row r="1167" ht="15.75" customHeight="1">
      <c r="A1167" s="7" t="s">
        <v>6118</v>
      </c>
      <c r="B1167" s="45" t="s">
        <v>6119</v>
      </c>
      <c r="C1167" s="7" t="s">
        <v>6114</v>
      </c>
      <c r="D1167" s="7" t="s">
        <v>6120</v>
      </c>
      <c r="E1167" s="7" t="s">
        <v>6121</v>
      </c>
      <c r="F1167" s="7" t="s">
        <v>6117</v>
      </c>
      <c r="G1167" s="7"/>
      <c r="H1167" s="46" t="s">
        <v>249</v>
      </c>
      <c r="I1167" s="7" t="s">
        <v>160</v>
      </c>
      <c r="J1167" s="7" t="s">
        <v>148</v>
      </c>
      <c r="K1167" s="7"/>
      <c r="L1167" s="7"/>
      <c r="M1167" s="7"/>
    </row>
    <row r="1168" ht="15.75" customHeight="1">
      <c r="A1168" s="7" t="s">
        <v>6122</v>
      </c>
      <c r="B1168" s="45" t="s">
        <v>6123</v>
      </c>
      <c r="C1168" s="7" t="s">
        <v>4669</v>
      </c>
      <c r="D1168" s="7" t="s">
        <v>6124</v>
      </c>
      <c r="E1168" s="7" t="s">
        <v>4671</v>
      </c>
      <c r="F1168" s="7" t="s">
        <v>4672</v>
      </c>
      <c r="G1168" s="7"/>
      <c r="H1168" s="46" t="s">
        <v>249</v>
      </c>
      <c r="I1168" s="7" t="s">
        <v>160</v>
      </c>
      <c r="J1168" s="7" t="s">
        <v>148</v>
      </c>
      <c r="K1168" s="7"/>
      <c r="L1168" s="7"/>
      <c r="M1168" s="7"/>
    </row>
    <row r="1169" ht="15.75" customHeight="1">
      <c r="A1169" s="7" t="s">
        <v>6125</v>
      </c>
      <c r="B1169" s="45" t="s">
        <v>6126</v>
      </c>
      <c r="C1169" s="7" t="s">
        <v>4669</v>
      </c>
      <c r="D1169" s="7" t="s">
        <v>6127</v>
      </c>
      <c r="E1169" s="7" t="s">
        <v>6128</v>
      </c>
      <c r="F1169" s="7" t="s">
        <v>4672</v>
      </c>
      <c r="G1169" s="7"/>
      <c r="H1169" s="46" t="s">
        <v>249</v>
      </c>
      <c r="I1169" s="7" t="s">
        <v>160</v>
      </c>
      <c r="J1169" s="7" t="s">
        <v>148</v>
      </c>
      <c r="K1169" s="7"/>
      <c r="L1169" s="7"/>
      <c r="M1169" s="7"/>
    </row>
    <row r="1170" ht="15.75" customHeight="1">
      <c r="A1170" s="7" t="s">
        <v>6129</v>
      </c>
      <c r="B1170" s="45" t="s">
        <v>6130</v>
      </c>
      <c r="C1170" s="7" t="s">
        <v>6131</v>
      </c>
      <c r="D1170" s="7" t="s">
        <v>6132</v>
      </c>
      <c r="E1170" s="7" t="s">
        <v>6133</v>
      </c>
      <c r="F1170" s="7" t="s">
        <v>6134</v>
      </c>
      <c r="G1170" s="7"/>
      <c r="H1170" s="46" t="s">
        <v>249</v>
      </c>
      <c r="I1170" s="7" t="s">
        <v>160</v>
      </c>
      <c r="J1170" s="7" t="s">
        <v>148</v>
      </c>
      <c r="K1170" s="7"/>
      <c r="L1170" s="7"/>
      <c r="M1170" s="7"/>
    </row>
    <row r="1171" ht="15.75" customHeight="1">
      <c r="A1171" s="7" t="s">
        <v>6135</v>
      </c>
      <c r="B1171" s="45" t="s">
        <v>6136</v>
      </c>
      <c r="C1171" s="7" t="s">
        <v>6137</v>
      </c>
      <c r="D1171" s="7" t="s">
        <v>6138</v>
      </c>
      <c r="E1171" s="7" t="s">
        <v>6139</v>
      </c>
      <c r="F1171" s="7" t="s">
        <v>6140</v>
      </c>
      <c r="G1171" s="7"/>
      <c r="H1171" s="46" t="s">
        <v>249</v>
      </c>
      <c r="I1171" s="7" t="s">
        <v>160</v>
      </c>
      <c r="J1171" s="7" t="s">
        <v>148</v>
      </c>
      <c r="K1171" s="7"/>
      <c r="L1171" s="7"/>
      <c r="M1171" s="7"/>
    </row>
    <row r="1172" ht="15.75" customHeight="1">
      <c r="A1172" s="7" t="s">
        <v>6141</v>
      </c>
      <c r="B1172" s="45" t="s">
        <v>6142</v>
      </c>
      <c r="C1172" s="7" t="s">
        <v>5767</v>
      </c>
      <c r="D1172" s="7" t="s">
        <v>6143</v>
      </c>
      <c r="E1172" s="7" t="s">
        <v>6144</v>
      </c>
      <c r="F1172" s="7" t="s">
        <v>5770</v>
      </c>
      <c r="G1172" s="7"/>
      <c r="H1172" s="46" t="s">
        <v>249</v>
      </c>
      <c r="I1172" s="7" t="s">
        <v>160</v>
      </c>
      <c r="J1172" s="7" t="s">
        <v>148</v>
      </c>
      <c r="K1172" s="7"/>
      <c r="L1172" s="7"/>
      <c r="M1172" s="7"/>
    </row>
    <row r="1173" ht="15.75" customHeight="1">
      <c r="A1173" s="7" t="s">
        <v>6145</v>
      </c>
      <c r="B1173" s="45" t="s">
        <v>6146</v>
      </c>
      <c r="C1173" s="7" t="s">
        <v>6147</v>
      </c>
      <c r="D1173" s="7" t="s">
        <v>6148</v>
      </c>
      <c r="E1173" s="7" t="s">
        <v>6149</v>
      </c>
      <c r="F1173" s="7" t="s">
        <v>6150</v>
      </c>
      <c r="G1173" s="7"/>
      <c r="H1173" s="46" t="s">
        <v>249</v>
      </c>
      <c r="I1173" s="7" t="s">
        <v>160</v>
      </c>
      <c r="J1173" s="7" t="s">
        <v>148</v>
      </c>
      <c r="K1173" s="7"/>
      <c r="L1173" s="7"/>
      <c r="M1173" s="7"/>
    </row>
    <row r="1174" ht="15.75" customHeight="1">
      <c r="A1174" s="7" t="s">
        <v>6151</v>
      </c>
      <c r="B1174" s="45" t="s">
        <v>6152</v>
      </c>
      <c r="C1174" s="7" t="s">
        <v>6153</v>
      </c>
      <c r="D1174" s="7" t="s">
        <v>5798</v>
      </c>
      <c r="E1174" s="7" t="s">
        <v>5799</v>
      </c>
      <c r="F1174" s="7" t="s">
        <v>5800</v>
      </c>
      <c r="G1174" s="7"/>
      <c r="H1174" s="46" t="s">
        <v>249</v>
      </c>
      <c r="I1174" s="7" t="s">
        <v>160</v>
      </c>
      <c r="J1174" s="7" t="s">
        <v>148</v>
      </c>
      <c r="K1174" s="7"/>
      <c r="L1174" s="7"/>
      <c r="M1174" s="7"/>
    </row>
    <row r="1175" ht="15.75" customHeight="1">
      <c r="A1175" s="7" t="s">
        <v>6154</v>
      </c>
      <c r="B1175" s="45" t="s">
        <v>6155</v>
      </c>
      <c r="C1175" s="7" t="s">
        <v>6156</v>
      </c>
      <c r="D1175" s="7" t="s">
        <v>6157</v>
      </c>
      <c r="E1175" s="7" t="s">
        <v>6158</v>
      </c>
      <c r="F1175" s="7" t="s">
        <v>6159</v>
      </c>
      <c r="G1175" s="7"/>
      <c r="H1175" s="46" t="s">
        <v>249</v>
      </c>
      <c r="I1175" s="7" t="s">
        <v>160</v>
      </c>
      <c r="J1175" s="7" t="s">
        <v>148</v>
      </c>
      <c r="K1175" s="7"/>
      <c r="L1175" s="7"/>
      <c r="M1175" s="7"/>
    </row>
    <row r="1176" ht="15.75" customHeight="1">
      <c r="A1176" s="7" t="s">
        <v>6160</v>
      </c>
      <c r="B1176" s="45" t="s">
        <v>6161</v>
      </c>
      <c r="C1176" s="7" t="s">
        <v>6162</v>
      </c>
      <c r="D1176" s="7" t="s">
        <v>6163</v>
      </c>
      <c r="E1176" s="7" t="s">
        <v>6164</v>
      </c>
      <c r="F1176" s="7" t="s">
        <v>6165</v>
      </c>
      <c r="G1176" s="7"/>
      <c r="H1176" s="46" t="s">
        <v>249</v>
      </c>
      <c r="I1176" s="7" t="s">
        <v>160</v>
      </c>
      <c r="J1176" s="7" t="s">
        <v>148</v>
      </c>
      <c r="K1176" s="7"/>
      <c r="L1176" s="7"/>
      <c r="M1176" s="7"/>
    </row>
    <row r="1177" ht="15.75" customHeight="1">
      <c r="A1177" s="7" t="s">
        <v>6166</v>
      </c>
      <c r="B1177" s="45" t="s">
        <v>6167</v>
      </c>
      <c r="C1177" s="7" t="s">
        <v>6168</v>
      </c>
      <c r="D1177" s="7" t="s">
        <v>6169</v>
      </c>
      <c r="E1177" s="7" t="s">
        <v>6170</v>
      </c>
      <c r="F1177" s="7" t="s">
        <v>6171</v>
      </c>
      <c r="G1177" s="7"/>
      <c r="H1177" s="46" t="s">
        <v>249</v>
      </c>
      <c r="I1177" s="7" t="s">
        <v>160</v>
      </c>
      <c r="J1177" s="7" t="s">
        <v>148</v>
      </c>
      <c r="K1177" s="7"/>
      <c r="L1177" s="7"/>
      <c r="M1177" s="7"/>
    </row>
    <row r="1178" ht="15.75" customHeight="1">
      <c r="A1178" s="7" t="s">
        <v>6172</v>
      </c>
      <c r="B1178" s="45" t="s">
        <v>6173</v>
      </c>
      <c r="C1178" s="7" t="s">
        <v>6168</v>
      </c>
      <c r="D1178" s="7" t="s">
        <v>6174</v>
      </c>
      <c r="E1178" s="7" t="s">
        <v>6170</v>
      </c>
      <c r="F1178" s="7" t="s">
        <v>6175</v>
      </c>
      <c r="G1178" s="7" t="s">
        <v>6176</v>
      </c>
      <c r="H1178" s="46" t="s">
        <v>249</v>
      </c>
      <c r="I1178" s="7" t="s">
        <v>160</v>
      </c>
      <c r="J1178" s="7" t="s">
        <v>148</v>
      </c>
      <c r="K1178" s="7"/>
      <c r="L1178" s="7"/>
      <c r="M1178" s="7"/>
    </row>
    <row r="1179" ht="15.75" customHeight="1">
      <c r="A1179" s="7" t="s">
        <v>6177</v>
      </c>
      <c r="B1179" s="45" t="s">
        <v>6178</v>
      </c>
      <c r="C1179" s="7" t="s">
        <v>6179</v>
      </c>
      <c r="D1179" s="7" t="s">
        <v>6180</v>
      </c>
      <c r="E1179" s="7" t="s">
        <v>6181</v>
      </c>
      <c r="F1179" s="7" t="s">
        <v>6182</v>
      </c>
      <c r="G1179" s="7"/>
      <c r="H1179" s="46" t="s">
        <v>249</v>
      </c>
      <c r="I1179" s="7" t="s">
        <v>160</v>
      </c>
      <c r="J1179" s="7" t="s">
        <v>148</v>
      </c>
      <c r="K1179" s="7"/>
      <c r="L1179" s="7"/>
      <c r="M1179" s="7"/>
    </row>
    <row r="1180" ht="15.75" customHeight="1">
      <c r="A1180" s="7" t="s">
        <v>6183</v>
      </c>
      <c r="B1180" s="45" t="s">
        <v>6184</v>
      </c>
      <c r="C1180" s="7" t="s">
        <v>6185</v>
      </c>
      <c r="D1180" s="7" t="s">
        <v>6186</v>
      </c>
      <c r="E1180" s="7" t="s">
        <v>6187</v>
      </c>
      <c r="F1180" s="7" t="s">
        <v>6188</v>
      </c>
      <c r="G1180" s="7"/>
      <c r="H1180" s="46" t="s">
        <v>249</v>
      </c>
      <c r="I1180" s="7" t="s">
        <v>160</v>
      </c>
      <c r="J1180" s="7" t="s">
        <v>148</v>
      </c>
      <c r="K1180" s="7"/>
      <c r="L1180" s="7"/>
      <c r="M1180" s="7"/>
    </row>
    <row r="1181" ht="15.75" customHeight="1">
      <c r="A1181" s="7" t="s">
        <v>6189</v>
      </c>
      <c r="B1181" s="45" t="s">
        <v>6190</v>
      </c>
      <c r="C1181" s="7" t="s">
        <v>6191</v>
      </c>
      <c r="D1181" s="7" t="s">
        <v>6192</v>
      </c>
      <c r="E1181" s="7" t="s">
        <v>6193</v>
      </c>
      <c r="F1181" s="7" t="s">
        <v>6194</v>
      </c>
      <c r="G1181" s="7"/>
      <c r="H1181" s="46" t="s">
        <v>249</v>
      </c>
      <c r="I1181" s="7" t="s">
        <v>160</v>
      </c>
      <c r="J1181" s="7" t="s">
        <v>148</v>
      </c>
      <c r="K1181" s="7"/>
      <c r="L1181" s="7"/>
      <c r="M1181" s="7"/>
    </row>
    <row r="1182" ht="15.75" customHeight="1">
      <c r="A1182" s="7" t="s">
        <v>6195</v>
      </c>
      <c r="B1182" s="45" t="s">
        <v>6196</v>
      </c>
      <c r="C1182" s="7" t="s">
        <v>6197</v>
      </c>
      <c r="D1182" s="7" t="s">
        <v>6198</v>
      </c>
      <c r="E1182" s="7" t="s">
        <v>6199</v>
      </c>
      <c r="F1182" s="7" t="s">
        <v>6200</v>
      </c>
      <c r="G1182" s="7"/>
      <c r="H1182" s="46" t="s">
        <v>249</v>
      </c>
      <c r="I1182" s="7" t="s">
        <v>160</v>
      </c>
      <c r="J1182" s="7" t="s">
        <v>148</v>
      </c>
      <c r="K1182" s="7"/>
      <c r="L1182" s="7"/>
      <c r="M1182" s="7"/>
    </row>
    <row r="1183" ht="15.75" customHeight="1">
      <c r="A1183" s="7" t="s">
        <v>6201</v>
      </c>
      <c r="B1183" s="45" t="s">
        <v>6202</v>
      </c>
      <c r="C1183" s="7" t="s">
        <v>6203</v>
      </c>
      <c r="D1183" s="7" t="s">
        <v>6204</v>
      </c>
      <c r="E1183" s="7" t="s">
        <v>6205</v>
      </c>
      <c r="F1183" s="7" t="s">
        <v>6206</v>
      </c>
      <c r="G1183" s="7"/>
      <c r="H1183" s="46" t="s">
        <v>249</v>
      </c>
      <c r="I1183" s="7" t="s">
        <v>160</v>
      </c>
      <c r="J1183" s="7" t="s">
        <v>148</v>
      </c>
      <c r="K1183" s="7"/>
      <c r="L1183" s="7"/>
      <c r="M1183" s="7"/>
    </row>
    <row r="1184" ht="15.75" customHeight="1">
      <c r="A1184" s="7" t="s">
        <v>6207</v>
      </c>
      <c r="B1184" s="45" t="s">
        <v>6208</v>
      </c>
      <c r="C1184" s="7" t="s">
        <v>6203</v>
      </c>
      <c r="D1184" s="7" t="s">
        <v>6209</v>
      </c>
      <c r="E1184" s="7" t="s">
        <v>6205</v>
      </c>
      <c r="F1184" s="7" t="s">
        <v>6210</v>
      </c>
      <c r="G1184" s="7"/>
      <c r="H1184" s="46" t="s">
        <v>249</v>
      </c>
      <c r="I1184" s="7" t="s">
        <v>160</v>
      </c>
      <c r="J1184" s="7" t="s">
        <v>148</v>
      </c>
      <c r="K1184" s="7"/>
      <c r="L1184" s="7"/>
      <c r="M1184" s="7"/>
    </row>
    <row r="1185" ht="15.75" customHeight="1">
      <c r="A1185" s="7" t="s">
        <v>6211</v>
      </c>
      <c r="B1185" s="45" t="s">
        <v>6212</v>
      </c>
      <c r="C1185" s="7" t="s">
        <v>6213</v>
      </c>
      <c r="D1185" s="7" t="s">
        <v>6214</v>
      </c>
      <c r="E1185" s="7" t="s">
        <v>6215</v>
      </c>
      <c r="F1185" s="7" t="s">
        <v>6216</v>
      </c>
      <c r="G1185" s="7"/>
      <c r="H1185" s="46" t="s">
        <v>249</v>
      </c>
      <c r="I1185" s="7" t="s">
        <v>160</v>
      </c>
      <c r="J1185" s="7" t="s">
        <v>148</v>
      </c>
      <c r="K1185" s="7"/>
      <c r="L1185" s="7"/>
      <c r="M1185" s="7"/>
    </row>
    <row r="1186" ht="15.75" customHeight="1">
      <c r="A1186" s="7" t="s">
        <v>6217</v>
      </c>
      <c r="B1186" s="45" t="s">
        <v>6218</v>
      </c>
      <c r="C1186" s="7" t="s">
        <v>6219</v>
      </c>
      <c r="D1186" s="7" t="s">
        <v>6220</v>
      </c>
      <c r="E1186" s="7" t="s">
        <v>6221</v>
      </c>
      <c r="F1186" s="7" t="s">
        <v>6222</v>
      </c>
      <c r="G1186" s="7"/>
      <c r="H1186" s="46" t="s">
        <v>249</v>
      </c>
      <c r="I1186" s="7" t="s">
        <v>160</v>
      </c>
      <c r="J1186" s="7" t="s">
        <v>148</v>
      </c>
      <c r="K1186" s="7"/>
      <c r="L1186" s="7"/>
      <c r="M1186" s="7"/>
    </row>
    <row r="1187" ht="15.75" customHeight="1">
      <c r="A1187" s="7" t="s">
        <v>6223</v>
      </c>
      <c r="B1187" s="45" t="s">
        <v>6224</v>
      </c>
      <c r="C1187" s="7" t="s">
        <v>6225</v>
      </c>
      <c r="D1187" s="7" t="s">
        <v>6226</v>
      </c>
      <c r="E1187" s="7" t="s">
        <v>6227</v>
      </c>
      <c r="F1187" s="7" t="s">
        <v>6222</v>
      </c>
      <c r="G1187" s="7"/>
      <c r="H1187" s="46" t="s">
        <v>249</v>
      </c>
      <c r="I1187" s="7" t="s">
        <v>160</v>
      </c>
      <c r="J1187" s="7" t="s">
        <v>148</v>
      </c>
      <c r="K1187" s="7"/>
      <c r="L1187" s="7"/>
      <c r="M1187" s="7"/>
    </row>
    <row r="1188" ht="15.75" customHeight="1">
      <c r="A1188" s="7" t="s">
        <v>6228</v>
      </c>
      <c r="B1188" s="45" t="s">
        <v>6229</v>
      </c>
      <c r="C1188" s="7" t="s">
        <v>6219</v>
      </c>
      <c r="D1188" s="7" t="s">
        <v>6230</v>
      </c>
      <c r="E1188" s="7" t="s">
        <v>6231</v>
      </c>
      <c r="F1188" s="7" t="s">
        <v>6222</v>
      </c>
      <c r="G1188" s="7"/>
      <c r="H1188" s="46" t="s">
        <v>249</v>
      </c>
      <c r="I1188" s="7" t="s">
        <v>160</v>
      </c>
      <c r="J1188" s="7" t="s">
        <v>148</v>
      </c>
      <c r="K1188" s="7"/>
      <c r="L1188" s="7"/>
      <c r="M1188" s="7"/>
    </row>
    <row r="1189" ht="15.75" customHeight="1">
      <c r="A1189" s="7" t="s">
        <v>6232</v>
      </c>
      <c r="B1189" s="45" t="s">
        <v>6233</v>
      </c>
      <c r="C1189" s="7" t="s">
        <v>6234</v>
      </c>
      <c r="D1189" s="7" t="s">
        <v>6235</v>
      </c>
      <c r="E1189" s="7" t="s">
        <v>6236</v>
      </c>
      <c r="F1189" s="7" t="s">
        <v>6237</v>
      </c>
      <c r="G1189" s="7"/>
      <c r="H1189" s="46" t="s">
        <v>249</v>
      </c>
      <c r="I1189" s="7" t="s">
        <v>160</v>
      </c>
      <c r="J1189" s="7" t="s">
        <v>148</v>
      </c>
      <c r="K1189" s="7"/>
      <c r="L1189" s="7"/>
      <c r="M1189" s="7"/>
    </row>
    <row r="1190" ht="15.75" customHeight="1">
      <c r="A1190" s="7" t="s">
        <v>6238</v>
      </c>
      <c r="B1190" s="45" t="s">
        <v>6239</v>
      </c>
      <c r="C1190" s="7" t="s">
        <v>6240</v>
      </c>
      <c r="D1190" s="7" t="s">
        <v>6241</v>
      </c>
      <c r="E1190" s="7" t="s">
        <v>6242</v>
      </c>
      <c r="F1190" s="7" t="s">
        <v>6243</v>
      </c>
      <c r="G1190" s="7"/>
      <c r="H1190" s="46" t="s">
        <v>249</v>
      </c>
      <c r="I1190" s="7" t="s">
        <v>160</v>
      </c>
      <c r="J1190" s="7" t="s">
        <v>148</v>
      </c>
      <c r="K1190" s="7"/>
      <c r="L1190" s="7"/>
      <c r="M1190" s="7"/>
    </row>
    <row r="1191" ht="15.75" customHeight="1">
      <c r="A1191" s="7" t="s">
        <v>6244</v>
      </c>
      <c r="B1191" s="45" t="s">
        <v>6245</v>
      </c>
      <c r="C1191" s="7" t="s">
        <v>6246</v>
      </c>
      <c r="D1191" s="7" t="s">
        <v>6247</v>
      </c>
      <c r="E1191" s="7" t="s">
        <v>6248</v>
      </c>
      <c r="F1191" s="7" t="s">
        <v>6249</v>
      </c>
      <c r="G1191" s="7"/>
      <c r="H1191" s="46" t="s">
        <v>249</v>
      </c>
      <c r="I1191" s="7" t="s">
        <v>160</v>
      </c>
      <c r="J1191" s="7" t="s">
        <v>148</v>
      </c>
      <c r="K1191" s="7"/>
      <c r="L1191" s="7"/>
      <c r="M1191" s="7"/>
    </row>
    <row r="1192" ht="15.75" customHeight="1">
      <c r="A1192" s="7" t="s">
        <v>6250</v>
      </c>
      <c r="B1192" s="45" t="s">
        <v>6251</v>
      </c>
      <c r="C1192" s="7" t="s">
        <v>6252</v>
      </c>
      <c r="D1192" s="7" t="s">
        <v>6253</v>
      </c>
      <c r="E1192" s="7" t="s">
        <v>6254</v>
      </c>
      <c r="F1192" s="7" t="s">
        <v>6255</v>
      </c>
      <c r="G1192" s="7"/>
      <c r="H1192" s="46" t="s">
        <v>249</v>
      </c>
      <c r="I1192" s="7" t="s">
        <v>160</v>
      </c>
      <c r="J1192" s="7" t="s">
        <v>148</v>
      </c>
      <c r="K1192" s="7"/>
      <c r="L1192" s="7"/>
      <c r="M1192" s="7"/>
    </row>
    <row r="1193" ht="15.75" customHeight="1">
      <c r="A1193" s="7" t="s">
        <v>6256</v>
      </c>
      <c r="B1193" s="45" t="s">
        <v>6257</v>
      </c>
      <c r="C1193" s="7" t="s">
        <v>6258</v>
      </c>
      <c r="D1193" s="7" t="s">
        <v>6259</v>
      </c>
      <c r="E1193" s="7" t="s">
        <v>6260</v>
      </c>
      <c r="F1193" s="7" t="s">
        <v>6261</v>
      </c>
      <c r="G1193" s="7"/>
      <c r="H1193" s="46" t="s">
        <v>249</v>
      </c>
      <c r="I1193" s="7" t="s">
        <v>160</v>
      </c>
      <c r="J1193" s="7" t="s">
        <v>148</v>
      </c>
      <c r="K1193" s="7"/>
      <c r="L1193" s="7"/>
      <c r="M1193" s="7"/>
    </row>
    <row r="1194" ht="15.75" customHeight="1">
      <c r="A1194" s="7" t="s">
        <v>6262</v>
      </c>
      <c r="B1194" s="45" t="s">
        <v>6263</v>
      </c>
      <c r="C1194" s="7" t="s">
        <v>6264</v>
      </c>
      <c r="D1194" s="7" t="s">
        <v>6265</v>
      </c>
      <c r="E1194" s="7" t="s">
        <v>6266</v>
      </c>
      <c r="F1194" s="7" t="s">
        <v>6267</v>
      </c>
      <c r="G1194" s="7"/>
      <c r="H1194" s="46" t="s">
        <v>249</v>
      </c>
      <c r="I1194" s="7" t="s">
        <v>160</v>
      </c>
      <c r="J1194" s="7" t="s">
        <v>148</v>
      </c>
      <c r="K1194" s="7"/>
      <c r="L1194" s="7"/>
      <c r="M1194" s="7"/>
    </row>
    <row r="1195" ht="15.75" customHeight="1">
      <c r="A1195" s="7" t="s">
        <v>6268</v>
      </c>
      <c r="B1195" s="45" t="s">
        <v>6269</v>
      </c>
      <c r="C1195" s="7" t="s">
        <v>6270</v>
      </c>
      <c r="D1195" s="7" t="s">
        <v>6271</v>
      </c>
      <c r="E1195" s="7" t="s">
        <v>6272</v>
      </c>
      <c r="F1195" s="7" t="s">
        <v>6273</v>
      </c>
      <c r="G1195" s="7"/>
      <c r="H1195" s="46" t="s">
        <v>249</v>
      </c>
      <c r="I1195" s="7" t="s">
        <v>160</v>
      </c>
      <c r="J1195" s="7" t="s">
        <v>148</v>
      </c>
      <c r="K1195" s="7"/>
      <c r="L1195" s="7"/>
      <c r="M1195" s="7"/>
    </row>
    <row r="1196" ht="15.75" customHeight="1">
      <c r="A1196" s="7" t="s">
        <v>6274</v>
      </c>
      <c r="B1196" s="45" t="s">
        <v>6275</v>
      </c>
      <c r="C1196" s="7" t="s">
        <v>6276</v>
      </c>
      <c r="D1196" s="7" t="s">
        <v>6277</v>
      </c>
      <c r="E1196" s="7" t="s">
        <v>6278</v>
      </c>
      <c r="F1196" s="7" t="s">
        <v>6279</v>
      </c>
      <c r="G1196" s="7"/>
      <c r="H1196" s="46" t="s">
        <v>249</v>
      </c>
      <c r="I1196" s="7" t="s">
        <v>160</v>
      </c>
      <c r="J1196" s="7" t="s">
        <v>148</v>
      </c>
      <c r="K1196" s="7"/>
      <c r="L1196" s="7"/>
      <c r="M1196" s="7"/>
    </row>
    <row r="1197" ht="15.75" customHeight="1">
      <c r="A1197" s="7" t="s">
        <v>6280</v>
      </c>
      <c r="B1197" s="45" t="s">
        <v>6281</v>
      </c>
      <c r="C1197" s="7" t="s">
        <v>6276</v>
      </c>
      <c r="D1197" s="7" t="s">
        <v>6282</v>
      </c>
      <c r="E1197" s="7" t="s">
        <v>6278</v>
      </c>
      <c r="F1197" s="7" t="s">
        <v>6279</v>
      </c>
      <c r="G1197" s="7"/>
      <c r="H1197" s="46" t="s">
        <v>249</v>
      </c>
      <c r="I1197" s="7" t="s">
        <v>160</v>
      </c>
      <c r="J1197" s="7" t="s">
        <v>148</v>
      </c>
      <c r="K1197" s="7"/>
      <c r="L1197" s="7"/>
      <c r="M1197" s="7"/>
    </row>
    <row r="1198" ht="15.75" customHeight="1">
      <c r="A1198" s="7" t="s">
        <v>6283</v>
      </c>
      <c r="B1198" s="45" t="s">
        <v>6284</v>
      </c>
      <c r="C1198" s="7" t="s">
        <v>6285</v>
      </c>
      <c r="D1198" s="7" t="s">
        <v>6286</v>
      </c>
      <c r="E1198" s="7" t="s">
        <v>6287</v>
      </c>
      <c r="F1198" s="7" t="s">
        <v>6288</v>
      </c>
      <c r="G1198" s="7"/>
      <c r="H1198" s="46" t="s">
        <v>249</v>
      </c>
      <c r="I1198" s="7" t="s">
        <v>160</v>
      </c>
      <c r="J1198" s="7" t="s">
        <v>148</v>
      </c>
      <c r="K1198" s="7"/>
      <c r="L1198" s="7"/>
      <c r="M1198" s="7"/>
    </row>
    <row r="1199" ht="15.75" customHeight="1">
      <c r="A1199" s="7" t="s">
        <v>6289</v>
      </c>
      <c r="B1199" s="45" t="s">
        <v>6290</v>
      </c>
      <c r="C1199" s="7" t="s">
        <v>6291</v>
      </c>
      <c r="D1199" s="7" t="s">
        <v>6292</v>
      </c>
      <c r="E1199" s="7" t="s">
        <v>6293</v>
      </c>
      <c r="F1199" s="7" t="s">
        <v>6294</v>
      </c>
      <c r="G1199" s="7"/>
      <c r="H1199" s="46" t="s">
        <v>249</v>
      </c>
      <c r="I1199" s="7" t="s">
        <v>160</v>
      </c>
      <c r="J1199" s="7" t="s">
        <v>148</v>
      </c>
      <c r="K1199" s="7"/>
      <c r="L1199" s="7"/>
      <c r="M1199" s="7"/>
    </row>
    <row r="1200" ht="15.75" customHeight="1">
      <c r="A1200" s="7" t="s">
        <v>6295</v>
      </c>
      <c r="B1200" s="45" t="s">
        <v>6296</v>
      </c>
      <c r="C1200" s="7" t="s">
        <v>6297</v>
      </c>
      <c r="D1200" s="7" t="s">
        <v>6298</v>
      </c>
      <c r="E1200" s="7" t="s">
        <v>6299</v>
      </c>
      <c r="F1200" s="7" t="s">
        <v>6300</v>
      </c>
      <c r="G1200" s="7"/>
      <c r="H1200" s="46" t="s">
        <v>249</v>
      </c>
      <c r="I1200" s="7" t="s">
        <v>160</v>
      </c>
      <c r="J1200" s="7" t="s">
        <v>148</v>
      </c>
      <c r="K1200" s="7"/>
      <c r="L1200" s="7"/>
      <c r="M1200" s="7"/>
    </row>
    <row r="1201" ht="15.75" customHeight="1">
      <c r="A1201" s="7" t="s">
        <v>6301</v>
      </c>
      <c r="B1201" s="45" t="s">
        <v>6302</v>
      </c>
      <c r="C1201" s="7" t="s">
        <v>6303</v>
      </c>
      <c r="D1201" s="7" t="s">
        <v>6304</v>
      </c>
      <c r="E1201" s="7" t="s">
        <v>6305</v>
      </c>
      <c r="F1201" s="7" t="s">
        <v>6306</v>
      </c>
      <c r="G1201" s="7" t="s">
        <v>6307</v>
      </c>
      <c r="H1201" s="46" t="s">
        <v>249</v>
      </c>
      <c r="I1201" s="7" t="s">
        <v>160</v>
      </c>
      <c r="J1201" s="7" t="s">
        <v>148</v>
      </c>
      <c r="K1201" s="7"/>
      <c r="L1201" s="7"/>
      <c r="M1201" s="7"/>
    </row>
    <row r="1202" ht="15.75" customHeight="1">
      <c r="A1202" s="7" t="s">
        <v>6308</v>
      </c>
      <c r="B1202" s="45" t="s">
        <v>6309</v>
      </c>
      <c r="C1202" s="7" t="s">
        <v>6310</v>
      </c>
      <c r="D1202" s="7" t="s">
        <v>6311</v>
      </c>
      <c r="E1202" s="7" t="s">
        <v>6312</v>
      </c>
      <c r="F1202" s="7" t="s">
        <v>6313</v>
      </c>
      <c r="G1202" s="7"/>
      <c r="H1202" s="46" t="s">
        <v>249</v>
      </c>
      <c r="I1202" s="7" t="s">
        <v>160</v>
      </c>
      <c r="J1202" s="7" t="s">
        <v>148</v>
      </c>
      <c r="K1202" s="7"/>
      <c r="L1202" s="7"/>
      <c r="M1202" s="7"/>
    </row>
    <row r="1203" ht="15.75" customHeight="1">
      <c r="A1203" s="7" t="s">
        <v>6314</v>
      </c>
      <c r="B1203" s="45" t="s">
        <v>6315</v>
      </c>
      <c r="C1203" s="7" t="s">
        <v>6316</v>
      </c>
      <c r="D1203" s="7" t="s">
        <v>6317</v>
      </c>
      <c r="E1203" s="7" t="s">
        <v>6318</v>
      </c>
      <c r="F1203" s="7" t="s">
        <v>6319</v>
      </c>
      <c r="G1203" s="7" t="s">
        <v>6320</v>
      </c>
      <c r="H1203" s="46" t="s">
        <v>249</v>
      </c>
      <c r="I1203" s="7" t="s">
        <v>160</v>
      </c>
      <c r="J1203" s="7" t="s">
        <v>148</v>
      </c>
      <c r="K1203" s="7"/>
      <c r="L1203" s="7"/>
      <c r="M1203" s="7"/>
    </row>
    <row r="1204" ht="15.75" customHeight="1">
      <c r="A1204" s="7" t="s">
        <v>6321</v>
      </c>
      <c r="B1204" s="45" t="s">
        <v>6322</v>
      </c>
      <c r="C1204" s="7" t="s">
        <v>6323</v>
      </c>
      <c r="D1204" s="7" t="s">
        <v>6324</v>
      </c>
      <c r="E1204" s="7" t="s">
        <v>6325</v>
      </c>
      <c r="F1204" s="7" t="s">
        <v>6326</v>
      </c>
      <c r="G1204" s="7"/>
      <c r="H1204" s="46" t="s">
        <v>249</v>
      </c>
      <c r="I1204" s="7" t="s">
        <v>160</v>
      </c>
      <c r="J1204" s="7" t="s">
        <v>148</v>
      </c>
      <c r="K1204" s="7"/>
      <c r="L1204" s="7"/>
      <c r="M1204" s="7"/>
    </row>
    <row r="1205" ht="15.75" customHeight="1">
      <c r="A1205" s="7" t="s">
        <v>6327</v>
      </c>
      <c r="B1205" s="45" t="s">
        <v>6328</v>
      </c>
      <c r="C1205" s="7" t="s">
        <v>6329</v>
      </c>
      <c r="D1205" s="7" t="s">
        <v>6330</v>
      </c>
      <c r="E1205" s="7" t="s">
        <v>6331</v>
      </c>
      <c r="F1205" s="7" t="s">
        <v>6332</v>
      </c>
      <c r="G1205" s="7"/>
      <c r="H1205" s="46" t="s">
        <v>249</v>
      </c>
      <c r="I1205" s="7" t="s">
        <v>160</v>
      </c>
      <c r="J1205" s="7" t="s">
        <v>148</v>
      </c>
      <c r="K1205" s="7"/>
      <c r="L1205" s="7"/>
      <c r="M1205" s="7"/>
    </row>
    <row r="1206" ht="15.75" customHeight="1">
      <c r="A1206" s="7" t="s">
        <v>6333</v>
      </c>
      <c r="B1206" s="45" t="s">
        <v>6334</v>
      </c>
      <c r="C1206" s="7" t="s">
        <v>6335</v>
      </c>
      <c r="D1206" s="7" t="s">
        <v>6336</v>
      </c>
      <c r="E1206" s="7" t="s">
        <v>6337</v>
      </c>
      <c r="F1206" s="7" t="s">
        <v>6338</v>
      </c>
      <c r="G1206" s="7"/>
      <c r="H1206" s="46" t="s">
        <v>249</v>
      </c>
      <c r="I1206" s="7" t="s">
        <v>160</v>
      </c>
      <c r="J1206" s="7" t="s">
        <v>148</v>
      </c>
      <c r="K1206" s="7"/>
      <c r="L1206" s="7"/>
      <c r="M1206" s="7"/>
    </row>
    <row r="1207" ht="15.75" customHeight="1">
      <c r="A1207" s="7" t="s">
        <v>6339</v>
      </c>
      <c r="B1207" s="45" t="s">
        <v>6340</v>
      </c>
      <c r="C1207" s="7" t="s">
        <v>6341</v>
      </c>
      <c r="D1207" s="7" t="s">
        <v>6342</v>
      </c>
      <c r="E1207" s="7" t="s">
        <v>6343</v>
      </c>
      <c r="F1207" s="7" t="s">
        <v>6338</v>
      </c>
      <c r="G1207" s="7"/>
      <c r="H1207" s="46" t="s">
        <v>249</v>
      </c>
      <c r="I1207" s="7" t="s">
        <v>160</v>
      </c>
      <c r="J1207" s="7" t="s">
        <v>148</v>
      </c>
      <c r="K1207" s="7"/>
      <c r="L1207" s="7"/>
      <c r="M1207" s="7"/>
    </row>
    <row r="1208" ht="15.75" customHeight="1">
      <c r="A1208" s="7" t="s">
        <v>6344</v>
      </c>
      <c r="B1208" s="45" t="s">
        <v>6345</v>
      </c>
      <c r="C1208" s="7" t="s">
        <v>6346</v>
      </c>
      <c r="D1208" s="7" t="s">
        <v>6347</v>
      </c>
      <c r="E1208" s="7" t="s">
        <v>6348</v>
      </c>
      <c r="F1208" s="7" t="s">
        <v>6349</v>
      </c>
      <c r="G1208" s="7"/>
      <c r="H1208" s="46" t="s">
        <v>249</v>
      </c>
      <c r="I1208" s="7" t="s">
        <v>160</v>
      </c>
      <c r="J1208" s="7" t="s">
        <v>148</v>
      </c>
      <c r="K1208" s="7"/>
      <c r="L1208" s="7"/>
      <c r="M1208" s="7"/>
    </row>
    <row r="1209" ht="15.75" customHeight="1">
      <c r="A1209" s="7" t="s">
        <v>6350</v>
      </c>
      <c r="B1209" s="45" t="s">
        <v>6351</v>
      </c>
      <c r="C1209" s="7" t="s">
        <v>6352</v>
      </c>
      <c r="D1209" s="7" t="s">
        <v>6353</v>
      </c>
      <c r="E1209" s="7" t="s">
        <v>6354</v>
      </c>
      <c r="F1209" s="7" t="s">
        <v>6355</v>
      </c>
      <c r="G1209" s="7" t="s">
        <v>6356</v>
      </c>
      <c r="H1209" s="46" t="s">
        <v>249</v>
      </c>
      <c r="I1209" s="7" t="s">
        <v>160</v>
      </c>
      <c r="J1209" s="7" t="s">
        <v>148</v>
      </c>
      <c r="K1209" s="7"/>
      <c r="L1209" s="7"/>
      <c r="M1209" s="7"/>
    </row>
    <row r="1210" ht="15.75" customHeight="1">
      <c r="A1210" s="7" t="s">
        <v>6357</v>
      </c>
      <c r="B1210" s="45" t="s">
        <v>6358</v>
      </c>
      <c r="C1210" s="7" t="s">
        <v>6359</v>
      </c>
      <c r="D1210" s="7" t="s">
        <v>6360</v>
      </c>
      <c r="E1210" s="7" t="s">
        <v>6361</v>
      </c>
      <c r="F1210" s="7" t="s">
        <v>6362</v>
      </c>
      <c r="G1210" s="7"/>
      <c r="H1210" s="46" t="s">
        <v>249</v>
      </c>
      <c r="I1210" s="7" t="s">
        <v>160</v>
      </c>
      <c r="J1210" s="7" t="s">
        <v>148</v>
      </c>
      <c r="K1210" s="7"/>
      <c r="L1210" s="7"/>
      <c r="M1210" s="7"/>
    </row>
    <row r="1211" ht="15.75" customHeight="1">
      <c r="A1211" s="7" t="s">
        <v>6363</v>
      </c>
      <c r="B1211" s="45" t="s">
        <v>6364</v>
      </c>
      <c r="C1211" s="7" t="s">
        <v>6365</v>
      </c>
      <c r="D1211" s="7" t="s">
        <v>6366</v>
      </c>
      <c r="E1211" s="7" t="s">
        <v>6367</v>
      </c>
      <c r="F1211" s="7" t="s">
        <v>6368</v>
      </c>
      <c r="G1211" s="7"/>
      <c r="H1211" s="46" t="s">
        <v>249</v>
      </c>
      <c r="I1211" s="7" t="s">
        <v>160</v>
      </c>
      <c r="J1211" s="7" t="s">
        <v>148</v>
      </c>
      <c r="K1211" s="7"/>
      <c r="L1211" s="7"/>
      <c r="M1211" s="7"/>
    </row>
    <row r="1212" ht="15.75" customHeight="1">
      <c r="A1212" s="7" t="s">
        <v>6369</v>
      </c>
      <c r="B1212" s="45" t="s">
        <v>6370</v>
      </c>
      <c r="C1212" s="7" t="s">
        <v>6371</v>
      </c>
      <c r="D1212" s="7" t="s">
        <v>6372</v>
      </c>
      <c r="E1212" s="7" t="s">
        <v>6373</v>
      </c>
      <c r="F1212" s="7" t="s">
        <v>6374</v>
      </c>
      <c r="G1212" s="7"/>
      <c r="H1212" s="46" t="s">
        <v>249</v>
      </c>
      <c r="I1212" s="7" t="s">
        <v>160</v>
      </c>
      <c r="J1212" s="7" t="s">
        <v>148</v>
      </c>
      <c r="K1212" s="7"/>
      <c r="L1212" s="7"/>
      <c r="M1212" s="7"/>
    </row>
    <row r="1213" ht="15.75" customHeight="1">
      <c r="A1213" s="7" t="s">
        <v>6375</v>
      </c>
      <c r="B1213" s="45" t="s">
        <v>6376</v>
      </c>
      <c r="C1213" s="7" t="s">
        <v>6377</v>
      </c>
      <c r="D1213" s="7" t="s">
        <v>6378</v>
      </c>
      <c r="E1213" s="7" t="s">
        <v>6379</v>
      </c>
      <c r="F1213" s="7" t="s">
        <v>6380</v>
      </c>
      <c r="G1213" s="7"/>
      <c r="H1213" s="46" t="s">
        <v>249</v>
      </c>
      <c r="I1213" s="7" t="s">
        <v>160</v>
      </c>
      <c r="J1213" s="7" t="s">
        <v>148</v>
      </c>
      <c r="K1213" s="7"/>
      <c r="L1213" s="7"/>
      <c r="M1213" s="7"/>
    </row>
    <row r="1214" ht="15.75" customHeight="1">
      <c r="A1214" s="7" t="s">
        <v>6381</v>
      </c>
      <c r="B1214" s="45" t="s">
        <v>6382</v>
      </c>
      <c r="C1214" s="7" t="s">
        <v>6383</v>
      </c>
      <c r="D1214" s="7" t="s">
        <v>6384</v>
      </c>
      <c r="E1214" s="7" t="s">
        <v>6385</v>
      </c>
      <c r="F1214" s="7" t="s">
        <v>4666</v>
      </c>
      <c r="G1214" s="7" t="s">
        <v>6386</v>
      </c>
      <c r="H1214" s="46" t="s">
        <v>249</v>
      </c>
      <c r="I1214" s="7" t="s">
        <v>160</v>
      </c>
      <c r="J1214" s="7" t="s">
        <v>148</v>
      </c>
      <c r="K1214" s="7"/>
      <c r="L1214" s="7"/>
      <c r="M1214" s="7"/>
    </row>
    <row r="1215" ht="15.75" customHeight="1">
      <c r="A1215" s="7" t="s">
        <v>6387</v>
      </c>
      <c r="B1215" s="45" t="s">
        <v>6388</v>
      </c>
      <c r="C1215" s="7" t="s">
        <v>6389</v>
      </c>
      <c r="D1215" s="7" t="s">
        <v>6390</v>
      </c>
      <c r="E1215" s="7" t="s">
        <v>6391</v>
      </c>
      <c r="F1215" s="7" t="s">
        <v>6392</v>
      </c>
      <c r="G1215" s="7"/>
      <c r="H1215" s="46" t="s">
        <v>249</v>
      </c>
      <c r="I1215" s="7" t="s">
        <v>160</v>
      </c>
      <c r="J1215" s="7" t="s">
        <v>148</v>
      </c>
      <c r="K1215" s="7"/>
      <c r="L1215" s="7"/>
      <c r="M1215" s="7"/>
    </row>
    <row r="1216" ht="15.75" customHeight="1">
      <c r="A1216" s="7" t="s">
        <v>6393</v>
      </c>
      <c r="B1216" s="45" t="s">
        <v>6394</v>
      </c>
      <c r="C1216" s="7" t="s">
        <v>6395</v>
      </c>
      <c r="D1216" s="7" t="s">
        <v>6396</v>
      </c>
      <c r="E1216" s="7" t="s">
        <v>6397</v>
      </c>
      <c r="F1216" s="7" t="s">
        <v>6398</v>
      </c>
      <c r="G1216" s="7"/>
      <c r="H1216" s="46" t="s">
        <v>249</v>
      </c>
      <c r="I1216" s="7" t="s">
        <v>160</v>
      </c>
      <c r="J1216" s="7" t="s">
        <v>148</v>
      </c>
      <c r="K1216" s="7"/>
      <c r="L1216" s="7"/>
      <c r="M1216" s="7"/>
    </row>
    <row r="1217" ht="15.75" customHeight="1">
      <c r="A1217" s="7" t="s">
        <v>6399</v>
      </c>
      <c r="B1217" s="45" t="s">
        <v>6400</v>
      </c>
      <c r="C1217" s="7" t="s">
        <v>6395</v>
      </c>
      <c r="D1217" s="7" t="s">
        <v>6401</v>
      </c>
      <c r="E1217" s="7" t="s">
        <v>6402</v>
      </c>
      <c r="F1217" s="7" t="s">
        <v>6403</v>
      </c>
      <c r="G1217" s="7"/>
      <c r="H1217" s="46" t="s">
        <v>249</v>
      </c>
      <c r="I1217" s="7" t="s">
        <v>160</v>
      </c>
      <c r="J1217" s="7" t="s">
        <v>148</v>
      </c>
      <c r="K1217" s="7"/>
      <c r="L1217" s="7"/>
      <c r="M1217" s="7"/>
    </row>
    <row r="1218" ht="15.75" customHeight="1">
      <c r="A1218" s="7" t="s">
        <v>6404</v>
      </c>
      <c r="B1218" s="45" t="s">
        <v>6405</v>
      </c>
      <c r="C1218" s="7" t="s">
        <v>6406</v>
      </c>
      <c r="D1218" s="7" t="s">
        <v>6407</v>
      </c>
      <c r="E1218" s="7" t="s">
        <v>6408</v>
      </c>
      <c r="F1218" s="7" t="s">
        <v>6409</v>
      </c>
      <c r="G1218" s="7"/>
      <c r="H1218" s="46" t="s">
        <v>249</v>
      </c>
      <c r="I1218" s="7" t="s">
        <v>160</v>
      </c>
      <c r="J1218" s="7" t="s">
        <v>148</v>
      </c>
      <c r="K1218" s="7"/>
      <c r="L1218" s="7"/>
      <c r="M1218" s="7"/>
    </row>
    <row r="1219" ht="15.75" customHeight="1">
      <c r="A1219" s="7" t="s">
        <v>6410</v>
      </c>
      <c r="B1219" s="45" t="s">
        <v>6411</v>
      </c>
      <c r="C1219" s="7" t="s">
        <v>6412</v>
      </c>
      <c r="D1219" s="7" t="s">
        <v>6413</v>
      </c>
      <c r="E1219" s="7" t="s">
        <v>6414</v>
      </c>
      <c r="F1219" s="7" t="s">
        <v>6415</v>
      </c>
      <c r="G1219" s="7"/>
      <c r="H1219" s="46" t="s">
        <v>249</v>
      </c>
      <c r="I1219" s="7" t="s">
        <v>160</v>
      </c>
      <c r="J1219" s="7" t="s">
        <v>148</v>
      </c>
      <c r="K1219" s="7"/>
      <c r="L1219" s="7"/>
      <c r="M1219" s="7"/>
    </row>
    <row r="1220" ht="15.75" customHeight="1">
      <c r="A1220" s="7" t="s">
        <v>6416</v>
      </c>
      <c r="B1220" s="45" t="s">
        <v>6417</v>
      </c>
      <c r="C1220" s="7" t="s">
        <v>6418</v>
      </c>
      <c r="D1220" s="7" t="s">
        <v>6419</v>
      </c>
      <c r="E1220" s="7" t="s">
        <v>6420</v>
      </c>
      <c r="F1220" s="7" t="s">
        <v>6421</v>
      </c>
      <c r="G1220" s="7"/>
      <c r="H1220" s="46" t="s">
        <v>249</v>
      </c>
      <c r="I1220" s="7" t="s">
        <v>160</v>
      </c>
      <c r="J1220" s="7" t="s">
        <v>148</v>
      </c>
      <c r="K1220" s="7"/>
      <c r="L1220" s="7"/>
      <c r="M1220" s="7"/>
    </row>
    <row r="1221" ht="15.75" customHeight="1">
      <c r="A1221" s="7" t="s">
        <v>6422</v>
      </c>
      <c r="B1221" s="45" t="s">
        <v>6423</v>
      </c>
      <c r="C1221" s="7" t="s">
        <v>6424</v>
      </c>
      <c r="D1221" s="7" t="s">
        <v>6425</v>
      </c>
      <c r="E1221" s="7" t="s">
        <v>6426</v>
      </c>
      <c r="F1221" s="7" t="s">
        <v>6427</v>
      </c>
      <c r="G1221" s="7"/>
      <c r="H1221" s="46" t="s">
        <v>249</v>
      </c>
      <c r="I1221" s="7" t="s">
        <v>160</v>
      </c>
      <c r="J1221" s="7" t="s">
        <v>148</v>
      </c>
      <c r="K1221" s="7"/>
      <c r="L1221" s="7"/>
      <c r="M1221" s="7"/>
    </row>
    <row r="1222" ht="15.75" customHeight="1">
      <c r="A1222" s="7" t="s">
        <v>6428</v>
      </c>
      <c r="B1222" s="45" t="s">
        <v>6429</v>
      </c>
      <c r="C1222" s="7" t="s">
        <v>4964</v>
      </c>
      <c r="D1222" s="7" t="s">
        <v>6430</v>
      </c>
      <c r="E1222" s="7" t="s">
        <v>6431</v>
      </c>
      <c r="F1222" s="7" t="s">
        <v>6432</v>
      </c>
      <c r="G1222" s="7"/>
      <c r="H1222" s="46" t="s">
        <v>249</v>
      </c>
      <c r="I1222" s="7" t="s">
        <v>160</v>
      </c>
      <c r="J1222" s="7" t="s">
        <v>148</v>
      </c>
      <c r="K1222" s="7"/>
      <c r="L1222" s="7"/>
      <c r="M1222" s="7"/>
    </row>
    <row r="1223" ht="15.75" customHeight="1">
      <c r="A1223" s="7" t="s">
        <v>6433</v>
      </c>
      <c r="B1223" s="45" t="s">
        <v>6434</v>
      </c>
      <c r="C1223" s="7" t="s">
        <v>6435</v>
      </c>
      <c r="D1223" s="7" t="s">
        <v>6436</v>
      </c>
      <c r="E1223" s="7" t="s">
        <v>6437</v>
      </c>
      <c r="F1223" s="7" t="s">
        <v>6438</v>
      </c>
      <c r="G1223" s="7"/>
      <c r="H1223" s="46" t="s">
        <v>249</v>
      </c>
      <c r="I1223" s="7" t="s">
        <v>160</v>
      </c>
      <c r="J1223" s="7" t="s">
        <v>148</v>
      </c>
      <c r="K1223" s="7"/>
      <c r="L1223" s="7"/>
      <c r="M1223" s="7"/>
    </row>
    <row r="1224" ht="15.75" customHeight="1">
      <c r="A1224" s="7" t="s">
        <v>6439</v>
      </c>
      <c r="B1224" s="45" t="s">
        <v>6440</v>
      </c>
      <c r="C1224" s="7" t="s">
        <v>6441</v>
      </c>
      <c r="D1224" s="7" t="s">
        <v>6442</v>
      </c>
      <c r="E1224" s="7" t="s">
        <v>6443</v>
      </c>
      <c r="F1224" s="7" t="s">
        <v>6444</v>
      </c>
      <c r="G1224" s="7"/>
      <c r="H1224" s="46" t="s">
        <v>249</v>
      </c>
      <c r="I1224" s="7" t="s">
        <v>160</v>
      </c>
      <c r="J1224" s="7" t="s">
        <v>148</v>
      </c>
      <c r="K1224" s="7"/>
      <c r="L1224" s="7"/>
      <c r="M1224" s="7"/>
    </row>
    <row r="1225" ht="15.75" customHeight="1">
      <c r="A1225" s="7" t="s">
        <v>6445</v>
      </c>
      <c r="B1225" s="45" t="s">
        <v>6446</v>
      </c>
      <c r="C1225" s="7" t="s">
        <v>6447</v>
      </c>
      <c r="D1225" s="7" t="s">
        <v>6448</v>
      </c>
      <c r="E1225" s="7" t="s">
        <v>6449</v>
      </c>
      <c r="F1225" s="7" t="s">
        <v>6450</v>
      </c>
      <c r="G1225" s="7"/>
      <c r="H1225" s="46" t="s">
        <v>249</v>
      </c>
      <c r="I1225" s="7" t="s">
        <v>160</v>
      </c>
      <c r="J1225" s="7" t="s">
        <v>148</v>
      </c>
      <c r="K1225" s="7"/>
      <c r="L1225" s="7"/>
      <c r="M1225" s="7"/>
    </row>
    <row r="1226" ht="15.75" customHeight="1">
      <c r="A1226" s="7" t="s">
        <v>6451</v>
      </c>
      <c r="B1226" s="45" t="s">
        <v>6452</v>
      </c>
      <c r="C1226" s="7" t="s">
        <v>6453</v>
      </c>
      <c r="D1226" s="7" t="s">
        <v>6454</v>
      </c>
      <c r="E1226" s="7" t="s">
        <v>6455</v>
      </c>
      <c r="F1226" s="7" t="s">
        <v>6456</v>
      </c>
      <c r="G1226" s="7" t="s">
        <v>6457</v>
      </c>
      <c r="H1226" s="46" t="s">
        <v>249</v>
      </c>
      <c r="I1226" s="7" t="s">
        <v>160</v>
      </c>
      <c r="J1226" s="7" t="s">
        <v>148</v>
      </c>
      <c r="K1226" s="7"/>
      <c r="L1226" s="7"/>
      <c r="M1226" s="7"/>
    </row>
    <row r="1227" ht="15.75" customHeight="1">
      <c r="A1227" s="7" t="s">
        <v>6458</v>
      </c>
      <c r="B1227" s="45" t="s">
        <v>6459</v>
      </c>
      <c r="C1227" s="7" t="s">
        <v>6460</v>
      </c>
      <c r="D1227" s="7" t="s">
        <v>6461</v>
      </c>
      <c r="E1227" s="7" t="s">
        <v>6462</v>
      </c>
      <c r="F1227" s="7" t="s">
        <v>6463</v>
      </c>
      <c r="G1227" s="7" t="s">
        <v>6464</v>
      </c>
      <c r="H1227" s="46" t="s">
        <v>249</v>
      </c>
      <c r="I1227" s="7" t="s">
        <v>160</v>
      </c>
      <c r="J1227" s="7" t="s">
        <v>148</v>
      </c>
      <c r="K1227" s="7"/>
      <c r="L1227" s="7"/>
      <c r="M1227" s="7"/>
    </row>
    <row r="1228" ht="15.75" customHeight="1">
      <c r="A1228" s="7" t="s">
        <v>6465</v>
      </c>
      <c r="B1228" s="45" t="s">
        <v>6466</v>
      </c>
      <c r="C1228" s="7" t="s">
        <v>6467</v>
      </c>
      <c r="D1228" s="7" t="s">
        <v>6468</v>
      </c>
      <c r="E1228" s="7" t="s">
        <v>6469</v>
      </c>
      <c r="F1228" s="7" t="s">
        <v>6470</v>
      </c>
      <c r="G1228" s="7"/>
      <c r="H1228" s="46" t="s">
        <v>249</v>
      </c>
      <c r="I1228" s="7" t="s">
        <v>160</v>
      </c>
      <c r="J1228" s="7" t="s">
        <v>148</v>
      </c>
      <c r="K1228" s="7"/>
      <c r="L1228" s="7"/>
      <c r="M1228" s="7"/>
    </row>
    <row r="1229" ht="15.75" customHeight="1">
      <c r="A1229" s="7" t="s">
        <v>6471</v>
      </c>
      <c r="B1229" s="45" t="s">
        <v>6472</v>
      </c>
      <c r="C1229" s="7" t="s">
        <v>6473</v>
      </c>
      <c r="D1229" s="7" t="s">
        <v>6474</v>
      </c>
      <c r="E1229" s="7" t="s">
        <v>6475</v>
      </c>
      <c r="F1229" s="7" t="s">
        <v>6476</v>
      </c>
      <c r="G1229" s="7"/>
      <c r="H1229" s="46" t="s">
        <v>249</v>
      </c>
      <c r="I1229" s="7" t="s">
        <v>160</v>
      </c>
      <c r="J1229" s="7" t="s">
        <v>148</v>
      </c>
      <c r="K1229" s="7"/>
      <c r="L1229" s="7"/>
      <c r="M1229" s="7"/>
    </row>
    <row r="1230" ht="15.75" customHeight="1">
      <c r="A1230" s="7" t="s">
        <v>6477</v>
      </c>
      <c r="B1230" s="45" t="s">
        <v>6478</v>
      </c>
      <c r="C1230" s="7" t="s">
        <v>6479</v>
      </c>
      <c r="D1230" s="7" t="s">
        <v>6480</v>
      </c>
      <c r="E1230" s="7" t="s">
        <v>6481</v>
      </c>
      <c r="F1230" s="7" t="s">
        <v>6482</v>
      </c>
      <c r="G1230" s="7" t="s">
        <v>6482</v>
      </c>
      <c r="H1230" s="46" t="s">
        <v>249</v>
      </c>
      <c r="I1230" s="7" t="s">
        <v>160</v>
      </c>
      <c r="J1230" s="7" t="s">
        <v>148</v>
      </c>
      <c r="K1230" s="7"/>
      <c r="L1230" s="7"/>
      <c r="M1230" s="7"/>
    </row>
    <row r="1231" ht="15.75" customHeight="1">
      <c r="A1231" s="7" t="s">
        <v>6483</v>
      </c>
      <c r="B1231" s="45" t="s">
        <v>6484</v>
      </c>
      <c r="C1231" s="7" t="s">
        <v>6485</v>
      </c>
      <c r="D1231" s="7" t="s">
        <v>6486</v>
      </c>
      <c r="E1231" s="7" t="s">
        <v>6487</v>
      </c>
      <c r="F1231" s="7" t="s">
        <v>6488</v>
      </c>
      <c r="G1231" s="7"/>
      <c r="H1231" s="46" t="s">
        <v>249</v>
      </c>
      <c r="I1231" s="7" t="s">
        <v>160</v>
      </c>
      <c r="J1231" s="7" t="s">
        <v>148</v>
      </c>
      <c r="K1231" s="7"/>
      <c r="L1231" s="7"/>
      <c r="M1231" s="7"/>
    </row>
    <row r="1232" ht="15.75" customHeight="1">
      <c r="A1232" s="7" t="s">
        <v>6489</v>
      </c>
      <c r="B1232" s="45" t="s">
        <v>6490</v>
      </c>
      <c r="C1232" s="7" t="s">
        <v>6491</v>
      </c>
      <c r="D1232" s="7" t="s">
        <v>6492</v>
      </c>
      <c r="E1232" s="7" t="s">
        <v>6493</v>
      </c>
      <c r="F1232" s="7" t="s">
        <v>6494</v>
      </c>
      <c r="G1232" s="7" t="s">
        <v>6495</v>
      </c>
      <c r="H1232" s="46" t="s">
        <v>249</v>
      </c>
      <c r="I1232" s="7" t="s">
        <v>160</v>
      </c>
      <c r="J1232" s="7" t="s">
        <v>148</v>
      </c>
      <c r="K1232" s="7"/>
      <c r="L1232" s="7"/>
      <c r="M1232" s="7"/>
    </row>
    <row r="1233" ht="15.75" customHeight="1">
      <c r="A1233" s="7" t="s">
        <v>6496</v>
      </c>
      <c r="B1233" s="45" t="s">
        <v>6497</v>
      </c>
      <c r="C1233" s="7" t="s">
        <v>6498</v>
      </c>
      <c r="D1233" s="7" t="s">
        <v>6499</v>
      </c>
      <c r="E1233" s="7" t="s">
        <v>6500</v>
      </c>
      <c r="F1233" s="7" t="s">
        <v>6501</v>
      </c>
      <c r="G1233" s="7"/>
      <c r="H1233" s="46" t="s">
        <v>249</v>
      </c>
      <c r="I1233" s="7" t="s">
        <v>160</v>
      </c>
      <c r="J1233" s="7" t="s">
        <v>148</v>
      </c>
      <c r="K1233" s="7"/>
      <c r="L1233" s="7"/>
      <c r="M1233" s="7"/>
    </row>
    <row r="1234" ht="15.75" customHeight="1">
      <c r="A1234" s="7" t="s">
        <v>6502</v>
      </c>
      <c r="B1234" s="45" t="s">
        <v>6503</v>
      </c>
      <c r="C1234" s="7" t="s">
        <v>6504</v>
      </c>
      <c r="D1234" s="7" t="s">
        <v>6505</v>
      </c>
      <c r="E1234" s="7" t="s">
        <v>6506</v>
      </c>
      <c r="F1234" s="7" t="s">
        <v>6507</v>
      </c>
      <c r="G1234" s="7"/>
      <c r="H1234" s="46" t="s">
        <v>249</v>
      </c>
      <c r="I1234" s="7" t="s">
        <v>160</v>
      </c>
      <c r="J1234" s="7" t="s">
        <v>148</v>
      </c>
      <c r="K1234" s="7"/>
      <c r="L1234" s="7"/>
      <c r="M1234" s="7"/>
    </row>
    <row r="1235" ht="15.75" customHeight="1">
      <c r="A1235" s="7" t="s">
        <v>6508</v>
      </c>
      <c r="B1235" s="45" t="s">
        <v>6509</v>
      </c>
      <c r="C1235" s="7" t="s">
        <v>6510</v>
      </c>
      <c r="D1235" s="7" t="s">
        <v>6511</v>
      </c>
      <c r="E1235" s="7" t="s">
        <v>6512</v>
      </c>
      <c r="F1235" s="7" t="s">
        <v>6513</v>
      </c>
      <c r="G1235" s="7"/>
      <c r="H1235" s="46" t="s">
        <v>249</v>
      </c>
      <c r="I1235" s="7" t="s">
        <v>160</v>
      </c>
      <c r="J1235" s="7" t="s">
        <v>148</v>
      </c>
      <c r="K1235" s="7"/>
      <c r="L1235" s="7"/>
      <c r="M1235" s="7"/>
    </row>
    <row r="1236" ht="15.75" customHeight="1">
      <c r="A1236" s="7" t="s">
        <v>6514</v>
      </c>
      <c r="B1236" s="45" t="s">
        <v>6515</v>
      </c>
      <c r="C1236" s="7" t="s">
        <v>6516</v>
      </c>
      <c r="D1236" s="7" t="s">
        <v>6517</v>
      </c>
      <c r="E1236" s="7" t="s">
        <v>6518</v>
      </c>
      <c r="F1236" s="7" t="s">
        <v>6519</v>
      </c>
      <c r="G1236" s="7"/>
      <c r="H1236" s="46" t="s">
        <v>249</v>
      </c>
      <c r="I1236" s="7" t="s">
        <v>160</v>
      </c>
      <c r="J1236" s="7" t="s">
        <v>148</v>
      </c>
      <c r="K1236" s="7"/>
      <c r="L1236" s="7"/>
      <c r="M1236" s="7"/>
    </row>
    <row r="1237" ht="15.75" customHeight="1">
      <c r="A1237" s="7" t="s">
        <v>6520</v>
      </c>
      <c r="B1237" s="45" t="s">
        <v>6521</v>
      </c>
      <c r="C1237" s="7" t="s">
        <v>6522</v>
      </c>
      <c r="D1237" s="7" t="s">
        <v>6523</v>
      </c>
      <c r="E1237" s="7" t="s">
        <v>6524</v>
      </c>
      <c r="F1237" s="7" t="s">
        <v>6525</v>
      </c>
      <c r="G1237" s="7" t="s">
        <v>6526</v>
      </c>
      <c r="H1237" s="46" t="s">
        <v>249</v>
      </c>
      <c r="I1237" s="7" t="s">
        <v>160</v>
      </c>
      <c r="J1237" s="7" t="s">
        <v>148</v>
      </c>
      <c r="K1237" s="7"/>
      <c r="L1237" s="7"/>
      <c r="M1237" s="7"/>
    </row>
    <row r="1238" ht="15.75" customHeight="1">
      <c r="A1238" s="7" t="s">
        <v>6527</v>
      </c>
      <c r="B1238" s="45" t="s">
        <v>6528</v>
      </c>
      <c r="C1238" s="7" t="s">
        <v>6529</v>
      </c>
      <c r="D1238" s="7" t="s">
        <v>6530</v>
      </c>
      <c r="E1238" s="7" t="s">
        <v>6531</v>
      </c>
      <c r="F1238" s="7" t="s">
        <v>6532</v>
      </c>
      <c r="G1238" s="7"/>
      <c r="H1238" s="46" t="s">
        <v>249</v>
      </c>
      <c r="I1238" s="7" t="s">
        <v>160</v>
      </c>
      <c r="J1238" s="7" t="s">
        <v>148</v>
      </c>
      <c r="K1238" s="7"/>
      <c r="L1238" s="7"/>
      <c r="M1238" s="7"/>
    </row>
    <row r="1239" ht="15.75" customHeight="1">
      <c r="A1239" s="7" t="s">
        <v>6533</v>
      </c>
      <c r="B1239" s="45" t="s">
        <v>6534</v>
      </c>
      <c r="C1239" s="7" t="s">
        <v>6535</v>
      </c>
      <c r="D1239" s="7" t="s">
        <v>6536</v>
      </c>
      <c r="E1239" s="7" t="s">
        <v>6537</v>
      </c>
      <c r="F1239" s="7" t="s">
        <v>6538</v>
      </c>
      <c r="G1239" s="7"/>
      <c r="H1239" s="46" t="s">
        <v>249</v>
      </c>
      <c r="I1239" s="7" t="s">
        <v>160</v>
      </c>
      <c r="J1239" s="7" t="s">
        <v>148</v>
      </c>
      <c r="K1239" s="7"/>
      <c r="L1239" s="7"/>
      <c r="M1239" s="7"/>
    </row>
    <row r="1240" ht="15.75" customHeight="1">
      <c r="A1240" s="7" t="s">
        <v>6539</v>
      </c>
      <c r="B1240" s="45" t="s">
        <v>6540</v>
      </c>
      <c r="C1240" s="7" t="s">
        <v>6541</v>
      </c>
      <c r="D1240" s="7" t="s">
        <v>6542</v>
      </c>
      <c r="E1240" s="7" t="s">
        <v>6543</v>
      </c>
      <c r="F1240" s="7" t="s">
        <v>6544</v>
      </c>
      <c r="G1240" s="7"/>
      <c r="H1240" s="46" t="s">
        <v>249</v>
      </c>
      <c r="I1240" s="7" t="s">
        <v>160</v>
      </c>
      <c r="J1240" s="7" t="s">
        <v>148</v>
      </c>
      <c r="K1240" s="7"/>
      <c r="L1240" s="7"/>
      <c r="M1240" s="7"/>
    </row>
    <row r="1241" ht="15.75" customHeight="1">
      <c r="A1241" s="7" t="s">
        <v>6545</v>
      </c>
      <c r="B1241" s="45" t="s">
        <v>6546</v>
      </c>
      <c r="C1241" s="7" t="s">
        <v>6547</v>
      </c>
      <c r="D1241" s="7" t="s">
        <v>6548</v>
      </c>
      <c r="E1241" s="7" t="s">
        <v>6549</v>
      </c>
      <c r="F1241" s="7" t="s">
        <v>6550</v>
      </c>
      <c r="G1241" s="7"/>
      <c r="H1241" s="46" t="s">
        <v>249</v>
      </c>
      <c r="I1241" s="7" t="s">
        <v>160</v>
      </c>
      <c r="J1241" s="7" t="s">
        <v>148</v>
      </c>
      <c r="K1241" s="7"/>
      <c r="L1241" s="7"/>
      <c r="M1241" s="7"/>
    </row>
    <row r="1242" ht="15.75" customHeight="1">
      <c r="A1242" s="7" t="s">
        <v>6551</v>
      </c>
      <c r="B1242" s="45" t="s">
        <v>6552</v>
      </c>
      <c r="C1242" s="7" t="s">
        <v>6553</v>
      </c>
      <c r="D1242" s="7" t="s">
        <v>6554</v>
      </c>
      <c r="E1242" s="7" t="s">
        <v>6555</v>
      </c>
      <c r="F1242" s="7" t="s">
        <v>6556</v>
      </c>
      <c r="G1242" s="7"/>
      <c r="H1242" s="46" t="s">
        <v>249</v>
      </c>
      <c r="I1242" s="7" t="s">
        <v>160</v>
      </c>
      <c r="J1242" s="7" t="s">
        <v>148</v>
      </c>
      <c r="K1242" s="7"/>
      <c r="L1242" s="7"/>
      <c r="M1242" s="7"/>
    </row>
    <row r="1243" ht="15.75" customHeight="1">
      <c r="A1243" s="7" t="s">
        <v>6557</v>
      </c>
      <c r="B1243" s="45" t="s">
        <v>6558</v>
      </c>
      <c r="C1243" s="7" t="s">
        <v>6559</v>
      </c>
      <c r="D1243" s="7" t="s">
        <v>6560</v>
      </c>
      <c r="E1243" s="7" t="s">
        <v>6561</v>
      </c>
      <c r="F1243" s="7" t="s">
        <v>6562</v>
      </c>
      <c r="G1243" s="7" t="s">
        <v>6563</v>
      </c>
      <c r="H1243" s="46" t="s">
        <v>249</v>
      </c>
      <c r="I1243" s="7" t="s">
        <v>160</v>
      </c>
      <c r="J1243" s="7" t="s">
        <v>148</v>
      </c>
      <c r="K1243" s="7"/>
      <c r="L1243" s="7"/>
      <c r="M1243" s="7"/>
    </row>
    <row r="1244" ht="15.75" customHeight="1">
      <c r="A1244" s="7" t="s">
        <v>6564</v>
      </c>
      <c r="B1244" s="45" t="s">
        <v>6565</v>
      </c>
      <c r="C1244" s="7" t="s">
        <v>6566</v>
      </c>
      <c r="D1244" s="7" t="s">
        <v>6567</v>
      </c>
      <c r="E1244" s="7" t="s">
        <v>6568</v>
      </c>
      <c r="F1244" s="7" t="s">
        <v>6569</v>
      </c>
      <c r="G1244" s="7" t="s">
        <v>6570</v>
      </c>
      <c r="H1244" s="46" t="s">
        <v>249</v>
      </c>
      <c r="I1244" s="7" t="s">
        <v>160</v>
      </c>
      <c r="J1244" s="7" t="s">
        <v>148</v>
      </c>
      <c r="K1244" s="7"/>
      <c r="L1244" s="7"/>
      <c r="M1244" s="7"/>
    </row>
    <row r="1245" ht="15.75" customHeight="1">
      <c r="A1245" s="7" t="s">
        <v>6571</v>
      </c>
      <c r="B1245" s="45" t="s">
        <v>6572</v>
      </c>
      <c r="C1245" s="7" t="s">
        <v>6573</v>
      </c>
      <c r="D1245" s="7" t="s">
        <v>6574</v>
      </c>
      <c r="E1245" s="7" t="s">
        <v>6575</v>
      </c>
      <c r="F1245" s="7" t="s">
        <v>6576</v>
      </c>
      <c r="G1245" s="7"/>
      <c r="H1245" s="46" t="s">
        <v>249</v>
      </c>
      <c r="I1245" s="7" t="s">
        <v>160</v>
      </c>
      <c r="J1245" s="7" t="s">
        <v>148</v>
      </c>
      <c r="K1245" s="7"/>
      <c r="L1245" s="7"/>
      <c r="M1245" s="7"/>
    </row>
    <row r="1246" ht="15.75" customHeight="1">
      <c r="A1246" s="7" t="s">
        <v>6577</v>
      </c>
      <c r="B1246" s="45" t="s">
        <v>6578</v>
      </c>
      <c r="C1246" s="7" t="s">
        <v>6579</v>
      </c>
      <c r="D1246" s="7" t="s">
        <v>6580</v>
      </c>
      <c r="E1246" s="7" t="s">
        <v>6581</v>
      </c>
      <c r="F1246" s="7" t="s">
        <v>6576</v>
      </c>
      <c r="G1246" s="7"/>
      <c r="H1246" s="46" t="s">
        <v>249</v>
      </c>
      <c r="I1246" s="7" t="s">
        <v>160</v>
      </c>
      <c r="J1246" s="7" t="s">
        <v>148</v>
      </c>
      <c r="K1246" s="7"/>
      <c r="L1246" s="7"/>
      <c r="M1246" s="7"/>
    </row>
    <row r="1247" ht="15.75" customHeight="1">
      <c r="A1247" s="7" t="s">
        <v>6582</v>
      </c>
      <c r="B1247" s="45" t="s">
        <v>6583</v>
      </c>
      <c r="C1247" s="7" t="s">
        <v>6584</v>
      </c>
      <c r="D1247" s="7" t="s">
        <v>6585</v>
      </c>
      <c r="E1247" s="7" t="s">
        <v>6586</v>
      </c>
      <c r="F1247" s="7" t="s">
        <v>6587</v>
      </c>
      <c r="G1247" s="7"/>
      <c r="H1247" s="46" t="s">
        <v>249</v>
      </c>
      <c r="I1247" s="7" t="s">
        <v>160</v>
      </c>
      <c r="J1247" s="7" t="s">
        <v>148</v>
      </c>
      <c r="K1247" s="7"/>
      <c r="L1247" s="7"/>
      <c r="M1247" s="7"/>
    </row>
    <row r="1248" ht="15.75" customHeight="1">
      <c r="A1248" s="7" t="s">
        <v>6588</v>
      </c>
      <c r="B1248" s="45" t="s">
        <v>6589</v>
      </c>
      <c r="C1248" s="7" t="s">
        <v>6590</v>
      </c>
      <c r="D1248" s="7" t="s">
        <v>6591</v>
      </c>
      <c r="E1248" s="7" t="s">
        <v>6592</v>
      </c>
      <c r="F1248" s="7" t="s">
        <v>6593</v>
      </c>
      <c r="G1248" s="7"/>
      <c r="H1248" s="46" t="s">
        <v>249</v>
      </c>
      <c r="I1248" s="7" t="s">
        <v>160</v>
      </c>
      <c r="J1248" s="7" t="s">
        <v>148</v>
      </c>
      <c r="K1248" s="7"/>
      <c r="L1248" s="7"/>
      <c r="M1248" s="7"/>
    </row>
    <row r="1249" ht="15.75" customHeight="1">
      <c r="A1249" s="7" t="s">
        <v>6594</v>
      </c>
      <c r="B1249" s="45" t="s">
        <v>6595</v>
      </c>
      <c r="C1249" s="7" t="s">
        <v>6596</v>
      </c>
      <c r="D1249" s="7" t="s">
        <v>6597</v>
      </c>
      <c r="E1249" s="7" t="s">
        <v>6598</v>
      </c>
      <c r="F1249" s="7" t="s">
        <v>6599</v>
      </c>
      <c r="G1249" s="7"/>
      <c r="H1249" s="46" t="s">
        <v>249</v>
      </c>
      <c r="I1249" s="7" t="s">
        <v>160</v>
      </c>
      <c r="J1249" s="7" t="s">
        <v>148</v>
      </c>
      <c r="K1249" s="7"/>
      <c r="L1249" s="7"/>
      <c r="M1249" s="7"/>
    </row>
    <row r="1250" ht="15.75" customHeight="1">
      <c r="A1250" s="7" t="s">
        <v>6600</v>
      </c>
      <c r="B1250" s="45" t="s">
        <v>6601</v>
      </c>
      <c r="C1250" s="7" t="s">
        <v>6602</v>
      </c>
      <c r="D1250" s="7" t="s">
        <v>6603</v>
      </c>
      <c r="E1250" s="7" t="s">
        <v>6604</v>
      </c>
      <c r="F1250" s="7" t="s">
        <v>6605</v>
      </c>
      <c r="G1250" s="7"/>
      <c r="H1250" s="46" t="s">
        <v>249</v>
      </c>
      <c r="I1250" s="7" t="s">
        <v>160</v>
      </c>
      <c r="J1250" s="7" t="s">
        <v>148</v>
      </c>
      <c r="K1250" s="7"/>
      <c r="L1250" s="7"/>
      <c r="M1250" s="7"/>
    </row>
    <row r="1251" ht="15.75" customHeight="1">
      <c r="A1251" s="7" t="s">
        <v>6606</v>
      </c>
      <c r="B1251" s="45" t="s">
        <v>6607</v>
      </c>
      <c r="C1251" s="7" t="s">
        <v>6608</v>
      </c>
      <c r="D1251" s="7" t="s">
        <v>6609</v>
      </c>
      <c r="E1251" s="7" t="s">
        <v>6610</v>
      </c>
      <c r="F1251" s="7" t="s">
        <v>6611</v>
      </c>
      <c r="G1251" s="7"/>
      <c r="H1251" s="46" t="s">
        <v>249</v>
      </c>
      <c r="I1251" s="7" t="s">
        <v>160</v>
      </c>
      <c r="J1251" s="7" t="s">
        <v>148</v>
      </c>
      <c r="K1251" s="7"/>
      <c r="L1251" s="7"/>
      <c r="M1251" s="7"/>
    </row>
    <row r="1252" ht="15.75" customHeight="1">
      <c r="A1252" s="7" t="s">
        <v>6612</v>
      </c>
      <c r="B1252" s="45" t="s">
        <v>6613</v>
      </c>
      <c r="C1252" s="7" t="s">
        <v>6614</v>
      </c>
      <c r="D1252" s="7" t="s">
        <v>6615</v>
      </c>
      <c r="E1252" s="7" t="s">
        <v>6616</v>
      </c>
      <c r="F1252" s="7" t="s">
        <v>6617</v>
      </c>
      <c r="G1252" s="7"/>
      <c r="H1252" s="46" t="s">
        <v>249</v>
      </c>
      <c r="I1252" s="7" t="s">
        <v>160</v>
      </c>
      <c r="J1252" s="7" t="s">
        <v>148</v>
      </c>
      <c r="K1252" s="7"/>
      <c r="L1252" s="7"/>
      <c r="M1252" s="7"/>
    </row>
    <row r="1253" ht="15.75" customHeight="1">
      <c r="A1253" s="7" t="s">
        <v>6618</v>
      </c>
      <c r="B1253" s="45" t="s">
        <v>6619</v>
      </c>
      <c r="C1253" s="7" t="s">
        <v>6620</v>
      </c>
      <c r="D1253" s="7" t="s">
        <v>6621</v>
      </c>
      <c r="E1253" s="7" t="s">
        <v>6616</v>
      </c>
      <c r="F1253" s="7" t="s">
        <v>6617</v>
      </c>
      <c r="G1253" s="7"/>
      <c r="H1253" s="46" t="s">
        <v>249</v>
      </c>
      <c r="I1253" s="7" t="s">
        <v>160</v>
      </c>
      <c r="J1253" s="7" t="s">
        <v>148</v>
      </c>
      <c r="K1253" s="7"/>
      <c r="L1253" s="7"/>
      <c r="M1253" s="7"/>
    </row>
    <row r="1254" ht="15.75" customHeight="1">
      <c r="A1254" s="7" t="s">
        <v>6622</v>
      </c>
      <c r="B1254" s="45" t="s">
        <v>6623</v>
      </c>
      <c r="C1254" s="7" t="s">
        <v>6624</v>
      </c>
      <c r="D1254" s="7" t="s">
        <v>6625</v>
      </c>
      <c r="E1254" s="7" t="s">
        <v>6626</v>
      </c>
      <c r="F1254" s="7" t="s">
        <v>6627</v>
      </c>
      <c r="G1254" s="7"/>
      <c r="H1254" s="46" t="s">
        <v>249</v>
      </c>
      <c r="I1254" s="7" t="s">
        <v>160</v>
      </c>
      <c r="J1254" s="7" t="s">
        <v>148</v>
      </c>
      <c r="K1254" s="7"/>
      <c r="L1254" s="7"/>
      <c r="M1254" s="7"/>
    </row>
    <row r="1255" ht="15.75" customHeight="1">
      <c r="A1255" s="7" t="s">
        <v>6628</v>
      </c>
      <c r="B1255" s="45" t="s">
        <v>6629</v>
      </c>
      <c r="C1255" s="7" t="s">
        <v>6630</v>
      </c>
      <c r="D1255" s="7" t="s">
        <v>6609</v>
      </c>
      <c r="E1255" s="7" t="s">
        <v>6631</v>
      </c>
      <c r="F1255" s="7" t="s">
        <v>6611</v>
      </c>
      <c r="G1255" s="7" t="s">
        <v>6632</v>
      </c>
      <c r="H1255" s="46" t="s">
        <v>249</v>
      </c>
      <c r="I1255" s="7" t="s">
        <v>160</v>
      </c>
      <c r="J1255" s="7" t="s">
        <v>148</v>
      </c>
      <c r="K1255" s="7"/>
      <c r="L1255" s="7"/>
      <c r="M1255" s="7"/>
    </row>
    <row r="1256" ht="15.75" customHeight="1">
      <c r="A1256" s="7" t="s">
        <v>6633</v>
      </c>
      <c r="B1256" s="45" t="s">
        <v>6634</v>
      </c>
      <c r="C1256" s="7" t="s">
        <v>6635</v>
      </c>
      <c r="D1256" s="7" t="s">
        <v>6636</v>
      </c>
      <c r="E1256" s="7" t="s">
        <v>6637</v>
      </c>
      <c r="F1256" s="7" t="s">
        <v>6638</v>
      </c>
      <c r="G1256" s="7"/>
      <c r="H1256" s="46" t="s">
        <v>249</v>
      </c>
      <c r="I1256" s="7" t="s">
        <v>160</v>
      </c>
      <c r="J1256" s="7" t="s">
        <v>148</v>
      </c>
      <c r="K1256" s="7"/>
      <c r="L1256" s="7"/>
      <c r="M1256" s="7"/>
    </row>
    <row r="1257" ht="15.75" customHeight="1">
      <c r="A1257" s="7" t="s">
        <v>6639</v>
      </c>
      <c r="B1257" s="45" t="s">
        <v>6640</v>
      </c>
      <c r="C1257" s="7" t="s">
        <v>6641</v>
      </c>
      <c r="D1257" s="7" t="s">
        <v>6642</v>
      </c>
      <c r="E1257" s="7" t="s">
        <v>6643</v>
      </c>
      <c r="F1257" s="7" t="s">
        <v>6644</v>
      </c>
      <c r="G1257" s="7" t="s">
        <v>6645</v>
      </c>
      <c r="H1257" s="46" t="s">
        <v>249</v>
      </c>
      <c r="I1257" s="7" t="s">
        <v>160</v>
      </c>
      <c r="J1257" s="7" t="s">
        <v>148</v>
      </c>
      <c r="K1257" s="7"/>
      <c r="L1257" s="7"/>
      <c r="M1257" s="7"/>
    </row>
    <row r="1258" ht="15.75" customHeight="1">
      <c r="A1258" s="7" t="s">
        <v>6646</v>
      </c>
      <c r="B1258" s="45" t="s">
        <v>6647</v>
      </c>
      <c r="C1258" s="7" t="s">
        <v>6648</v>
      </c>
      <c r="D1258" s="7" t="s">
        <v>6649</v>
      </c>
      <c r="E1258" s="7" t="s">
        <v>4671</v>
      </c>
      <c r="F1258" s="7" t="s">
        <v>4672</v>
      </c>
      <c r="G1258" s="7" t="s">
        <v>6650</v>
      </c>
      <c r="H1258" s="46" t="s">
        <v>249</v>
      </c>
      <c r="I1258" s="7" t="s">
        <v>160</v>
      </c>
      <c r="J1258" s="7" t="s">
        <v>148</v>
      </c>
      <c r="K1258" s="7"/>
      <c r="L1258" s="7"/>
      <c r="M1258" s="7"/>
    </row>
    <row r="1259" ht="15.75" customHeight="1">
      <c r="A1259" s="7" t="s">
        <v>6651</v>
      </c>
      <c r="B1259" s="45" t="s">
        <v>6652</v>
      </c>
      <c r="C1259" s="7" t="s">
        <v>4669</v>
      </c>
      <c r="D1259" s="7" t="s">
        <v>6653</v>
      </c>
      <c r="E1259" s="7" t="s">
        <v>6654</v>
      </c>
      <c r="F1259" s="7" t="s">
        <v>4672</v>
      </c>
      <c r="G1259" s="7"/>
      <c r="H1259" s="46" t="s">
        <v>249</v>
      </c>
      <c r="I1259" s="7" t="s">
        <v>160</v>
      </c>
      <c r="J1259" s="7" t="s">
        <v>148</v>
      </c>
      <c r="K1259" s="7"/>
      <c r="L1259" s="7"/>
      <c r="M1259" s="7"/>
    </row>
    <row r="1260" ht="15.75" customHeight="1">
      <c r="A1260" s="7" t="s">
        <v>6655</v>
      </c>
      <c r="B1260" s="45" t="s">
        <v>6656</v>
      </c>
      <c r="C1260" s="7" t="s">
        <v>6657</v>
      </c>
      <c r="D1260" s="7" t="s">
        <v>6658</v>
      </c>
      <c r="E1260" s="7" t="s">
        <v>6659</v>
      </c>
      <c r="F1260" s="7" t="s">
        <v>6660</v>
      </c>
      <c r="G1260" s="7"/>
      <c r="H1260" s="46" t="s">
        <v>249</v>
      </c>
      <c r="I1260" s="7" t="s">
        <v>160</v>
      </c>
      <c r="J1260" s="7" t="s">
        <v>148</v>
      </c>
      <c r="K1260" s="7"/>
      <c r="L1260" s="7"/>
      <c r="M1260" s="7"/>
    </row>
    <row r="1261" ht="15.75" customHeight="1">
      <c r="A1261" s="7" t="s">
        <v>6661</v>
      </c>
      <c r="B1261" s="45" t="s">
        <v>6662</v>
      </c>
      <c r="C1261" s="7" t="s">
        <v>6663</v>
      </c>
      <c r="D1261" s="7" t="s">
        <v>6664</v>
      </c>
      <c r="E1261" s="7" t="s">
        <v>6665</v>
      </c>
      <c r="F1261" s="7" t="s">
        <v>6666</v>
      </c>
      <c r="G1261" s="7"/>
      <c r="H1261" s="46" t="s">
        <v>249</v>
      </c>
      <c r="I1261" s="7" t="s">
        <v>160</v>
      </c>
      <c r="J1261" s="7" t="s">
        <v>148</v>
      </c>
      <c r="K1261" s="7"/>
      <c r="L1261" s="7"/>
      <c r="M1261" s="7"/>
    </row>
    <row r="1262" ht="15.75" customHeight="1">
      <c r="A1262" s="7" t="s">
        <v>6667</v>
      </c>
      <c r="B1262" s="45" t="s">
        <v>6668</v>
      </c>
      <c r="C1262" s="7" t="s">
        <v>6669</v>
      </c>
      <c r="D1262" s="7" t="s">
        <v>6670</v>
      </c>
      <c r="E1262" s="7" t="s">
        <v>6671</v>
      </c>
      <c r="F1262" s="7" t="s">
        <v>6672</v>
      </c>
      <c r="G1262" s="7" t="s">
        <v>6673</v>
      </c>
      <c r="H1262" s="46" t="s">
        <v>249</v>
      </c>
      <c r="I1262" s="7" t="s">
        <v>160</v>
      </c>
      <c r="J1262" s="7" t="s">
        <v>148</v>
      </c>
      <c r="K1262" s="7"/>
      <c r="L1262" s="7"/>
      <c r="M1262" s="7"/>
    </row>
    <row r="1263" ht="15.75" customHeight="1">
      <c r="A1263" s="7" t="s">
        <v>6674</v>
      </c>
      <c r="B1263" s="45" t="s">
        <v>6675</v>
      </c>
      <c r="C1263" s="7" t="s">
        <v>6676</v>
      </c>
      <c r="D1263" s="7" t="s">
        <v>6677</v>
      </c>
      <c r="E1263" s="7" t="s">
        <v>6678</v>
      </c>
      <c r="F1263" s="7" t="s">
        <v>6679</v>
      </c>
      <c r="G1263" s="7"/>
      <c r="H1263" s="46" t="s">
        <v>249</v>
      </c>
      <c r="I1263" s="7" t="s">
        <v>160</v>
      </c>
      <c r="J1263" s="7" t="s">
        <v>148</v>
      </c>
      <c r="K1263" s="7"/>
      <c r="L1263" s="7"/>
      <c r="M1263" s="7"/>
    </row>
    <row r="1264" ht="15.75" customHeight="1">
      <c r="A1264" s="7" t="s">
        <v>6680</v>
      </c>
      <c r="B1264" s="45" t="s">
        <v>6681</v>
      </c>
      <c r="C1264" s="7" t="s">
        <v>6682</v>
      </c>
      <c r="D1264" s="7" t="s">
        <v>6683</v>
      </c>
      <c r="E1264" s="7" t="s">
        <v>6684</v>
      </c>
      <c r="F1264" s="7" t="s">
        <v>6685</v>
      </c>
      <c r="G1264" s="7"/>
      <c r="H1264" s="46" t="s">
        <v>249</v>
      </c>
      <c r="I1264" s="7" t="s">
        <v>160</v>
      </c>
      <c r="J1264" s="7" t="s">
        <v>148</v>
      </c>
      <c r="K1264" s="7"/>
      <c r="L1264" s="7"/>
      <c r="M1264" s="7"/>
    </row>
    <row r="1265" ht="15.75" customHeight="1">
      <c r="A1265" s="7" t="s">
        <v>6686</v>
      </c>
      <c r="B1265" s="45" t="s">
        <v>6687</v>
      </c>
      <c r="C1265" s="7" t="s">
        <v>6688</v>
      </c>
      <c r="D1265" s="7" t="s">
        <v>6689</v>
      </c>
      <c r="E1265" s="7" t="s">
        <v>6690</v>
      </c>
      <c r="F1265" s="7" t="s">
        <v>6691</v>
      </c>
      <c r="G1265" s="7"/>
      <c r="H1265" s="46" t="s">
        <v>249</v>
      </c>
      <c r="I1265" s="7" t="s">
        <v>160</v>
      </c>
      <c r="J1265" s="7" t="s">
        <v>148</v>
      </c>
      <c r="K1265" s="7"/>
      <c r="L1265" s="7"/>
      <c r="M1265" s="7"/>
    </row>
    <row r="1266" ht="15.75" customHeight="1">
      <c r="A1266" s="7" t="s">
        <v>6692</v>
      </c>
      <c r="B1266" s="45" t="s">
        <v>6693</v>
      </c>
      <c r="C1266" s="7" t="s">
        <v>6694</v>
      </c>
      <c r="D1266" s="7" t="s">
        <v>6695</v>
      </c>
      <c r="E1266" s="7" t="s">
        <v>6443</v>
      </c>
      <c r="F1266" s="7" t="s">
        <v>6444</v>
      </c>
      <c r="G1266" s="7"/>
      <c r="H1266" s="46" t="s">
        <v>249</v>
      </c>
      <c r="I1266" s="7" t="s">
        <v>160</v>
      </c>
      <c r="J1266" s="7" t="s">
        <v>148</v>
      </c>
      <c r="K1266" s="7"/>
      <c r="L1266" s="7"/>
      <c r="M1266" s="7"/>
    </row>
    <row r="1267" ht="15.75" customHeight="1">
      <c r="A1267" s="7" t="s">
        <v>6696</v>
      </c>
      <c r="B1267" s="45" t="s">
        <v>6697</v>
      </c>
      <c r="C1267" s="7" t="s">
        <v>6698</v>
      </c>
      <c r="D1267" s="7" t="s">
        <v>6699</v>
      </c>
      <c r="E1267" s="7" t="s">
        <v>6700</v>
      </c>
      <c r="F1267" s="7" t="s">
        <v>6611</v>
      </c>
      <c r="G1267" s="7"/>
      <c r="H1267" s="46" t="s">
        <v>249</v>
      </c>
      <c r="I1267" s="7" t="s">
        <v>160</v>
      </c>
      <c r="J1267" s="7" t="s">
        <v>148</v>
      </c>
      <c r="K1267" s="7"/>
      <c r="L1267" s="7"/>
      <c r="M1267" s="7"/>
    </row>
    <row r="1268" ht="15.75" customHeight="1">
      <c r="A1268" s="7" t="s">
        <v>6701</v>
      </c>
      <c r="B1268" s="45" t="s">
        <v>6702</v>
      </c>
      <c r="C1268" s="7" t="s">
        <v>6703</v>
      </c>
      <c r="D1268" s="7" t="s">
        <v>6704</v>
      </c>
      <c r="E1268" s="7" t="s">
        <v>6705</v>
      </c>
      <c r="F1268" s="7" t="s">
        <v>6706</v>
      </c>
      <c r="G1268" s="7"/>
      <c r="H1268" s="46" t="s">
        <v>249</v>
      </c>
      <c r="I1268" s="7" t="s">
        <v>160</v>
      </c>
      <c r="J1268" s="7" t="s">
        <v>148</v>
      </c>
      <c r="K1268" s="7"/>
      <c r="L1268" s="7"/>
      <c r="M1268" s="7"/>
    </row>
    <row r="1269" ht="15.75" customHeight="1">
      <c r="A1269" s="7" t="s">
        <v>6707</v>
      </c>
      <c r="B1269" s="45" t="s">
        <v>6708</v>
      </c>
      <c r="C1269" s="7" t="s">
        <v>6709</v>
      </c>
      <c r="D1269" s="7" t="s">
        <v>6710</v>
      </c>
      <c r="E1269" s="7" t="s">
        <v>6711</v>
      </c>
      <c r="F1269" s="7" t="s">
        <v>6712</v>
      </c>
      <c r="G1269" s="7"/>
      <c r="H1269" s="46" t="s">
        <v>249</v>
      </c>
      <c r="I1269" s="7" t="s">
        <v>160</v>
      </c>
      <c r="J1269" s="7" t="s">
        <v>148</v>
      </c>
      <c r="K1269" s="7"/>
      <c r="L1269" s="7"/>
      <c r="M1269" s="7"/>
    </row>
    <row r="1270" ht="15.75" customHeight="1">
      <c r="A1270" s="7" t="s">
        <v>6713</v>
      </c>
      <c r="B1270" s="45" t="s">
        <v>6714</v>
      </c>
      <c r="C1270" s="7" t="s">
        <v>6715</v>
      </c>
      <c r="D1270" s="7" t="s">
        <v>6716</v>
      </c>
      <c r="E1270" s="7" t="s">
        <v>6717</v>
      </c>
      <c r="F1270" s="7" t="s">
        <v>6718</v>
      </c>
      <c r="G1270" s="7"/>
      <c r="H1270" s="46" t="s">
        <v>249</v>
      </c>
      <c r="I1270" s="7" t="s">
        <v>160</v>
      </c>
      <c r="J1270" s="7" t="s">
        <v>148</v>
      </c>
      <c r="K1270" s="7"/>
      <c r="L1270" s="7"/>
      <c r="M1270" s="7"/>
    </row>
    <row r="1271" ht="15.75" customHeight="1">
      <c r="A1271" s="7" t="s">
        <v>6719</v>
      </c>
      <c r="B1271" s="45" t="s">
        <v>6720</v>
      </c>
      <c r="C1271" s="7" t="s">
        <v>6669</v>
      </c>
      <c r="D1271" s="7" t="s">
        <v>6721</v>
      </c>
      <c r="E1271" s="7" t="s">
        <v>6722</v>
      </c>
      <c r="F1271" s="7" t="s">
        <v>6723</v>
      </c>
      <c r="G1271" s="7"/>
      <c r="H1271" s="46" t="s">
        <v>249</v>
      </c>
      <c r="I1271" s="7" t="s">
        <v>160</v>
      </c>
      <c r="J1271" s="7" t="s">
        <v>148</v>
      </c>
      <c r="K1271" s="7"/>
      <c r="L1271" s="7"/>
      <c r="M1271" s="7"/>
    </row>
    <row r="1272" ht="15.75" customHeight="1">
      <c r="A1272" s="7" t="s">
        <v>6724</v>
      </c>
      <c r="B1272" s="45" t="s">
        <v>6725</v>
      </c>
      <c r="C1272" s="7" t="s">
        <v>6726</v>
      </c>
      <c r="D1272" s="7" t="s">
        <v>6727</v>
      </c>
      <c r="E1272" s="7" t="s">
        <v>6728</v>
      </c>
      <c r="F1272" s="7" t="s">
        <v>6729</v>
      </c>
      <c r="G1272" s="7"/>
      <c r="H1272" s="46" t="s">
        <v>249</v>
      </c>
      <c r="I1272" s="7" t="s">
        <v>160</v>
      </c>
      <c r="J1272" s="7" t="s">
        <v>148</v>
      </c>
      <c r="K1272" s="7"/>
      <c r="L1272" s="7"/>
      <c r="M1272" s="7"/>
    </row>
    <row r="1273" ht="15.75" customHeight="1">
      <c r="A1273" s="7" t="s">
        <v>6730</v>
      </c>
      <c r="B1273" s="45" t="s">
        <v>6731</v>
      </c>
      <c r="C1273" s="7" t="s">
        <v>6732</v>
      </c>
      <c r="D1273" s="7" t="s">
        <v>6733</v>
      </c>
      <c r="E1273" s="7" t="s">
        <v>6734</v>
      </c>
      <c r="F1273" s="7" t="s">
        <v>6735</v>
      </c>
      <c r="G1273" s="7"/>
      <c r="H1273" s="46" t="s">
        <v>249</v>
      </c>
      <c r="I1273" s="7" t="s">
        <v>160</v>
      </c>
      <c r="J1273" s="7" t="s">
        <v>148</v>
      </c>
      <c r="K1273" s="7"/>
      <c r="L1273" s="7"/>
      <c r="M1273" s="7"/>
    </row>
    <row r="1274" ht="15.75" customHeight="1">
      <c r="A1274" s="7" t="s">
        <v>6736</v>
      </c>
      <c r="B1274" s="45" t="s">
        <v>6737</v>
      </c>
      <c r="C1274" s="7" t="s">
        <v>6738</v>
      </c>
      <c r="D1274" s="7" t="s">
        <v>6739</v>
      </c>
      <c r="E1274" s="7" t="s">
        <v>6740</v>
      </c>
      <c r="F1274" s="7" t="s">
        <v>6741</v>
      </c>
      <c r="G1274" s="7"/>
      <c r="H1274" s="46" t="s">
        <v>249</v>
      </c>
      <c r="I1274" s="7" t="s">
        <v>160</v>
      </c>
      <c r="J1274" s="7" t="s">
        <v>148</v>
      </c>
      <c r="K1274" s="7"/>
      <c r="L1274" s="7"/>
      <c r="M1274" s="7"/>
    </row>
    <row r="1275" ht="15.75" customHeight="1">
      <c r="A1275" s="7" t="s">
        <v>6742</v>
      </c>
      <c r="B1275" s="45" t="s">
        <v>6743</v>
      </c>
      <c r="C1275" s="7" t="s">
        <v>6738</v>
      </c>
      <c r="D1275" s="7" t="s">
        <v>6744</v>
      </c>
      <c r="E1275" s="7" t="s">
        <v>6740</v>
      </c>
      <c r="F1275" s="7" t="s">
        <v>6741</v>
      </c>
      <c r="G1275" s="7"/>
      <c r="H1275" s="46" t="s">
        <v>249</v>
      </c>
      <c r="I1275" s="7" t="s">
        <v>160</v>
      </c>
      <c r="J1275" s="7" t="s">
        <v>148</v>
      </c>
      <c r="K1275" s="7"/>
      <c r="L1275" s="7"/>
      <c r="M1275" s="7"/>
    </row>
    <row r="1276" ht="15.75" customHeight="1">
      <c r="A1276" s="7" t="s">
        <v>6745</v>
      </c>
      <c r="B1276" s="45" t="s">
        <v>6746</v>
      </c>
      <c r="C1276" s="7" t="s">
        <v>6747</v>
      </c>
      <c r="D1276" s="7" t="s">
        <v>6748</v>
      </c>
      <c r="E1276" s="7" t="s">
        <v>6749</v>
      </c>
      <c r="F1276" s="7" t="s">
        <v>6750</v>
      </c>
      <c r="G1276" s="7"/>
      <c r="H1276" s="46" t="s">
        <v>249</v>
      </c>
      <c r="I1276" s="7" t="s">
        <v>160</v>
      </c>
      <c r="J1276" s="7" t="s">
        <v>148</v>
      </c>
      <c r="K1276" s="7"/>
      <c r="L1276" s="7"/>
      <c r="M1276" s="7"/>
    </row>
    <row r="1277" ht="15.75" customHeight="1">
      <c r="A1277" s="7" t="s">
        <v>6751</v>
      </c>
      <c r="B1277" s="45" t="s">
        <v>6752</v>
      </c>
      <c r="C1277" s="7" t="s">
        <v>6753</v>
      </c>
      <c r="D1277" s="7" t="s">
        <v>6754</v>
      </c>
      <c r="E1277" s="7" t="s">
        <v>6755</v>
      </c>
      <c r="F1277" s="7" t="s">
        <v>6756</v>
      </c>
      <c r="G1277" s="7"/>
      <c r="H1277" s="46" t="s">
        <v>249</v>
      </c>
      <c r="I1277" s="7" t="s">
        <v>160</v>
      </c>
      <c r="J1277" s="7" t="s">
        <v>148</v>
      </c>
      <c r="K1277" s="7"/>
      <c r="L1277" s="7"/>
      <c r="M1277" s="7"/>
    </row>
    <row r="1278" ht="15.75" customHeight="1">
      <c r="A1278" s="7" t="s">
        <v>6757</v>
      </c>
      <c r="B1278" s="45" t="s">
        <v>6758</v>
      </c>
      <c r="C1278" s="7" t="s">
        <v>6759</v>
      </c>
      <c r="D1278" s="7" t="s">
        <v>6760</v>
      </c>
      <c r="E1278" s="7" t="s">
        <v>6475</v>
      </c>
      <c r="F1278" s="7" t="s">
        <v>6476</v>
      </c>
      <c r="G1278" s="7" t="s">
        <v>6761</v>
      </c>
      <c r="H1278" s="46" t="s">
        <v>249</v>
      </c>
      <c r="I1278" s="7" t="s">
        <v>160</v>
      </c>
      <c r="J1278" s="7" t="s">
        <v>148</v>
      </c>
      <c r="K1278" s="7"/>
      <c r="L1278" s="7"/>
      <c r="M1278" s="7"/>
    </row>
    <row r="1279" ht="15.75" customHeight="1">
      <c r="A1279" s="7" t="s">
        <v>6762</v>
      </c>
      <c r="B1279" s="45" t="s">
        <v>6763</v>
      </c>
      <c r="C1279" s="7" t="s">
        <v>6764</v>
      </c>
      <c r="D1279" s="7" t="s">
        <v>6748</v>
      </c>
      <c r="E1279" s="7" t="s">
        <v>6749</v>
      </c>
      <c r="F1279" s="7" t="s">
        <v>6750</v>
      </c>
      <c r="G1279" s="7" t="s">
        <v>6765</v>
      </c>
      <c r="H1279" s="46" t="s">
        <v>249</v>
      </c>
      <c r="I1279" s="7" t="s">
        <v>160</v>
      </c>
      <c r="J1279" s="7" t="s">
        <v>148</v>
      </c>
      <c r="K1279" s="7"/>
      <c r="L1279" s="7"/>
      <c r="M1279" s="7"/>
    </row>
    <row r="1280" ht="15.75" customHeight="1">
      <c r="A1280" s="7" t="s">
        <v>6766</v>
      </c>
      <c r="B1280" s="45" t="s">
        <v>6767</v>
      </c>
      <c r="C1280" s="7" t="s">
        <v>6590</v>
      </c>
      <c r="D1280" s="7" t="s">
        <v>6768</v>
      </c>
      <c r="E1280" s="7" t="s">
        <v>6592</v>
      </c>
      <c r="F1280" s="7" t="s">
        <v>6593</v>
      </c>
      <c r="G1280" s="7"/>
      <c r="H1280" s="46" t="s">
        <v>249</v>
      </c>
      <c r="I1280" s="7" t="s">
        <v>160</v>
      </c>
      <c r="J1280" s="7" t="s">
        <v>148</v>
      </c>
      <c r="K1280" s="7"/>
      <c r="L1280" s="7"/>
      <c r="M1280" s="7"/>
    </row>
    <row r="1281" ht="15.75" customHeight="1">
      <c r="A1281" s="7" t="s">
        <v>6769</v>
      </c>
      <c r="B1281" s="45" t="s">
        <v>6770</v>
      </c>
      <c r="C1281" s="7" t="s">
        <v>6590</v>
      </c>
      <c r="D1281" s="7" t="s">
        <v>6771</v>
      </c>
      <c r="E1281" s="7" t="s">
        <v>6592</v>
      </c>
      <c r="F1281" s="7" t="s">
        <v>6593</v>
      </c>
      <c r="G1281" s="7"/>
      <c r="H1281" s="46" t="s">
        <v>249</v>
      </c>
      <c r="I1281" s="7" t="s">
        <v>160</v>
      </c>
      <c r="J1281" s="7" t="s">
        <v>148</v>
      </c>
      <c r="K1281" s="7"/>
      <c r="L1281" s="7"/>
      <c r="M1281" s="7"/>
    </row>
    <row r="1282" ht="15.75" customHeight="1">
      <c r="A1282" s="7" t="s">
        <v>6772</v>
      </c>
      <c r="B1282" s="45" t="s">
        <v>6773</v>
      </c>
      <c r="C1282" s="7" t="s">
        <v>6774</v>
      </c>
      <c r="D1282" s="7" t="s">
        <v>6775</v>
      </c>
      <c r="E1282" s="7" t="s">
        <v>6776</v>
      </c>
      <c r="F1282" s="7" t="s">
        <v>6777</v>
      </c>
      <c r="G1282" s="7"/>
      <c r="H1282" s="46" t="s">
        <v>249</v>
      </c>
      <c r="I1282" s="7" t="s">
        <v>160</v>
      </c>
      <c r="J1282" s="7" t="s">
        <v>148</v>
      </c>
      <c r="K1282" s="7"/>
      <c r="L1282" s="7"/>
      <c r="M1282" s="7"/>
    </row>
    <row r="1283" ht="15.75" customHeight="1">
      <c r="A1283" s="7" t="s">
        <v>6778</v>
      </c>
      <c r="B1283" s="45" t="s">
        <v>6779</v>
      </c>
      <c r="C1283" s="7" t="s">
        <v>6780</v>
      </c>
      <c r="D1283" s="7" t="s">
        <v>6781</v>
      </c>
      <c r="E1283" s="7" t="s">
        <v>1901</v>
      </c>
      <c r="F1283" s="7" t="s">
        <v>1902</v>
      </c>
      <c r="G1283" s="7"/>
      <c r="H1283" s="46" t="s">
        <v>249</v>
      </c>
      <c r="I1283" s="7" t="s">
        <v>160</v>
      </c>
      <c r="J1283" s="7" t="s">
        <v>148</v>
      </c>
      <c r="K1283" s="7"/>
      <c r="L1283" s="7"/>
      <c r="M1283" s="7"/>
    </row>
    <row r="1284" ht="15.75" customHeight="1">
      <c r="A1284" s="7" t="s">
        <v>6782</v>
      </c>
      <c r="B1284" s="45" t="s">
        <v>6783</v>
      </c>
      <c r="C1284" s="7" t="s">
        <v>6784</v>
      </c>
      <c r="D1284" s="7" t="s">
        <v>6785</v>
      </c>
      <c r="E1284" s="7" t="s">
        <v>6786</v>
      </c>
      <c r="F1284" s="7" t="s">
        <v>6787</v>
      </c>
      <c r="G1284" s="7"/>
      <c r="H1284" s="46" t="s">
        <v>249</v>
      </c>
      <c r="I1284" s="7" t="s">
        <v>160</v>
      </c>
      <c r="J1284" s="7" t="s">
        <v>148</v>
      </c>
      <c r="K1284" s="7"/>
      <c r="L1284" s="7"/>
      <c r="M1284" s="7"/>
    </row>
    <row r="1285" ht="15.75" customHeight="1">
      <c r="A1285" s="7" t="s">
        <v>6788</v>
      </c>
      <c r="B1285" s="45" t="s">
        <v>6789</v>
      </c>
      <c r="C1285" s="7" t="s">
        <v>6590</v>
      </c>
      <c r="D1285" s="7" t="s">
        <v>6790</v>
      </c>
      <c r="E1285" s="7" t="s">
        <v>6791</v>
      </c>
      <c r="F1285" s="7" t="s">
        <v>6593</v>
      </c>
      <c r="G1285" s="7"/>
      <c r="H1285" s="46" t="s">
        <v>249</v>
      </c>
      <c r="I1285" s="7" t="s">
        <v>160</v>
      </c>
      <c r="J1285" s="7" t="s">
        <v>148</v>
      </c>
      <c r="K1285" s="7"/>
      <c r="L1285" s="7"/>
      <c r="M1285" s="7"/>
    </row>
    <row r="1286" ht="15.75" customHeight="1">
      <c r="A1286" s="7" t="s">
        <v>6792</v>
      </c>
      <c r="B1286" s="45" t="s">
        <v>6793</v>
      </c>
      <c r="C1286" s="7" t="s">
        <v>6794</v>
      </c>
      <c r="D1286" s="7" t="s">
        <v>6790</v>
      </c>
      <c r="E1286" s="7" t="s">
        <v>6795</v>
      </c>
      <c r="F1286" s="7" t="s">
        <v>6593</v>
      </c>
      <c r="G1286" s="7" t="s">
        <v>6796</v>
      </c>
      <c r="H1286" s="46" t="s">
        <v>249</v>
      </c>
      <c r="I1286" s="7" t="s">
        <v>160</v>
      </c>
      <c r="J1286" s="7" t="s">
        <v>148</v>
      </c>
      <c r="K1286" s="7"/>
      <c r="L1286" s="7"/>
      <c r="M1286" s="7"/>
    </row>
    <row r="1287" ht="15.75" customHeight="1">
      <c r="A1287" s="7" t="s">
        <v>6797</v>
      </c>
      <c r="B1287" s="45" t="s">
        <v>6798</v>
      </c>
      <c r="C1287" s="7" t="s">
        <v>6799</v>
      </c>
      <c r="D1287" s="7" t="s">
        <v>6800</v>
      </c>
      <c r="E1287" s="7" t="s">
        <v>6801</v>
      </c>
      <c r="F1287" s="7" t="s">
        <v>6802</v>
      </c>
      <c r="G1287" s="7"/>
      <c r="H1287" s="46" t="s">
        <v>249</v>
      </c>
      <c r="I1287" s="7" t="s">
        <v>160</v>
      </c>
      <c r="J1287" s="7" t="s">
        <v>148</v>
      </c>
      <c r="K1287" s="7"/>
      <c r="L1287" s="7"/>
      <c r="M1287" s="7"/>
    </row>
    <row r="1288" ht="15.75" customHeight="1">
      <c r="A1288" s="7" t="s">
        <v>6803</v>
      </c>
      <c r="B1288" s="45" t="s">
        <v>6804</v>
      </c>
      <c r="C1288" s="7" t="s">
        <v>6805</v>
      </c>
      <c r="D1288" s="7" t="s">
        <v>6806</v>
      </c>
      <c r="E1288" s="7" t="s">
        <v>6807</v>
      </c>
      <c r="F1288" s="7" t="s">
        <v>6808</v>
      </c>
      <c r="G1288" s="7"/>
      <c r="H1288" s="46" t="s">
        <v>249</v>
      </c>
      <c r="I1288" s="7" t="s">
        <v>160</v>
      </c>
      <c r="J1288" s="7" t="s">
        <v>148</v>
      </c>
      <c r="K1288" s="7"/>
      <c r="L1288" s="7"/>
      <c r="M1288" s="7"/>
    </row>
    <row r="1289" ht="15.75" customHeight="1">
      <c r="A1289" s="7" t="s">
        <v>6809</v>
      </c>
      <c r="B1289" s="45" t="s">
        <v>6810</v>
      </c>
      <c r="C1289" s="7" t="s">
        <v>6805</v>
      </c>
      <c r="D1289" s="7" t="s">
        <v>6811</v>
      </c>
      <c r="E1289" s="7" t="s">
        <v>6812</v>
      </c>
      <c r="F1289" s="7" t="s">
        <v>6813</v>
      </c>
      <c r="G1289" s="7"/>
      <c r="H1289" s="46" t="s">
        <v>249</v>
      </c>
      <c r="I1289" s="7" t="s">
        <v>160</v>
      </c>
      <c r="J1289" s="7" t="s">
        <v>148</v>
      </c>
      <c r="K1289" s="7"/>
      <c r="L1289" s="7"/>
      <c r="M1289" s="7"/>
    </row>
    <row r="1290" ht="15.75" customHeight="1">
      <c r="A1290" s="7" t="s">
        <v>6814</v>
      </c>
      <c r="B1290" s="45" t="s">
        <v>6815</v>
      </c>
      <c r="C1290" s="7" t="s">
        <v>6805</v>
      </c>
      <c r="D1290" s="7" t="s">
        <v>6816</v>
      </c>
      <c r="E1290" s="7" t="s">
        <v>6812</v>
      </c>
      <c r="F1290" s="7" t="s">
        <v>6817</v>
      </c>
      <c r="G1290" s="7"/>
      <c r="H1290" s="46" t="s">
        <v>249</v>
      </c>
      <c r="I1290" s="7" t="s">
        <v>160</v>
      </c>
      <c r="J1290" s="7" t="s">
        <v>148</v>
      </c>
      <c r="K1290" s="7"/>
      <c r="L1290" s="7"/>
      <c r="M1290" s="7"/>
    </row>
    <row r="1291" ht="15.75" customHeight="1">
      <c r="A1291" s="7" t="s">
        <v>6818</v>
      </c>
      <c r="B1291" s="45" t="s">
        <v>6819</v>
      </c>
      <c r="C1291" s="7" t="s">
        <v>6805</v>
      </c>
      <c r="D1291" s="7" t="s">
        <v>6820</v>
      </c>
      <c r="E1291" s="7" t="s">
        <v>6812</v>
      </c>
      <c r="F1291" s="7" t="s">
        <v>6813</v>
      </c>
      <c r="G1291" s="7"/>
      <c r="H1291" s="46" t="s">
        <v>249</v>
      </c>
      <c r="I1291" s="7" t="s">
        <v>160</v>
      </c>
      <c r="J1291" s="7" t="s">
        <v>148</v>
      </c>
      <c r="K1291" s="7"/>
      <c r="L1291" s="7"/>
      <c r="M1291" s="7"/>
    </row>
    <row r="1292" ht="15.75" customHeight="1">
      <c r="A1292" s="7" t="s">
        <v>6821</v>
      </c>
      <c r="B1292" s="45" t="s">
        <v>6822</v>
      </c>
      <c r="C1292" s="7" t="s">
        <v>6823</v>
      </c>
      <c r="D1292" s="7" t="s">
        <v>6824</v>
      </c>
      <c r="E1292" s="7" t="s">
        <v>6825</v>
      </c>
      <c r="F1292" s="7" t="s">
        <v>6826</v>
      </c>
      <c r="G1292" s="7"/>
      <c r="H1292" s="46" t="s">
        <v>249</v>
      </c>
      <c r="I1292" s="7" t="s">
        <v>160</v>
      </c>
      <c r="J1292" s="7" t="s">
        <v>148</v>
      </c>
      <c r="K1292" s="7"/>
      <c r="L1292" s="7"/>
      <c r="M1292" s="7"/>
    </row>
    <row r="1293" ht="15.75" customHeight="1">
      <c r="A1293" s="7" t="s">
        <v>6827</v>
      </c>
      <c r="B1293" s="45" t="s">
        <v>6828</v>
      </c>
      <c r="C1293" s="7" t="s">
        <v>6805</v>
      </c>
      <c r="D1293" s="7" t="s">
        <v>6829</v>
      </c>
      <c r="E1293" s="7" t="s">
        <v>6812</v>
      </c>
      <c r="F1293" s="7" t="s">
        <v>6813</v>
      </c>
      <c r="G1293" s="7"/>
      <c r="H1293" s="46" t="s">
        <v>249</v>
      </c>
      <c r="I1293" s="7" t="s">
        <v>160</v>
      </c>
      <c r="J1293" s="7" t="s">
        <v>148</v>
      </c>
      <c r="K1293" s="7"/>
      <c r="L1293" s="7"/>
      <c r="M1293" s="7"/>
    </row>
    <row r="1294" ht="15.75" customHeight="1">
      <c r="A1294" s="7" t="s">
        <v>6830</v>
      </c>
      <c r="B1294" s="45" t="s">
        <v>6831</v>
      </c>
      <c r="C1294" s="7" t="s">
        <v>6832</v>
      </c>
      <c r="D1294" s="7" t="s">
        <v>6833</v>
      </c>
      <c r="E1294" s="7" t="s">
        <v>6825</v>
      </c>
      <c r="F1294" s="7" t="s">
        <v>6834</v>
      </c>
      <c r="G1294" s="7"/>
      <c r="H1294" s="46" t="s">
        <v>249</v>
      </c>
      <c r="I1294" s="7" t="s">
        <v>160</v>
      </c>
      <c r="J1294" s="7" t="s">
        <v>148</v>
      </c>
      <c r="K1294" s="7"/>
      <c r="L1294" s="7"/>
      <c r="M1294" s="7"/>
    </row>
    <row r="1295" ht="15.75" customHeight="1">
      <c r="A1295" s="7" t="s">
        <v>6835</v>
      </c>
      <c r="B1295" s="45" t="s">
        <v>6836</v>
      </c>
      <c r="C1295" s="7" t="s">
        <v>6805</v>
      </c>
      <c r="D1295" s="7" t="s">
        <v>6837</v>
      </c>
      <c r="E1295" s="7" t="s">
        <v>6812</v>
      </c>
      <c r="F1295" s="7" t="s">
        <v>6817</v>
      </c>
      <c r="G1295" s="7"/>
      <c r="H1295" s="46" t="s">
        <v>249</v>
      </c>
      <c r="I1295" s="7" t="s">
        <v>160</v>
      </c>
      <c r="J1295" s="7" t="s">
        <v>148</v>
      </c>
      <c r="K1295" s="7"/>
      <c r="L1295" s="7"/>
      <c r="M1295" s="7"/>
    </row>
    <row r="1296" ht="15.75" customHeight="1">
      <c r="A1296" s="7" t="s">
        <v>6838</v>
      </c>
      <c r="B1296" s="45" t="s">
        <v>6839</v>
      </c>
      <c r="C1296" s="7" t="s">
        <v>6805</v>
      </c>
      <c r="D1296" s="7" t="s">
        <v>6840</v>
      </c>
      <c r="E1296" s="7" t="s">
        <v>6812</v>
      </c>
      <c r="F1296" s="7" t="s">
        <v>6813</v>
      </c>
      <c r="G1296" s="7"/>
      <c r="H1296" s="46" t="s">
        <v>249</v>
      </c>
      <c r="I1296" s="7" t="s">
        <v>160</v>
      </c>
      <c r="J1296" s="7" t="s">
        <v>148</v>
      </c>
      <c r="K1296" s="7"/>
      <c r="L1296" s="7"/>
      <c r="M1296" s="7"/>
    </row>
    <row r="1297" ht="15.75" customHeight="1">
      <c r="A1297" s="7" t="s">
        <v>6841</v>
      </c>
      <c r="B1297" s="45" t="s">
        <v>6842</v>
      </c>
      <c r="C1297" s="7" t="s">
        <v>6843</v>
      </c>
      <c r="D1297" s="7" t="s">
        <v>6844</v>
      </c>
      <c r="E1297" s="7" t="s">
        <v>6845</v>
      </c>
      <c r="F1297" s="7" t="s">
        <v>6846</v>
      </c>
      <c r="G1297" s="7"/>
      <c r="H1297" s="46" t="s">
        <v>249</v>
      </c>
      <c r="I1297" s="7" t="s">
        <v>160</v>
      </c>
      <c r="J1297" s="7" t="s">
        <v>148</v>
      </c>
      <c r="K1297" s="7"/>
      <c r="L1297" s="7"/>
      <c r="M1297" s="7"/>
    </row>
    <row r="1298" ht="15.75" customHeight="1">
      <c r="A1298" s="7" t="s">
        <v>6847</v>
      </c>
      <c r="B1298" s="45" t="s">
        <v>6848</v>
      </c>
      <c r="C1298" s="7" t="s">
        <v>6849</v>
      </c>
      <c r="D1298" s="7" t="s">
        <v>6850</v>
      </c>
      <c r="E1298" s="7" t="s">
        <v>6851</v>
      </c>
      <c r="F1298" s="7" t="s">
        <v>6852</v>
      </c>
      <c r="G1298" s="7"/>
      <c r="H1298" s="46" t="s">
        <v>249</v>
      </c>
      <c r="I1298" s="7" t="s">
        <v>160</v>
      </c>
      <c r="J1298" s="7" t="s">
        <v>148</v>
      </c>
      <c r="K1298" s="7"/>
      <c r="L1298" s="7"/>
      <c r="M1298" s="7"/>
    </row>
    <row r="1299" ht="15.75" customHeight="1">
      <c r="A1299" s="7" t="s">
        <v>6853</v>
      </c>
      <c r="B1299" s="45" t="s">
        <v>6854</v>
      </c>
      <c r="C1299" s="7" t="s">
        <v>6855</v>
      </c>
      <c r="D1299" s="7" t="s">
        <v>6856</v>
      </c>
      <c r="E1299" s="7" t="s">
        <v>6857</v>
      </c>
      <c r="F1299" s="7" t="s">
        <v>6858</v>
      </c>
      <c r="G1299" s="7"/>
      <c r="H1299" s="46" t="s">
        <v>249</v>
      </c>
      <c r="I1299" s="7" t="s">
        <v>160</v>
      </c>
      <c r="J1299" s="7" t="s">
        <v>148</v>
      </c>
      <c r="K1299" s="7"/>
      <c r="L1299" s="7"/>
      <c r="M1299" s="7"/>
    </row>
    <row r="1300" ht="15.75" customHeight="1">
      <c r="A1300" s="7" t="s">
        <v>6859</v>
      </c>
      <c r="B1300" s="45" t="s">
        <v>6860</v>
      </c>
      <c r="C1300" s="7" t="s">
        <v>6861</v>
      </c>
      <c r="D1300" s="7" t="s">
        <v>6862</v>
      </c>
      <c r="E1300" s="7" t="s">
        <v>6863</v>
      </c>
      <c r="F1300" s="7" t="s">
        <v>6864</v>
      </c>
      <c r="G1300" s="7"/>
      <c r="H1300" s="46" t="s">
        <v>249</v>
      </c>
      <c r="I1300" s="7" t="s">
        <v>160</v>
      </c>
      <c r="J1300" s="7" t="s">
        <v>148</v>
      </c>
      <c r="K1300" s="7"/>
      <c r="L1300" s="7"/>
      <c r="M1300" s="7"/>
    </row>
    <row r="1301" ht="15.75" customHeight="1">
      <c r="A1301" s="7" t="s">
        <v>6865</v>
      </c>
      <c r="B1301" s="45" t="s">
        <v>6866</v>
      </c>
      <c r="C1301" s="7" t="s">
        <v>6867</v>
      </c>
      <c r="D1301" s="7" t="s">
        <v>6868</v>
      </c>
      <c r="E1301" s="7" t="s">
        <v>6869</v>
      </c>
      <c r="F1301" s="7" t="s">
        <v>6870</v>
      </c>
      <c r="G1301" s="7"/>
      <c r="H1301" s="46" t="s">
        <v>249</v>
      </c>
      <c r="I1301" s="7" t="s">
        <v>160</v>
      </c>
      <c r="J1301" s="7" t="s">
        <v>148</v>
      </c>
      <c r="K1301" s="7"/>
      <c r="L1301" s="7"/>
      <c r="M1301" s="7"/>
    </row>
    <row r="1302" ht="15.75" customHeight="1">
      <c r="A1302" s="7" t="s">
        <v>6871</v>
      </c>
      <c r="B1302" s="45" t="s">
        <v>6872</v>
      </c>
      <c r="C1302" s="7" t="s">
        <v>6873</v>
      </c>
      <c r="D1302" s="7" t="s">
        <v>6874</v>
      </c>
      <c r="E1302" s="7" t="s">
        <v>6875</v>
      </c>
      <c r="F1302" s="7" t="s">
        <v>6876</v>
      </c>
      <c r="G1302" s="7"/>
      <c r="H1302" s="46" t="s">
        <v>249</v>
      </c>
      <c r="I1302" s="7" t="s">
        <v>160</v>
      </c>
      <c r="J1302" s="7" t="s">
        <v>148</v>
      </c>
      <c r="K1302" s="7"/>
      <c r="L1302" s="7"/>
      <c r="M1302" s="7"/>
    </row>
    <row r="1303" ht="15.75" customHeight="1">
      <c r="A1303" s="7" t="s">
        <v>6877</v>
      </c>
      <c r="B1303" s="45" t="s">
        <v>6878</v>
      </c>
      <c r="C1303" s="7" t="s">
        <v>6873</v>
      </c>
      <c r="D1303" s="7" t="s">
        <v>6879</v>
      </c>
      <c r="E1303" s="7" t="s">
        <v>6875</v>
      </c>
      <c r="F1303" s="7" t="s">
        <v>6876</v>
      </c>
      <c r="G1303" s="7"/>
      <c r="H1303" s="46" t="s">
        <v>249</v>
      </c>
      <c r="I1303" s="7" t="s">
        <v>160</v>
      </c>
      <c r="J1303" s="7" t="s">
        <v>148</v>
      </c>
      <c r="K1303" s="7"/>
      <c r="L1303" s="7"/>
      <c r="M1303" s="7"/>
    </row>
    <row r="1304" ht="15.75" customHeight="1">
      <c r="A1304" s="7" t="s">
        <v>6880</v>
      </c>
      <c r="B1304" s="45" t="s">
        <v>6881</v>
      </c>
      <c r="C1304" s="7" t="s">
        <v>6882</v>
      </c>
      <c r="D1304" s="7" t="s">
        <v>6883</v>
      </c>
      <c r="E1304" s="7" t="s">
        <v>6884</v>
      </c>
      <c r="F1304" s="7" t="s">
        <v>6885</v>
      </c>
      <c r="G1304" s="7"/>
      <c r="H1304" s="46" t="s">
        <v>249</v>
      </c>
      <c r="I1304" s="7" t="s">
        <v>160</v>
      </c>
      <c r="J1304" s="7" t="s">
        <v>148</v>
      </c>
      <c r="K1304" s="7"/>
      <c r="L1304" s="7"/>
      <c r="M1304" s="7"/>
    </row>
    <row r="1305" ht="15.75" customHeight="1">
      <c r="A1305" s="7" t="s">
        <v>6886</v>
      </c>
      <c r="B1305" s="45" t="s">
        <v>6887</v>
      </c>
      <c r="C1305" s="7" t="s">
        <v>6888</v>
      </c>
      <c r="D1305" s="7" t="s">
        <v>6889</v>
      </c>
      <c r="E1305" s="7" t="s">
        <v>6890</v>
      </c>
      <c r="F1305" s="7" t="s">
        <v>6891</v>
      </c>
      <c r="G1305" s="7"/>
      <c r="H1305" s="46" t="s">
        <v>249</v>
      </c>
      <c r="I1305" s="7" t="s">
        <v>160</v>
      </c>
      <c r="J1305" s="7" t="s">
        <v>148</v>
      </c>
      <c r="K1305" s="7"/>
      <c r="L1305" s="7"/>
      <c r="M1305" s="7"/>
    </row>
    <row r="1306" ht="15.75" customHeight="1">
      <c r="A1306" s="7" t="s">
        <v>6892</v>
      </c>
      <c r="B1306" s="45" t="s">
        <v>6893</v>
      </c>
      <c r="C1306" s="7" t="s">
        <v>6894</v>
      </c>
      <c r="D1306" s="7" t="s">
        <v>6895</v>
      </c>
      <c r="E1306" s="7" t="s">
        <v>6896</v>
      </c>
      <c r="F1306" s="7" t="s">
        <v>6897</v>
      </c>
      <c r="G1306" s="7"/>
      <c r="H1306" s="46" t="s">
        <v>249</v>
      </c>
      <c r="I1306" s="7" t="s">
        <v>160</v>
      </c>
      <c r="J1306" s="7" t="s">
        <v>148</v>
      </c>
      <c r="K1306" s="7"/>
      <c r="L1306" s="7"/>
      <c r="M1306" s="7"/>
    </row>
    <row r="1307" ht="15.75" customHeight="1">
      <c r="A1307" s="7" t="s">
        <v>6898</v>
      </c>
      <c r="B1307" s="45" t="s">
        <v>6899</v>
      </c>
      <c r="C1307" s="7" t="s">
        <v>6900</v>
      </c>
      <c r="D1307" s="7" t="s">
        <v>6895</v>
      </c>
      <c r="E1307" s="7" t="s">
        <v>6896</v>
      </c>
      <c r="F1307" s="7" t="s">
        <v>6897</v>
      </c>
      <c r="G1307" s="7" t="s">
        <v>6901</v>
      </c>
      <c r="H1307" s="46" t="s">
        <v>249</v>
      </c>
      <c r="I1307" s="7" t="s">
        <v>160</v>
      </c>
      <c r="J1307" s="7" t="s">
        <v>148</v>
      </c>
      <c r="K1307" s="7"/>
      <c r="L1307" s="7"/>
      <c r="M1307" s="7"/>
    </row>
    <row r="1308" ht="15.75" customHeight="1">
      <c r="A1308" s="7" t="s">
        <v>6902</v>
      </c>
      <c r="B1308" s="45" t="s">
        <v>6903</v>
      </c>
      <c r="C1308" s="7" t="s">
        <v>6904</v>
      </c>
      <c r="D1308" s="7" t="s">
        <v>2177</v>
      </c>
      <c r="E1308" s="7" t="s">
        <v>2178</v>
      </c>
      <c r="F1308" s="7" t="s">
        <v>2179</v>
      </c>
      <c r="G1308" s="7"/>
      <c r="H1308" s="46" t="s">
        <v>249</v>
      </c>
      <c r="I1308" s="7" t="s">
        <v>160</v>
      </c>
      <c r="J1308" s="7" t="s">
        <v>148</v>
      </c>
      <c r="K1308" s="7"/>
      <c r="L1308" s="7"/>
      <c r="M1308" s="7"/>
    </row>
    <row r="1309" ht="15.75" customHeight="1">
      <c r="A1309" s="7" t="s">
        <v>6905</v>
      </c>
      <c r="B1309" s="45" t="s">
        <v>6906</v>
      </c>
      <c r="C1309" s="7" t="s">
        <v>6907</v>
      </c>
      <c r="D1309" s="7" t="s">
        <v>6908</v>
      </c>
      <c r="E1309" s="7" t="s">
        <v>6909</v>
      </c>
      <c r="F1309" s="7" t="s">
        <v>6910</v>
      </c>
      <c r="G1309" s="7"/>
      <c r="H1309" s="46" t="s">
        <v>249</v>
      </c>
      <c r="I1309" s="7" t="s">
        <v>160</v>
      </c>
      <c r="J1309" s="7" t="s">
        <v>148</v>
      </c>
      <c r="K1309" s="7"/>
      <c r="L1309" s="7"/>
      <c r="M1309" s="7"/>
    </row>
    <row r="1310" ht="15.75" customHeight="1">
      <c r="A1310" s="7" t="s">
        <v>6911</v>
      </c>
      <c r="B1310" s="45" t="s">
        <v>6912</v>
      </c>
      <c r="C1310" s="7" t="s">
        <v>6888</v>
      </c>
      <c r="D1310" s="7" t="s">
        <v>6913</v>
      </c>
      <c r="E1310" s="7" t="s">
        <v>6890</v>
      </c>
      <c r="F1310" s="7" t="s">
        <v>6891</v>
      </c>
      <c r="G1310" s="7"/>
      <c r="H1310" s="46" t="s">
        <v>249</v>
      </c>
      <c r="I1310" s="7" t="s">
        <v>160</v>
      </c>
      <c r="J1310" s="7" t="s">
        <v>148</v>
      </c>
      <c r="K1310" s="7"/>
      <c r="L1310" s="7"/>
      <c r="M1310" s="7"/>
    </row>
    <row r="1311" ht="15.75" customHeight="1">
      <c r="A1311" s="7" t="s">
        <v>6914</v>
      </c>
      <c r="B1311" s="45" t="s">
        <v>6915</v>
      </c>
      <c r="C1311" s="7" t="s">
        <v>6916</v>
      </c>
      <c r="D1311" s="7" t="s">
        <v>6917</v>
      </c>
      <c r="E1311" s="7" t="s">
        <v>6918</v>
      </c>
      <c r="F1311" s="7" t="s">
        <v>6919</v>
      </c>
      <c r="G1311" s="7"/>
      <c r="H1311" s="46" t="s">
        <v>249</v>
      </c>
      <c r="I1311" s="7" t="s">
        <v>160</v>
      </c>
      <c r="J1311" s="7" t="s">
        <v>148</v>
      </c>
      <c r="K1311" s="7"/>
      <c r="L1311" s="7"/>
      <c r="M1311" s="7"/>
    </row>
    <row r="1312" ht="15.75" customHeight="1">
      <c r="A1312" s="7" t="s">
        <v>6920</v>
      </c>
      <c r="B1312" s="45" t="s">
        <v>6921</v>
      </c>
      <c r="C1312" s="7" t="s">
        <v>6922</v>
      </c>
      <c r="D1312" s="7" t="s">
        <v>6923</v>
      </c>
      <c r="E1312" s="7" t="s">
        <v>6924</v>
      </c>
      <c r="F1312" s="7" t="s">
        <v>6925</v>
      </c>
      <c r="G1312" s="7"/>
      <c r="H1312" s="46" t="s">
        <v>249</v>
      </c>
      <c r="I1312" s="7" t="s">
        <v>160</v>
      </c>
      <c r="J1312" s="7" t="s">
        <v>148</v>
      </c>
      <c r="K1312" s="7"/>
      <c r="L1312" s="7"/>
      <c r="M1312" s="7"/>
    </row>
    <row r="1313" ht="15.75" customHeight="1">
      <c r="A1313" s="7" t="s">
        <v>6926</v>
      </c>
      <c r="B1313" s="45" t="s">
        <v>6927</v>
      </c>
      <c r="C1313" s="7" t="s">
        <v>6928</v>
      </c>
      <c r="D1313" s="7" t="s">
        <v>6929</v>
      </c>
      <c r="E1313" s="7" t="s">
        <v>6930</v>
      </c>
      <c r="F1313" s="7" t="s">
        <v>3578</v>
      </c>
      <c r="G1313" s="7"/>
      <c r="H1313" s="46" t="s">
        <v>249</v>
      </c>
      <c r="I1313" s="7" t="s">
        <v>160</v>
      </c>
      <c r="J1313" s="7" t="s">
        <v>148</v>
      </c>
      <c r="K1313" s="7"/>
      <c r="L1313" s="7"/>
      <c r="M1313" s="7"/>
    </row>
    <row r="1314" ht="15.75" customHeight="1">
      <c r="A1314" s="7" t="s">
        <v>6931</v>
      </c>
      <c r="B1314" s="45" t="s">
        <v>6932</v>
      </c>
      <c r="C1314" s="7" t="s">
        <v>6933</v>
      </c>
      <c r="D1314" s="7" t="s">
        <v>6934</v>
      </c>
      <c r="E1314" s="7" t="s">
        <v>6935</v>
      </c>
      <c r="F1314" s="7" t="s">
        <v>6936</v>
      </c>
      <c r="G1314" s="7"/>
      <c r="H1314" s="46" t="s">
        <v>249</v>
      </c>
      <c r="I1314" s="7" t="s">
        <v>160</v>
      </c>
      <c r="J1314" s="7" t="s">
        <v>148</v>
      </c>
      <c r="K1314" s="7"/>
      <c r="L1314" s="7"/>
      <c r="M1314" s="7"/>
    </row>
    <row r="1315" ht="15.75" customHeight="1">
      <c r="A1315" s="7" t="s">
        <v>6937</v>
      </c>
      <c r="B1315" s="45" t="s">
        <v>6938</v>
      </c>
      <c r="C1315" s="7" t="s">
        <v>6933</v>
      </c>
      <c r="D1315" s="7" t="s">
        <v>6934</v>
      </c>
      <c r="E1315" s="7" t="s">
        <v>6939</v>
      </c>
      <c r="F1315" s="7" t="s">
        <v>6936</v>
      </c>
      <c r="G1315" s="7"/>
      <c r="H1315" s="46" t="s">
        <v>249</v>
      </c>
      <c r="I1315" s="7" t="s">
        <v>160</v>
      </c>
      <c r="J1315" s="7" t="s">
        <v>148</v>
      </c>
      <c r="K1315" s="7"/>
      <c r="L1315" s="7"/>
      <c r="M1315" s="7"/>
    </row>
    <row r="1316" ht="15.75" customHeight="1">
      <c r="A1316" s="7" t="s">
        <v>6940</v>
      </c>
      <c r="B1316" s="45" t="s">
        <v>6941</v>
      </c>
      <c r="C1316" s="7" t="s">
        <v>6942</v>
      </c>
      <c r="D1316" s="7" t="s">
        <v>6943</v>
      </c>
      <c r="E1316" s="7" t="s">
        <v>6944</v>
      </c>
      <c r="F1316" s="7" t="s">
        <v>6945</v>
      </c>
      <c r="G1316" s="7"/>
      <c r="H1316" s="46" t="s">
        <v>249</v>
      </c>
      <c r="I1316" s="7" t="s">
        <v>160</v>
      </c>
      <c r="J1316" s="7" t="s">
        <v>148</v>
      </c>
      <c r="K1316" s="7"/>
      <c r="L1316" s="7"/>
      <c r="M1316" s="7"/>
    </row>
    <row r="1317" ht="15.75" customHeight="1">
      <c r="A1317" s="7" t="s">
        <v>6946</v>
      </c>
      <c r="B1317" s="45" t="s">
        <v>6947</v>
      </c>
      <c r="C1317" s="7" t="s">
        <v>6948</v>
      </c>
      <c r="D1317" s="7" t="s">
        <v>6949</v>
      </c>
      <c r="E1317" s="7" t="s">
        <v>6950</v>
      </c>
      <c r="F1317" s="7" t="s">
        <v>6951</v>
      </c>
      <c r="G1317" s="7" t="s">
        <v>6952</v>
      </c>
      <c r="H1317" s="46" t="s">
        <v>249</v>
      </c>
      <c r="I1317" s="7" t="s">
        <v>160</v>
      </c>
      <c r="J1317" s="7" t="s">
        <v>148</v>
      </c>
      <c r="K1317" s="7"/>
      <c r="L1317" s="7"/>
      <c r="M1317" s="7"/>
    </row>
    <row r="1318" ht="15.75" customHeight="1">
      <c r="A1318" s="7" t="s">
        <v>6953</v>
      </c>
      <c r="B1318" s="45" t="s">
        <v>6954</v>
      </c>
      <c r="C1318" s="7" t="s">
        <v>6955</v>
      </c>
      <c r="D1318" s="7" t="s">
        <v>6956</v>
      </c>
      <c r="E1318" s="7" t="s">
        <v>6957</v>
      </c>
      <c r="F1318" s="7" t="s">
        <v>6958</v>
      </c>
      <c r="G1318" s="7"/>
      <c r="H1318" s="46" t="s">
        <v>249</v>
      </c>
      <c r="I1318" s="7" t="s">
        <v>160</v>
      </c>
      <c r="J1318" s="7" t="s">
        <v>148</v>
      </c>
      <c r="K1318" s="7"/>
      <c r="L1318" s="7"/>
      <c r="M1318" s="7"/>
    </row>
    <row r="1319" ht="15.75" customHeight="1">
      <c r="A1319" s="7" t="s">
        <v>6959</v>
      </c>
      <c r="B1319" s="45" t="s">
        <v>6960</v>
      </c>
      <c r="C1319" s="7" t="s">
        <v>6961</v>
      </c>
      <c r="D1319" s="7" t="s">
        <v>6962</v>
      </c>
      <c r="E1319" s="7" t="s">
        <v>6963</v>
      </c>
      <c r="F1319" s="7" t="s">
        <v>6964</v>
      </c>
      <c r="G1319" s="7"/>
      <c r="H1319" s="46" t="s">
        <v>249</v>
      </c>
      <c r="I1319" s="7" t="s">
        <v>160</v>
      </c>
      <c r="J1319" s="7" t="s">
        <v>148</v>
      </c>
      <c r="K1319" s="7"/>
      <c r="L1319" s="7"/>
      <c r="M1319" s="7"/>
    </row>
    <row r="1320" ht="15.75" customHeight="1">
      <c r="A1320" s="7" t="s">
        <v>6965</v>
      </c>
      <c r="B1320" s="45" t="s">
        <v>6966</v>
      </c>
      <c r="C1320" s="7" t="s">
        <v>6967</v>
      </c>
      <c r="D1320" s="7" t="s">
        <v>6968</v>
      </c>
      <c r="E1320" s="7" t="s">
        <v>6969</v>
      </c>
      <c r="F1320" s="7" t="s">
        <v>6970</v>
      </c>
      <c r="G1320" s="7"/>
      <c r="H1320" s="46" t="s">
        <v>249</v>
      </c>
      <c r="I1320" s="7" t="s">
        <v>160</v>
      </c>
      <c r="J1320" s="7" t="s">
        <v>148</v>
      </c>
      <c r="K1320" s="7"/>
      <c r="L1320" s="7"/>
      <c r="M1320" s="7"/>
    </row>
    <row r="1321" ht="15.75" customHeight="1">
      <c r="A1321" s="7" t="s">
        <v>6971</v>
      </c>
      <c r="B1321" s="45" t="s">
        <v>6972</v>
      </c>
      <c r="C1321" s="7" t="s">
        <v>6973</v>
      </c>
      <c r="D1321" s="7" t="s">
        <v>6974</v>
      </c>
      <c r="E1321" s="7" t="s">
        <v>6975</v>
      </c>
      <c r="F1321" s="7" t="s">
        <v>6976</v>
      </c>
      <c r="G1321" s="7"/>
      <c r="H1321" s="46" t="s">
        <v>249</v>
      </c>
      <c r="I1321" s="7" t="s">
        <v>160</v>
      </c>
      <c r="J1321" s="7" t="s">
        <v>148</v>
      </c>
      <c r="K1321" s="7"/>
      <c r="L1321" s="7"/>
      <c r="M1321" s="7"/>
    </row>
    <row r="1322" ht="15.75" customHeight="1">
      <c r="A1322" s="7" t="s">
        <v>6977</v>
      </c>
      <c r="B1322" s="45" t="s">
        <v>6978</v>
      </c>
      <c r="C1322" s="7" t="s">
        <v>6979</v>
      </c>
      <c r="D1322" s="7" t="s">
        <v>6980</v>
      </c>
      <c r="E1322" s="7" t="s">
        <v>6975</v>
      </c>
      <c r="F1322" s="7" t="s">
        <v>6976</v>
      </c>
      <c r="G1322" s="7"/>
      <c r="H1322" s="46" t="s">
        <v>249</v>
      </c>
      <c r="I1322" s="7" t="s">
        <v>160</v>
      </c>
      <c r="J1322" s="7" t="s">
        <v>148</v>
      </c>
      <c r="K1322" s="7"/>
      <c r="L1322" s="7"/>
      <c r="M1322" s="7"/>
    </row>
    <row r="1323" ht="15.75" customHeight="1">
      <c r="A1323" s="7" t="s">
        <v>6981</v>
      </c>
      <c r="B1323" s="45" t="s">
        <v>6982</v>
      </c>
      <c r="C1323" s="7" t="s">
        <v>6983</v>
      </c>
      <c r="D1323" s="7" t="s">
        <v>6984</v>
      </c>
      <c r="E1323" s="7" t="s">
        <v>6985</v>
      </c>
      <c r="F1323" s="7" t="s">
        <v>6986</v>
      </c>
      <c r="G1323" s="7"/>
      <c r="H1323" s="46" t="s">
        <v>249</v>
      </c>
      <c r="I1323" s="7" t="s">
        <v>160</v>
      </c>
      <c r="J1323" s="7" t="s">
        <v>148</v>
      </c>
      <c r="K1323" s="7"/>
      <c r="L1323" s="7"/>
      <c r="M1323" s="7"/>
    </row>
    <row r="1324" ht="15.75" customHeight="1">
      <c r="A1324" s="7" t="s">
        <v>6987</v>
      </c>
      <c r="B1324" s="45" t="s">
        <v>6988</v>
      </c>
      <c r="C1324" s="7" t="s">
        <v>6989</v>
      </c>
      <c r="D1324" s="7" t="s">
        <v>6990</v>
      </c>
      <c r="E1324" s="7" t="s">
        <v>6991</v>
      </c>
      <c r="F1324" s="7" t="s">
        <v>6992</v>
      </c>
      <c r="G1324" s="7"/>
      <c r="H1324" s="46" t="s">
        <v>249</v>
      </c>
      <c r="I1324" s="7" t="s">
        <v>160</v>
      </c>
      <c r="J1324" s="7" t="s">
        <v>148</v>
      </c>
      <c r="K1324" s="7"/>
      <c r="L1324" s="7"/>
      <c r="M1324" s="7"/>
    </row>
    <row r="1325" ht="15.75" customHeight="1">
      <c r="A1325" s="7" t="s">
        <v>6993</v>
      </c>
      <c r="B1325" s="45" t="s">
        <v>6994</v>
      </c>
      <c r="C1325" s="7" t="s">
        <v>6995</v>
      </c>
      <c r="D1325" s="7" t="s">
        <v>6996</v>
      </c>
      <c r="E1325" s="7" t="s">
        <v>6991</v>
      </c>
      <c r="F1325" s="7" t="s">
        <v>6992</v>
      </c>
      <c r="G1325" s="7"/>
      <c r="H1325" s="46" t="s">
        <v>249</v>
      </c>
      <c r="I1325" s="7" t="s">
        <v>160</v>
      </c>
      <c r="J1325" s="7" t="s">
        <v>148</v>
      </c>
      <c r="K1325" s="7"/>
      <c r="L1325" s="7"/>
      <c r="M1325" s="7"/>
    </row>
    <row r="1326" ht="15.75" customHeight="1">
      <c r="A1326" s="7" t="s">
        <v>6997</v>
      </c>
      <c r="B1326" s="45" t="s">
        <v>6998</v>
      </c>
      <c r="C1326" s="7" t="s">
        <v>6999</v>
      </c>
      <c r="D1326" s="7" t="s">
        <v>7000</v>
      </c>
      <c r="E1326" s="7" t="s">
        <v>7001</v>
      </c>
      <c r="F1326" s="7" t="s">
        <v>7002</v>
      </c>
      <c r="G1326" s="7"/>
      <c r="H1326" s="46" t="s">
        <v>249</v>
      </c>
      <c r="I1326" s="7" t="s">
        <v>160</v>
      </c>
      <c r="J1326" s="7" t="s">
        <v>148</v>
      </c>
      <c r="K1326" s="7"/>
      <c r="L1326" s="7"/>
      <c r="M1326" s="7"/>
    </row>
    <row r="1327" ht="15.75" customHeight="1">
      <c r="A1327" s="7" t="s">
        <v>7003</v>
      </c>
      <c r="B1327" s="45" t="s">
        <v>7004</v>
      </c>
      <c r="C1327" s="7" t="s">
        <v>592</v>
      </c>
      <c r="D1327" s="7" t="s">
        <v>7005</v>
      </c>
      <c r="E1327" s="7" t="s">
        <v>553</v>
      </c>
      <c r="F1327" s="7" t="s">
        <v>594</v>
      </c>
      <c r="G1327" s="7"/>
      <c r="H1327" s="46" t="s">
        <v>249</v>
      </c>
      <c r="I1327" s="7" t="s">
        <v>160</v>
      </c>
      <c r="J1327" s="7" t="s">
        <v>148</v>
      </c>
      <c r="K1327" s="7"/>
      <c r="L1327" s="7"/>
      <c r="M1327" s="7"/>
    </row>
    <row r="1328" ht="15.75" customHeight="1">
      <c r="A1328" s="7" t="s">
        <v>7006</v>
      </c>
      <c r="B1328" s="45" t="s">
        <v>7007</v>
      </c>
      <c r="C1328" s="7" t="s">
        <v>6114</v>
      </c>
      <c r="D1328" s="7" t="s">
        <v>7008</v>
      </c>
      <c r="E1328" s="7" t="s">
        <v>7009</v>
      </c>
      <c r="F1328" s="7" t="s">
        <v>6117</v>
      </c>
      <c r="G1328" s="7"/>
      <c r="H1328" s="46" t="s">
        <v>249</v>
      </c>
      <c r="I1328" s="7" t="s">
        <v>160</v>
      </c>
      <c r="J1328" s="7" t="s">
        <v>148</v>
      </c>
      <c r="K1328" s="7"/>
      <c r="L1328" s="7"/>
      <c r="M1328" s="7"/>
    </row>
    <row r="1329" ht="15.75" customHeight="1">
      <c r="A1329" s="7" t="s">
        <v>7010</v>
      </c>
      <c r="B1329" s="45" t="s">
        <v>7011</v>
      </c>
      <c r="C1329" s="7" t="s">
        <v>7012</v>
      </c>
      <c r="D1329" s="7" t="s">
        <v>7013</v>
      </c>
      <c r="E1329" s="7" t="s">
        <v>7014</v>
      </c>
      <c r="F1329" s="7" t="s">
        <v>7015</v>
      </c>
      <c r="G1329" s="7"/>
      <c r="H1329" s="46" t="s">
        <v>249</v>
      </c>
      <c r="I1329" s="7" t="s">
        <v>160</v>
      </c>
      <c r="J1329" s="7" t="s">
        <v>148</v>
      </c>
      <c r="K1329" s="7"/>
      <c r="L1329" s="7"/>
      <c r="M1329" s="7"/>
    </row>
    <row r="1330" ht="15.75" customHeight="1">
      <c r="A1330" s="7" t="s">
        <v>7016</v>
      </c>
      <c r="B1330" s="45" t="s">
        <v>7017</v>
      </c>
      <c r="C1330" s="7" t="s">
        <v>7018</v>
      </c>
      <c r="D1330" s="7" t="s">
        <v>7019</v>
      </c>
      <c r="E1330" s="7" t="s">
        <v>7020</v>
      </c>
      <c r="F1330" s="7" t="s">
        <v>7021</v>
      </c>
      <c r="G1330" s="7"/>
      <c r="H1330" s="46" t="s">
        <v>249</v>
      </c>
      <c r="I1330" s="7" t="s">
        <v>160</v>
      </c>
      <c r="J1330" s="7" t="s">
        <v>148</v>
      </c>
      <c r="K1330" s="7"/>
      <c r="L1330" s="7"/>
      <c r="M1330" s="7"/>
    </row>
    <row r="1331" ht="15.75" customHeight="1">
      <c r="A1331" s="7" t="s">
        <v>7022</v>
      </c>
      <c r="B1331" s="45" t="s">
        <v>7023</v>
      </c>
      <c r="C1331" s="7" t="s">
        <v>7024</v>
      </c>
      <c r="D1331" s="7" t="s">
        <v>7025</v>
      </c>
      <c r="E1331" s="7" t="s">
        <v>2953</v>
      </c>
      <c r="F1331" s="7" t="s">
        <v>2954</v>
      </c>
      <c r="G1331" s="7"/>
      <c r="H1331" s="46" t="s">
        <v>249</v>
      </c>
      <c r="I1331" s="7" t="s">
        <v>160</v>
      </c>
      <c r="J1331" s="7" t="s">
        <v>148</v>
      </c>
      <c r="K1331" s="7"/>
      <c r="L1331" s="7"/>
      <c r="M1331" s="7"/>
    </row>
    <row r="1332" ht="15.75" customHeight="1">
      <c r="A1332" s="7" t="s">
        <v>7026</v>
      </c>
      <c r="B1332" s="45" t="s">
        <v>7027</v>
      </c>
      <c r="C1332" s="7" t="s">
        <v>7028</v>
      </c>
      <c r="D1332" s="7" t="s">
        <v>7029</v>
      </c>
      <c r="E1332" s="7" t="s">
        <v>7030</v>
      </c>
      <c r="F1332" s="7" t="s">
        <v>7031</v>
      </c>
      <c r="G1332" s="7"/>
      <c r="H1332" s="46" t="s">
        <v>249</v>
      </c>
      <c r="I1332" s="7" t="s">
        <v>160</v>
      </c>
      <c r="J1332" s="7" t="s">
        <v>148</v>
      </c>
      <c r="K1332" s="7"/>
      <c r="L1332" s="7"/>
      <c r="M1332" s="7"/>
    </row>
    <row r="1333" ht="15.75" customHeight="1">
      <c r="A1333" s="7" t="s">
        <v>7032</v>
      </c>
      <c r="B1333" s="45" t="s">
        <v>7033</v>
      </c>
      <c r="C1333" s="7" t="s">
        <v>7034</v>
      </c>
      <c r="D1333" s="7" t="s">
        <v>7035</v>
      </c>
      <c r="E1333" s="7" t="s">
        <v>7036</v>
      </c>
      <c r="F1333" s="7" t="s">
        <v>7037</v>
      </c>
      <c r="G1333" s="7"/>
      <c r="H1333" s="46" t="s">
        <v>249</v>
      </c>
      <c r="I1333" s="7" t="s">
        <v>160</v>
      </c>
      <c r="J1333" s="7" t="s">
        <v>148</v>
      </c>
      <c r="K1333" s="7"/>
      <c r="L1333" s="7"/>
      <c r="M1333" s="7"/>
    </row>
    <row r="1334" ht="15.75" customHeight="1">
      <c r="A1334" s="7" t="s">
        <v>7038</v>
      </c>
      <c r="B1334" s="45" t="s">
        <v>7039</v>
      </c>
      <c r="C1334" s="7" t="s">
        <v>7040</v>
      </c>
      <c r="D1334" s="7" t="s">
        <v>7041</v>
      </c>
      <c r="E1334" s="7" t="s">
        <v>7042</v>
      </c>
      <c r="F1334" s="7" t="s">
        <v>7043</v>
      </c>
      <c r="G1334" s="7"/>
      <c r="H1334" s="46" t="s">
        <v>249</v>
      </c>
      <c r="I1334" s="7" t="s">
        <v>160</v>
      </c>
      <c r="J1334" s="7" t="s">
        <v>148</v>
      </c>
      <c r="K1334" s="7"/>
      <c r="L1334" s="7"/>
      <c r="M1334" s="7"/>
    </row>
    <row r="1335" ht="15.75" customHeight="1">
      <c r="A1335" s="7" t="s">
        <v>7044</v>
      </c>
      <c r="B1335" s="45" t="s">
        <v>7045</v>
      </c>
      <c r="C1335" s="7" t="s">
        <v>7046</v>
      </c>
      <c r="D1335" s="7" t="s">
        <v>7047</v>
      </c>
      <c r="E1335" s="7" t="s">
        <v>7048</v>
      </c>
      <c r="F1335" s="7" t="s">
        <v>7049</v>
      </c>
      <c r="G1335" s="7"/>
      <c r="H1335" s="46" t="s">
        <v>249</v>
      </c>
      <c r="I1335" s="7" t="s">
        <v>160</v>
      </c>
      <c r="J1335" s="7" t="s">
        <v>148</v>
      </c>
      <c r="K1335" s="7"/>
      <c r="L1335" s="7"/>
      <c r="M1335" s="7"/>
    </row>
    <row r="1336" ht="15.75" customHeight="1">
      <c r="A1336" s="7" t="s">
        <v>7050</v>
      </c>
      <c r="B1336" s="45" t="s">
        <v>7051</v>
      </c>
      <c r="C1336" s="7" t="s">
        <v>7052</v>
      </c>
      <c r="D1336" s="7" t="s">
        <v>7053</v>
      </c>
      <c r="E1336" s="7" t="s">
        <v>7054</v>
      </c>
      <c r="F1336" s="7" t="s">
        <v>7055</v>
      </c>
      <c r="G1336" s="7"/>
      <c r="H1336" s="46" t="s">
        <v>249</v>
      </c>
      <c r="I1336" s="7" t="s">
        <v>160</v>
      </c>
      <c r="J1336" s="7" t="s">
        <v>148</v>
      </c>
      <c r="K1336" s="7"/>
      <c r="L1336" s="7"/>
      <c r="M1336" s="7"/>
    </row>
    <row r="1337" ht="15.75" customHeight="1">
      <c r="A1337" s="7" t="s">
        <v>7056</v>
      </c>
      <c r="B1337" s="45" t="s">
        <v>7057</v>
      </c>
      <c r="C1337" s="7" t="s">
        <v>7058</v>
      </c>
      <c r="D1337" s="7" t="s">
        <v>7059</v>
      </c>
      <c r="E1337" s="7" t="s">
        <v>7060</v>
      </c>
      <c r="F1337" s="7" t="s">
        <v>7061</v>
      </c>
      <c r="G1337" s="7"/>
      <c r="H1337" s="46" t="s">
        <v>249</v>
      </c>
      <c r="I1337" s="7" t="s">
        <v>160</v>
      </c>
      <c r="J1337" s="7" t="s">
        <v>148</v>
      </c>
      <c r="K1337" s="7"/>
      <c r="L1337" s="7"/>
      <c r="M1337" s="7"/>
    </row>
    <row r="1338" ht="15.75" customHeight="1">
      <c r="A1338" s="7" t="s">
        <v>7062</v>
      </c>
      <c r="B1338" s="45" t="s">
        <v>7063</v>
      </c>
      <c r="C1338" s="7" t="s">
        <v>6156</v>
      </c>
      <c r="D1338" s="7" t="s">
        <v>6157</v>
      </c>
      <c r="E1338" s="7" t="s">
        <v>7064</v>
      </c>
      <c r="F1338" s="7" t="s">
        <v>6159</v>
      </c>
      <c r="G1338" s="7" t="s">
        <v>7065</v>
      </c>
      <c r="H1338" s="46" t="s">
        <v>249</v>
      </c>
      <c r="I1338" s="7" t="s">
        <v>160</v>
      </c>
      <c r="J1338" s="7" t="s">
        <v>148</v>
      </c>
      <c r="K1338" s="7"/>
      <c r="L1338" s="7"/>
      <c r="M1338" s="7"/>
    </row>
    <row r="1339" ht="15.75" customHeight="1">
      <c r="A1339" s="7" t="s">
        <v>7066</v>
      </c>
      <c r="B1339" s="45" t="s">
        <v>7067</v>
      </c>
      <c r="C1339" s="7" t="s">
        <v>7068</v>
      </c>
      <c r="D1339" s="7" t="s">
        <v>7069</v>
      </c>
      <c r="E1339" s="7" t="s">
        <v>7070</v>
      </c>
      <c r="F1339" s="7" t="s">
        <v>7071</v>
      </c>
      <c r="G1339" s="7"/>
      <c r="H1339" s="46" t="s">
        <v>249</v>
      </c>
      <c r="I1339" s="7" t="s">
        <v>160</v>
      </c>
      <c r="J1339" s="7" t="s">
        <v>148</v>
      </c>
      <c r="K1339" s="7"/>
      <c r="L1339" s="7"/>
      <c r="M1339" s="7"/>
    </row>
    <row r="1340" ht="15.75" customHeight="1">
      <c r="A1340" s="7" t="s">
        <v>7072</v>
      </c>
      <c r="B1340" s="45" t="s">
        <v>7073</v>
      </c>
      <c r="C1340" s="7" t="s">
        <v>7074</v>
      </c>
      <c r="D1340" s="7" t="s">
        <v>7075</v>
      </c>
      <c r="E1340" s="7" t="s">
        <v>7076</v>
      </c>
      <c r="F1340" s="7" t="s">
        <v>7077</v>
      </c>
      <c r="G1340" s="7"/>
      <c r="H1340" s="46" t="s">
        <v>249</v>
      </c>
      <c r="I1340" s="7" t="s">
        <v>160</v>
      </c>
      <c r="J1340" s="7" t="s">
        <v>148</v>
      </c>
      <c r="K1340" s="7"/>
      <c r="L1340" s="7"/>
      <c r="M1340" s="7"/>
    </row>
    <row r="1341" ht="15.75" customHeight="1">
      <c r="A1341" s="7" t="s">
        <v>7078</v>
      </c>
      <c r="B1341" s="45" t="s">
        <v>7079</v>
      </c>
      <c r="C1341" s="7" t="s">
        <v>3118</v>
      </c>
      <c r="D1341" s="7" t="s">
        <v>7080</v>
      </c>
      <c r="E1341" s="7" t="s">
        <v>7081</v>
      </c>
      <c r="F1341" s="7" t="s">
        <v>3121</v>
      </c>
      <c r="G1341" s="7"/>
      <c r="H1341" s="46" t="s">
        <v>249</v>
      </c>
      <c r="I1341" s="7" t="s">
        <v>160</v>
      </c>
      <c r="J1341" s="7" t="s">
        <v>148</v>
      </c>
      <c r="K1341" s="7"/>
      <c r="L1341" s="7"/>
      <c r="M1341" s="7"/>
    </row>
    <row r="1342" ht="15.75" customHeight="1">
      <c r="A1342" s="7" t="s">
        <v>7082</v>
      </c>
      <c r="B1342" s="45" t="s">
        <v>7083</v>
      </c>
      <c r="C1342" s="7" t="s">
        <v>7084</v>
      </c>
      <c r="D1342" s="7" t="s">
        <v>7085</v>
      </c>
      <c r="E1342" s="7" t="s">
        <v>7086</v>
      </c>
      <c r="F1342" s="7" t="s">
        <v>7087</v>
      </c>
      <c r="G1342" s="7"/>
      <c r="H1342" s="46" t="s">
        <v>249</v>
      </c>
      <c r="I1342" s="7" t="s">
        <v>160</v>
      </c>
      <c r="J1342" s="7" t="s">
        <v>148</v>
      </c>
      <c r="K1342" s="7"/>
      <c r="L1342" s="7"/>
      <c r="M1342" s="7"/>
    </row>
    <row r="1343" ht="15.75" customHeight="1">
      <c r="A1343" s="7" t="s">
        <v>7088</v>
      </c>
      <c r="B1343" s="45" t="s">
        <v>7089</v>
      </c>
      <c r="C1343" s="7" t="s">
        <v>7090</v>
      </c>
      <c r="D1343" s="7" t="s">
        <v>7091</v>
      </c>
      <c r="E1343" s="7" t="s">
        <v>7092</v>
      </c>
      <c r="F1343" s="7" t="s">
        <v>7093</v>
      </c>
      <c r="G1343" s="7"/>
      <c r="H1343" s="46" t="s">
        <v>249</v>
      </c>
      <c r="I1343" s="7" t="s">
        <v>160</v>
      </c>
      <c r="J1343" s="7" t="s">
        <v>148</v>
      </c>
      <c r="K1343" s="7"/>
      <c r="L1343" s="7"/>
      <c r="M1343" s="7"/>
    </row>
    <row r="1344" ht="15.75" customHeight="1">
      <c r="A1344" s="7" t="s">
        <v>7094</v>
      </c>
      <c r="B1344" s="45" t="s">
        <v>7095</v>
      </c>
      <c r="C1344" s="7" t="s">
        <v>7096</v>
      </c>
      <c r="D1344" s="7" t="s">
        <v>7097</v>
      </c>
      <c r="E1344" s="7" t="s">
        <v>7098</v>
      </c>
      <c r="F1344" s="7" t="s">
        <v>7099</v>
      </c>
      <c r="G1344" s="7"/>
      <c r="H1344" s="46" t="s">
        <v>249</v>
      </c>
      <c r="I1344" s="7" t="s">
        <v>160</v>
      </c>
      <c r="J1344" s="7" t="s">
        <v>148</v>
      </c>
      <c r="K1344" s="7"/>
      <c r="L1344" s="7"/>
      <c r="M1344" s="7"/>
    </row>
    <row r="1345" ht="15.75" customHeight="1">
      <c r="A1345" s="7" t="s">
        <v>7100</v>
      </c>
      <c r="B1345" s="45" t="s">
        <v>7101</v>
      </c>
      <c r="C1345" s="7" t="s">
        <v>7102</v>
      </c>
      <c r="D1345" s="7" t="s">
        <v>7103</v>
      </c>
      <c r="E1345" s="7" t="s">
        <v>7104</v>
      </c>
      <c r="F1345" s="7" t="s">
        <v>7105</v>
      </c>
      <c r="G1345" s="7"/>
      <c r="H1345" s="46" t="s">
        <v>249</v>
      </c>
      <c r="I1345" s="7" t="s">
        <v>160</v>
      </c>
      <c r="J1345" s="7" t="s">
        <v>148</v>
      </c>
      <c r="K1345" s="7"/>
      <c r="L1345" s="7"/>
      <c r="M1345" s="7"/>
    </row>
    <row r="1346" ht="15.75" customHeight="1">
      <c r="A1346" s="7" t="s">
        <v>7106</v>
      </c>
      <c r="B1346" s="45" t="s">
        <v>7107</v>
      </c>
      <c r="C1346" s="7" t="s">
        <v>7108</v>
      </c>
      <c r="D1346" s="7" t="s">
        <v>7109</v>
      </c>
      <c r="E1346" s="7" t="s">
        <v>7110</v>
      </c>
      <c r="F1346" s="7" t="s">
        <v>7111</v>
      </c>
      <c r="G1346" s="7"/>
      <c r="H1346" s="46" t="s">
        <v>249</v>
      </c>
      <c r="I1346" s="7" t="s">
        <v>160</v>
      </c>
      <c r="J1346" s="7" t="s">
        <v>148</v>
      </c>
      <c r="K1346" s="7"/>
      <c r="L1346" s="7"/>
      <c r="M1346" s="7"/>
    </row>
    <row r="1347" ht="15.75" customHeight="1">
      <c r="A1347" s="7" t="s">
        <v>7112</v>
      </c>
      <c r="B1347" s="45" t="s">
        <v>7113</v>
      </c>
      <c r="C1347" s="7" t="s">
        <v>7114</v>
      </c>
      <c r="D1347" s="7" t="s">
        <v>7115</v>
      </c>
      <c r="E1347" s="7" t="s">
        <v>7116</v>
      </c>
      <c r="F1347" s="7" t="s">
        <v>7111</v>
      </c>
      <c r="G1347" s="7"/>
      <c r="H1347" s="46" t="s">
        <v>249</v>
      </c>
      <c r="I1347" s="7" t="s">
        <v>160</v>
      </c>
      <c r="J1347" s="7" t="s">
        <v>148</v>
      </c>
      <c r="K1347" s="7"/>
      <c r="L1347" s="7"/>
      <c r="M1347" s="7"/>
    </row>
    <row r="1348" ht="15.75" customHeight="1">
      <c r="A1348" s="7" t="s">
        <v>7117</v>
      </c>
      <c r="B1348" s="45" t="s">
        <v>7118</v>
      </c>
      <c r="C1348" s="7" t="s">
        <v>7108</v>
      </c>
      <c r="D1348" s="7" t="s">
        <v>7119</v>
      </c>
      <c r="E1348" s="7" t="s">
        <v>7120</v>
      </c>
      <c r="F1348" s="7" t="s">
        <v>7111</v>
      </c>
      <c r="G1348" s="7"/>
      <c r="H1348" s="46" t="s">
        <v>249</v>
      </c>
      <c r="I1348" s="7" t="s">
        <v>160</v>
      </c>
      <c r="J1348" s="7" t="s">
        <v>148</v>
      </c>
      <c r="K1348" s="7"/>
      <c r="L1348" s="7"/>
      <c r="M1348" s="7"/>
    </row>
    <row r="1349" ht="15.75" customHeight="1">
      <c r="A1349" s="7" t="s">
        <v>7121</v>
      </c>
      <c r="B1349" s="45" t="s">
        <v>7122</v>
      </c>
      <c r="C1349" s="7" t="s">
        <v>4267</v>
      </c>
      <c r="D1349" s="7" t="s">
        <v>7123</v>
      </c>
      <c r="E1349" s="7" t="s">
        <v>7124</v>
      </c>
      <c r="F1349" s="7" t="s">
        <v>4270</v>
      </c>
      <c r="G1349" s="7"/>
      <c r="H1349" s="46" t="s">
        <v>249</v>
      </c>
      <c r="I1349" s="7" t="s">
        <v>160</v>
      </c>
      <c r="J1349" s="7" t="s">
        <v>148</v>
      </c>
      <c r="K1349" s="7"/>
      <c r="L1349" s="7"/>
      <c r="M1349" s="7"/>
    </row>
    <row r="1350" ht="15.75" customHeight="1">
      <c r="A1350" s="7" t="s">
        <v>7125</v>
      </c>
      <c r="B1350" s="45" t="s">
        <v>7126</v>
      </c>
      <c r="C1350" s="7" t="s">
        <v>7127</v>
      </c>
      <c r="D1350" s="7" t="s">
        <v>7128</v>
      </c>
      <c r="E1350" s="7" t="s">
        <v>7129</v>
      </c>
      <c r="F1350" s="7" t="s">
        <v>7130</v>
      </c>
      <c r="G1350" s="7"/>
      <c r="H1350" s="46" t="s">
        <v>249</v>
      </c>
      <c r="I1350" s="7" t="s">
        <v>160</v>
      </c>
      <c r="J1350" s="7" t="s">
        <v>148</v>
      </c>
      <c r="K1350" s="7"/>
      <c r="L1350" s="7"/>
      <c r="M1350" s="7"/>
    </row>
    <row r="1351" ht="15.75" customHeight="1">
      <c r="A1351" s="7" t="s">
        <v>7131</v>
      </c>
      <c r="B1351" s="45" t="s">
        <v>7132</v>
      </c>
      <c r="C1351" s="7" t="s">
        <v>7133</v>
      </c>
      <c r="D1351" s="7" t="s">
        <v>7134</v>
      </c>
      <c r="E1351" s="7" t="s">
        <v>7135</v>
      </c>
      <c r="F1351" s="7" t="s">
        <v>6117</v>
      </c>
      <c r="G1351" s="7"/>
      <c r="H1351" s="46" t="s">
        <v>249</v>
      </c>
      <c r="I1351" s="7" t="s">
        <v>160</v>
      </c>
      <c r="J1351" s="7" t="s">
        <v>148</v>
      </c>
      <c r="K1351" s="7"/>
      <c r="L1351" s="7"/>
      <c r="M1351" s="7"/>
    </row>
    <row r="1352" ht="15.75" customHeight="1">
      <c r="A1352" s="7" t="s">
        <v>7136</v>
      </c>
      <c r="B1352" s="45" t="s">
        <v>7137</v>
      </c>
      <c r="C1352" s="7" t="s">
        <v>7138</v>
      </c>
      <c r="D1352" s="7" t="s">
        <v>7139</v>
      </c>
      <c r="E1352" s="7" t="s">
        <v>7140</v>
      </c>
      <c r="F1352" s="7" t="s">
        <v>7141</v>
      </c>
      <c r="G1352" s="7"/>
      <c r="H1352" s="46" t="s">
        <v>249</v>
      </c>
      <c r="I1352" s="7" t="s">
        <v>160</v>
      </c>
      <c r="J1352" s="7" t="s">
        <v>148</v>
      </c>
      <c r="K1352" s="7"/>
      <c r="L1352" s="7"/>
      <c r="M1352" s="7"/>
    </row>
    <row r="1353" ht="15.75" customHeight="1">
      <c r="A1353" s="7" t="s">
        <v>7142</v>
      </c>
      <c r="B1353" s="45" t="s">
        <v>7143</v>
      </c>
      <c r="C1353" s="7" t="s">
        <v>7144</v>
      </c>
      <c r="D1353" s="7" t="s">
        <v>7145</v>
      </c>
      <c r="E1353" s="7" t="s">
        <v>7146</v>
      </c>
      <c r="F1353" s="7" t="s">
        <v>7147</v>
      </c>
      <c r="G1353" s="7"/>
      <c r="H1353" s="46" t="s">
        <v>249</v>
      </c>
      <c r="I1353" s="7" t="s">
        <v>160</v>
      </c>
      <c r="J1353" s="7" t="s">
        <v>148</v>
      </c>
      <c r="K1353" s="7"/>
      <c r="L1353" s="7"/>
      <c r="M1353" s="7"/>
    </row>
    <row r="1354" ht="15.75" customHeight="1">
      <c r="A1354" s="7" t="s">
        <v>7148</v>
      </c>
      <c r="B1354" s="45" t="s">
        <v>7149</v>
      </c>
      <c r="C1354" s="7" t="s">
        <v>7150</v>
      </c>
      <c r="D1354" s="7" t="s">
        <v>7151</v>
      </c>
      <c r="E1354" s="7" t="s">
        <v>7152</v>
      </c>
      <c r="F1354" s="7" t="s">
        <v>7153</v>
      </c>
      <c r="G1354" s="7"/>
      <c r="H1354" s="46" t="s">
        <v>249</v>
      </c>
      <c r="I1354" s="7" t="s">
        <v>160</v>
      </c>
      <c r="J1354" s="7" t="s">
        <v>148</v>
      </c>
      <c r="K1354" s="7"/>
      <c r="L1354" s="7"/>
      <c r="M1354" s="7"/>
    </row>
    <row r="1355" ht="15.75" customHeight="1">
      <c r="A1355" s="7" t="s">
        <v>7154</v>
      </c>
      <c r="B1355" s="45" t="s">
        <v>7155</v>
      </c>
      <c r="C1355" s="7" t="s">
        <v>7156</v>
      </c>
      <c r="D1355" s="7" t="s">
        <v>7157</v>
      </c>
      <c r="E1355" s="7" t="s">
        <v>7152</v>
      </c>
      <c r="F1355" s="7" t="s">
        <v>7153</v>
      </c>
      <c r="G1355" s="7"/>
      <c r="H1355" s="46" t="s">
        <v>249</v>
      </c>
      <c r="I1355" s="7" t="s">
        <v>160</v>
      </c>
      <c r="J1355" s="7" t="s">
        <v>148</v>
      </c>
      <c r="K1355" s="7"/>
      <c r="L1355" s="7"/>
      <c r="M1355" s="7"/>
    </row>
    <row r="1356" ht="15.75" customHeight="1">
      <c r="A1356" s="7" t="s">
        <v>7158</v>
      </c>
      <c r="B1356" s="45" t="s">
        <v>7159</v>
      </c>
      <c r="C1356" s="7" t="s">
        <v>7160</v>
      </c>
      <c r="D1356" s="7" t="s">
        <v>7161</v>
      </c>
      <c r="E1356" s="7" t="s">
        <v>7162</v>
      </c>
      <c r="F1356" s="7" t="s">
        <v>7163</v>
      </c>
      <c r="G1356" s="7"/>
      <c r="H1356" s="46" t="s">
        <v>249</v>
      </c>
      <c r="I1356" s="7" t="s">
        <v>160</v>
      </c>
      <c r="J1356" s="7" t="s">
        <v>148</v>
      </c>
      <c r="K1356" s="7"/>
      <c r="L1356" s="7"/>
      <c r="M1356" s="7"/>
    </row>
    <row r="1357" ht="15.75" customHeight="1">
      <c r="A1357" s="7" t="s">
        <v>7164</v>
      </c>
      <c r="B1357" s="45" t="s">
        <v>7165</v>
      </c>
      <c r="C1357" s="7" t="s">
        <v>7166</v>
      </c>
      <c r="D1357" s="7" t="s">
        <v>7167</v>
      </c>
      <c r="E1357" s="7" t="s">
        <v>7168</v>
      </c>
      <c r="F1357" s="7" t="s">
        <v>7169</v>
      </c>
      <c r="G1357" s="7"/>
      <c r="H1357" s="46" t="s">
        <v>249</v>
      </c>
      <c r="I1357" s="7" t="s">
        <v>160</v>
      </c>
      <c r="J1357" s="7" t="s">
        <v>148</v>
      </c>
      <c r="K1357" s="7"/>
      <c r="L1357" s="7"/>
      <c r="M1357" s="7"/>
    </row>
    <row r="1358" ht="15.75" customHeight="1">
      <c r="A1358" s="7" t="s">
        <v>7170</v>
      </c>
      <c r="B1358" s="45" t="s">
        <v>7171</v>
      </c>
      <c r="C1358" s="7" t="s">
        <v>7172</v>
      </c>
      <c r="D1358" s="7" t="s">
        <v>7173</v>
      </c>
      <c r="E1358" s="7" t="s">
        <v>7174</v>
      </c>
      <c r="F1358" s="7" t="s">
        <v>7175</v>
      </c>
      <c r="G1358" s="7"/>
      <c r="H1358" s="46" t="s">
        <v>249</v>
      </c>
      <c r="I1358" s="7" t="s">
        <v>160</v>
      </c>
      <c r="J1358" s="7" t="s">
        <v>148</v>
      </c>
      <c r="K1358" s="7"/>
      <c r="L1358" s="7"/>
      <c r="M1358" s="7"/>
    </row>
    <row r="1359" ht="15.75" customHeight="1">
      <c r="A1359" s="7" t="s">
        <v>7176</v>
      </c>
      <c r="B1359" s="45" t="s">
        <v>7177</v>
      </c>
      <c r="C1359" s="7" t="s">
        <v>7178</v>
      </c>
      <c r="D1359" s="7" t="s">
        <v>7179</v>
      </c>
      <c r="E1359" s="7" t="s">
        <v>7180</v>
      </c>
      <c r="F1359" s="7" t="s">
        <v>7175</v>
      </c>
      <c r="G1359" s="7"/>
      <c r="H1359" s="46" t="s">
        <v>249</v>
      </c>
      <c r="I1359" s="7" t="s">
        <v>160</v>
      </c>
      <c r="J1359" s="7" t="s">
        <v>148</v>
      </c>
      <c r="K1359" s="7"/>
      <c r="L1359" s="7"/>
      <c r="M1359" s="7"/>
    </row>
    <row r="1360" ht="15.75" customHeight="1">
      <c r="A1360" s="7" t="s">
        <v>7181</v>
      </c>
      <c r="B1360" s="45" t="s">
        <v>7182</v>
      </c>
      <c r="C1360" s="7" t="s">
        <v>7183</v>
      </c>
      <c r="D1360" s="7" t="s">
        <v>7184</v>
      </c>
      <c r="E1360" s="7" t="s">
        <v>7185</v>
      </c>
      <c r="F1360" s="7" t="s">
        <v>7186</v>
      </c>
      <c r="G1360" s="7"/>
      <c r="H1360" s="46" t="s">
        <v>249</v>
      </c>
      <c r="I1360" s="7" t="s">
        <v>160</v>
      </c>
      <c r="J1360" s="7" t="s">
        <v>148</v>
      </c>
      <c r="K1360" s="7"/>
      <c r="L1360" s="7"/>
      <c r="M1360" s="7"/>
    </row>
    <row r="1361" ht="15.75" customHeight="1">
      <c r="A1361" s="7" t="s">
        <v>7187</v>
      </c>
      <c r="B1361" s="45" t="s">
        <v>7188</v>
      </c>
      <c r="C1361" s="7" t="s">
        <v>7189</v>
      </c>
      <c r="D1361" s="7" t="s">
        <v>7190</v>
      </c>
      <c r="E1361" s="7" t="s">
        <v>2049</v>
      </c>
      <c r="F1361" s="7" t="s">
        <v>2050</v>
      </c>
      <c r="G1361" s="7"/>
      <c r="H1361" s="46" t="s">
        <v>249</v>
      </c>
      <c r="I1361" s="7" t="s">
        <v>160</v>
      </c>
      <c r="J1361" s="7" t="s">
        <v>148</v>
      </c>
      <c r="K1361" s="7"/>
      <c r="L1361" s="7"/>
      <c r="M1361" s="7"/>
    </row>
    <row r="1362" ht="15.75" customHeight="1">
      <c r="A1362" s="7" t="s">
        <v>7191</v>
      </c>
      <c r="B1362" s="45" t="s">
        <v>7192</v>
      </c>
      <c r="C1362" s="7" t="s">
        <v>7189</v>
      </c>
      <c r="D1362" s="7" t="s">
        <v>7193</v>
      </c>
      <c r="E1362" s="7" t="s">
        <v>2049</v>
      </c>
      <c r="F1362" s="7" t="s">
        <v>2050</v>
      </c>
      <c r="G1362" s="7"/>
      <c r="H1362" s="46" t="s">
        <v>249</v>
      </c>
      <c r="I1362" s="7" t="s">
        <v>160</v>
      </c>
      <c r="J1362" s="7" t="s">
        <v>148</v>
      </c>
      <c r="K1362" s="7"/>
      <c r="L1362" s="7"/>
      <c r="M1362" s="7"/>
    </row>
    <row r="1363" ht="15.75" customHeight="1">
      <c r="A1363" s="7" t="s">
        <v>7194</v>
      </c>
      <c r="B1363" s="45" t="s">
        <v>7195</v>
      </c>
      <c r="C1363" s="7" t="s">
        <v>7196</v>
      </c>
      <c r="D1363" s="7" t="s">
        <v>7197</v>
      </c>
      <c r="E1363" s="7" t="s">
        <v>7198</v>
      </c>
      <c r="F1363" s="7" t="s">
        <v>7199</v>
      </c>
      <c r="G1363" s="7"/>
      <c r="H1363" s="46" t="s">
        <v>249</v>
      </c>
      <c r="I1363" s="7" t="s">
        <v>160</v>
      </c>
      <c r="J1363" s="7" t="s">
        <v>148</v>
      </c>
      <c r="K1363" s="7"/>
      <c r="L1363" s="7"/>
      <c r="M1363" s="7"/>
    </row>
    <row r="1364" ht="15.75" customHeight="1">
      <c r="A1364" s="7" t="s">
        <v>7200</v>
      </c>
      <c r="B1364" s="45" t="s">
        <v>7201</v>
      </c>
      <c r="C1364" s="7" t="s">
        <v>6805</v>
      </c>
      <c r="D1364" s="7" t="s">
        <v>7202</v>
      </c>
      <c r="E1364" s="7" t="s">
        <v>7203</v>
      </c>
      <c r="F1364" s="7" t="s">
        <v>7204</v>
      </c>
      <c r="G1364" s="7"/>
      <c r="H1364" s="46" t="s">
        <v>249</v>
      </c>
      <c r="I1364" s="7" t="s">
        <v>160</v>
      </c>
      <c r="J1364" s="7" t="s">
        <v>148</v>
      </c>
      <c r="K1364" s="7"/>
      <c r="L1364" s="7"/>
      <c r="M1364" s="7"/>
    </row>
    <row r="1365" ht="15.75" customHeight="1">
      <c r="A1365" s="7" t="s">
        <v>7205</v>
      </c>
      <c r="B1365" s="45" t="s">
        <v>7206</v>
      </c>
      <c r="C1365" s="7" t="s">
        <v>7207</v>
      </c>
      <c r="D1365" s="7" t="s">
        <v>7208</v>
      </c>
      <c r="E1365" s="7" t="s">
        <v>7209</v>
      </c>
      <c r="F1365" s="7" t="s">
        <v>7210</v>
      </c>
      <c r="G1365" s="7"/>
      <c r="H1365" s="46" t="s">
        <v>249</v>
      </c>
      <c r="I1365" s="7" t="s">
        <v>160</v>
      </c>
      <c r="J1365" s="7" t="s">
        <v>148</v>
      </c>
      <c r="K1365" s="7"/>
      <c r="L1365" s="7"/>
      <c r="M1365" s="7"/>
    </row>
    <row r="1366" ht="15.75" customHeight="1">
      <c r="A1366" s="7" t="s">
        <v>7211</v>
      </c>
      <c r="B1366" s="45" t="s">
        <v>7212</v>
      </c>
      <c r="C1366" s="7" t="s">
        <v>7213</v>
      </c>
      <c r="D1366" s="7" t="s">
        <v>7214</v>
      </c>
      <c r="E1366" s="7" t="s">
        <v>7215</v>
      </c>
      <c r="F1366" s="7" t="s">
        <v>7175</v>
      </c>
      <c r="G1366" s="7"/>
      <c r="H1366" s="46" t="s">
        <v>249</v>
      </c>
      <c r="I1366" s="7" t="s">
        <v>160</v>
      </c>
      <c r="J1366" s="7" t="s">
        <v>148</v>
      </c>
      <c r="K1366" s="7"/>
      <c r="L1366" s="7"/>
      <c r="M1366" s="7"/>
    </row>
    <row r="1367" ht="15.75" customHeight="1">
      <c r="A1367" s="7" t="s">
        <v>7216</v>
      </c>
      <c r="B1367" s="45" t="s">
        <v>7217</v>
      </c>
      <c r="C1367" s="7" t="s">
        <v>7218</v>
      </c>
      <c r="D1367" s="7" t="s">
        <v>7219</v>
      </c>
      <c r="E1367" s="7" t="s">
        <v>7220</v>
      </c>
      <c r="F1367" s="7" t="s">
        <v>7221</v>
      </c>
      <c r="G1367" s="7"/>
      <c r="H1367" s="46" t="s">
        <v>249</v>
      </c>
      <c r="I1367" s="7" t="s">
        <v>160</v>
      </c>
      <c r="J1367" s="7" t="s">
        <v>148</v>
      </c>
      <c r="K1367" s="7"/>
      <c r="L1367" s="7"/>
      <c r="M1367" s="7"/>
    </row>
    <row r="1368" ht="15.75" customHeight="1">
      <c r="A1368" s="7" t="s">
        <v>7222</v>
      </c>
      <c r="B1368" s="45" t="s">
        <v>7223</v>
      </c>
      <c r="C1368" s="7" t="s">
        <v>7224</v>
      </c>
      <c r="D1368" s="7" t="s">
        <v>7225</v>
      </c>
      <c r="E1368" s="7" t="s">
        <v>7226</v>
      </c>
      <c r="F1368" s="7" t="s">
        <v>7227</v>
      </c>
      <c r="G1368" s="7"/>
      <c r="H1368" s="46" t="s">
        <v>249</v>
      </c>
      <c r="I1368" s="7" t="s">
        <v>160</v>
      </c>
      <c r="J1368" s="7" t="s">
        <v>148</v>
      </c>
      <c r="K1368" s="7"/>
      <c r="L1368" s="7"/>
      <c r="M1368" s="7"/>
    </row>
    <row r="1369" ht="15.75" customHeight="1">
      <c r="A1369" s="7" t="s">
        <v>7228</v>
      </c>
      <c r="B1369" s="45" t="s">
        <v>7229</v>
      </c>
      <c r="C1369" s="7" t="s">
        <v>7230</v>
      </c>
      <c r="D1369" s="7" t="s">
        <v>7231</v>
      </c>
      <c r="E1369" s="7" t="s">
        <v>7232</v>
      </c>
      <c r="F1369" s="7" t="s">
        <v>7233</v>
      </c>
      <c r="G1369" s="7"/>
      <c r="H1369" s="46" t="s">
        <v>249</v>
      </c>
      <c r="I1369" s="7" t="s">
        <v>160</v>
      </c>
      <c r="J1369" s="7" t="s">
        <v>148</v>
      </c>
      <c r="K1369" s="7"/>
      <c r="L1369" s="7"/>
      <c r="M1369" s="7"/>
    </row>
    <row r="1370" ht="15.75" customHeight="1">
      <c r="A1370" s="7" t="s">
        <v>7234</v>
      </c>
      <c r="B1370" s="45" t="s">
        <v>7235</v>
      </c>
      <c r="C1370" s="7" t="s">
        <v>7236</v>
      </c>
      <c r="D1370" s="7" t="s">
        <v>7237</v>
      </c>
      <c r="E1370" s="7" t="s">
        <v>7238</v>
      </c>
      <c r="F1370" s="7" t="s">
        <v>7239</v>
      </c>
      <c r="G1370" s="7"/>
      <c r="H1370" s="46" t="s">
        <v>249</v>
      </c>
      <c r="I1370" s="7" t="s">
        <v>160</v>
      </c>
      <c r="J1370" s="7" t="s">
        <v>148</v>
      </c>
      <c r="K1370" s="7"/>
      <c r="L1370" s="7"/>
      <c r="M1370" s="7"/>
    </row>
    <row r="1371" ht="15.75" customHeight="1">
      <c r="A1371" s="7" t="s">
        <v>7240</v>
      </c>
      <c r="B1371" s="45" t="s">
        <v>7241</v>
      </c>
      <c r="C1371" s="7" t="s">
        <v>7242</v>
      </c>
      <c r="D1371" s="7" t="s">
        <v>7243</v>
      </c>
      <c r="E1371" s="7" t="s">
        <v>7238</v>
      </c>
      <c r="F1371" s="7" t="s">
        <v>7239</v>
      </c>
      <c r="G1371" s="7"/>
      <c r="H1371" s="46" t="s">
        <v>249</v>
      </c>
      <c r="I1371" s="7" t="s">
        <v>160</v>
      </c>
      <c r="J1371" s="7" t="s">
        <v>148</v>
      </c>
      <c r="K1371" s="7"/>
      <c r="L1371" s="7"/>
      <c r="M1371" s="7"/>
    </row>
    <row r="1372" ht="15.75" customHeight="1">
      <c r="A1372" s="7" t="s">
        <v>7244</v>
      </c>
      <c r="B1372" s="45" t="s">
        <v>7245</v>
      </c>
      <c r="C1372" s="7" t="s">
        <v>7242</v>
      </c>
      <c r="D1372" s="7" t="s">
        <v>7246</v>
      </c>
      <c r="E1372" s="7" t="s">
        <v>7238</v>
      </c>
      <c r="F1372" s="7" t="s">
        <v>7239</v>
      </c>
      <c r="G1372" s="7"/>
      <c r="H1372" s="46" t="s">
        <v>249</v>
      </c>
      <c r="I1372" s="7" t="s">
        <v>160</v>
      </c>
      <c r="J1372" s="7" t="s">
        <v>148</v>
      </c>
      <c r="K1372" s="7"/>
      <c r="L1372" s="7"/>
      <c r="M1372" s="7"/>
    </row>
    <row r="1373" ht="15.75" customHeight="1">
      <c r="A1373" s="7" t="s">
        <v>7247</v>
      </c>
      <c r="B1373" s="45" t="s">
        <v>7248</v>
      </c>
      <c r="C1373" s="7" t="s">
        <v>7249</v>
      </c>
      <c r="D1373" s="7" t="s">
        <v>7250</v>
      </c>
      <c r="E1373" s="7" t="s">
        <v>7238</v>
      </c>
      <c r="F1373" s="7" t="s">
        <v>7239</v>
      </c>
      <c r="G1373" s="7"/>
      <c r="H1373" s="46" t="s">
        <v>249</v>
      </c>
      <c r="I1373" s="7" t="s">
        <v>160</v>
      </c>
      <c r="J1373" s="7" t="s">
        <v>148</v>
      </c>
      <c r="K1373" s="7"/>
      <c r="L1373" s="7"/>
      <c r="M1373" s="7"/>
    </row>
    <row r="1374" ht="15.75" customHeight="1">
      <c r="A1374" s="7" t="s">
        <v>7251</v>
      </c>
      <c r="B1374" s="45" t="s">
        <v>7252</v>
      </c>
      <c r="C1374" s="7" t="s">
        <v>7242</v>
      </c>
      <c r="D1374" s="7" t="s">
        <v>7253</v>
      </c>
      <c r="E1374" s="7" t="s">
        <v>7238</v>
      </c>
      <c r="F1374" s="7" t="s">
        <v>7239</v>
      </c>
      <c r="G1374" s="7"/>
      <c r="H1374" s="46" t="s">
        <v>249</v>
      </c>
      <c r="I1374" s="7" t="s">
        <v>160</v>
      </c>
      <c r="J1374" s="7" t="s">
        <v>148</v>
      </c>
      <c r="K1374" s="7"/>
      <c r="L1374" s="7"/>
      <c r="M1374" s="7"/>
    </row>
    <row r="1375" ht="15.75" customHeight="1">
      <c r="A1375" s="7" t="s">
        <v>7254</v>
      </c>
      <c r="B1375" s="45" t="s">
        <v>7255</v>
      </c>
      <c r="C1375" s="7" t="s">
        <v>7242</v>
      </c>
      <c r="D1375" s="7" t="s">
        <v>7256</v>
      </c>
      <c r="E1375" s="7" t="s">
        <v>7238</v>
      </c>
      <c r="F1375" s="7" t="s">
        <v>7239</v>
      </c>
      <c r="G1375" s="7"/>
      <c r="H1375" s="46" t="s">
        <v>249</v>
      </c>
      <c r="I1375" s="7" t="s">
        <v>160</v>
      </c>
      <c r="J1375" s="7" t="s">
        <v>148</v>
      </c>
      <c r="K1375" s="7"/>
      <c r="L1375" s="7"/>
      <c r="M1375" s="7"/>
    </row>
    <row r="1376" ht="15.75" customHeight="1">
      <c r="A1376" s="7" t="s">
        <v>7257</v>
      </c>
      <c r="B1376" s="45" t="s">
        <v>7258</v>
      </c>
      <c r="C1376" s="7" t="s">
        <v>7259</v>
      </c>
      <c r="D1376" s="7" t="s">
        <v>7260</v>
      </c>
      <c r="E1376" s="7" t="s">
        <v>7238</v>
      </c>
      <c r="F1376" s="7" t="s">
        <v>7239</v>
      </c>
      <c r="G1376" s="7"/>
      <c r="H1376" s="46" t="s">
        <v>249</v>
      </c>
      <c r="I1376" s="7" t="s">
        <v>160</v>
      </c>
      <c r="J1376" s="7" t="s">
        <v>148</v>
      </c>
      <c r="K1376" s="7"/>
      <c r="L1376" s="7"/>
      <c r="M1376" s="7"/>
    </row>
    <row r="1377" ht="15.75" customHeight="1">
      <c r="A1377" s="7" t="s">
        <v>7261</v>
      </c>
      <c r="B1377" s="45" t="s">
        <v>7262</v>
      </c>
      <c r="C1377" s="7" t="s">
        <v>7263</v>
      </c>
      <c r="D1377" s="7" t="s">
        <v>7264</v>
      </c>
      <c r="E1377" s="7" t="s">
        <v>7265</v>
      </c>
      <c r="F1377" s="7" t="s">
        <v>7266</v>
      </c>
      <c r="G1377" s="7"/>
      <c r="H1377" s="46" t="s">
        <v>249</v>
      </c>
      <c r="I1377" s="7" t="s">
        <v>160</v>
      </c>
      <c r="J1377" s="7" t="s">
        <v>148</v>
      </c>
      <c r="K1377" s="7"/>
      <c r="L1377" s="7"/>
      <c r="M1377" s="7"/>
    </row>
    <row r="1378" ht="15.75" customHeight="1">
      <c r="A1378" s="7" t="s">
        <v>7267</v>
      </c>
      <c r="B1378" s="45" t="s">
        <v>7268</v>
      </c>
      <c r="C1378" s="7" t="s">
        <v>7269</v>
      </c>
      <c r="D1378" s="7" t="s">
        <v>7270</v>
      </c>
      <c r="E1378" s="7" t="s">
        <v>7271</v>
      </c>
      <c r="F1378" s="7" t="s">
        <v>7272</v>
      </c>
      <c r="G1378" s="7"/>
      <c r="H1378" s="46" t="s">
        <v>249</v>
      </c>
      <c r="I1378" s="7" t="s">
        <v>160</v>
      </c>
      <c r="J1378" s="7" t="s">
        <v>148</v>
      </c>
      <c r="K1378" s="7"/>
      <c r="L1378" s="7"/>
      <c r="M1378" s="7"/>
    </row>
    <row r="1379" ht="15.75" customHeight="1">
      <c r="A1379" s="7" t="s">
        <v>7273</v>
      </c>
      <c r="B1379" s="45" t="s">
        <v>7274</v>
      </c>
      <c r="C1379" s="7" t="s">
        <v>7275</v>
      </c>
      <c r="D1379" s="7" t="s">
        <v>7276</v>
      </c>
      <c r="E1379" s="7" t="s">
        <v>7277</v>
      </c>
      <c r="F1379" s="7" t="s">
        <v>7278</v>
      </c>
      <c r="G1379" s="7"/>
      <c r="H1379" s="46" t="s">
        <v>249</v>
      </c>
      <c r="I1379" s="7" t="s">
        <v>160</v>
      </c>
      <c r="J1379" s="7" t="s">
        <v>148</v>
      </c>
      <c r="K1379" s="7"/>
      <c r="L1379" s="7"/>
      <c r="M1379" s="7"/>
    </row>
    <row r="1380" ht="15.75" customHeight="1">
      <c r="A1380" s="7" t="s">
        <v>7279</v>
      </c>
      <c r="B1380" s="45" t="s">
        <v>7280</v>
      </c>
      <c r="C1380" s="7" t="s">
        <v>7281</v>
      </c>
      <c r="D1380" s="7" t="s">
        <v>7282</v>
      </c>
      <c r="E1380" s="7" t="s">
        <v>7283</v>
      </c>
      <c r="F1380" s="7" t="s">
        <v>7284</v>
      </c>
      <c r="G1380" s="7"/>
      <c r="H1380" s="46" t="s">
        <v>249</v>
      </c>
      <c r="I1380" s="7" t="s">
        <v>160</v>
      </c>
      <c r="J1380" s="7" t="s">
        <v>148</v>
      </c>
      <c r="K1380" s="7"/>
      <c r="L1380" s="7"/>
      <c r="M1380" s="7"/>
    </row>
    <row r="1381" ht="15.75" customHeight="1">
      <c r="A1381" s="7" t="s">
        <v>7285</v>
      </c>
      <c r="B1381" s="45" t="s">
        <v>7286</v>
      </c>
      <c r="C1381" s="7" t="s">
        <v>7287</v>
      </c>
      <c r="D1381" s="7" t="s">
        <v>7288</v>
      </c>
      <c r="E1381" s="7" t="s">
        <v>7289</v>
      </c>
      <c r="F1381" s="7" t="s">
        <v>7290</v>
      </c>
      <c r="G1381" s="7"/>
      <c r="H1381" s="46" t="s">
        <v>249</v>
      </c>
      <c r="I1381" s="7" t="s">
        <v>160</v>
      </c>
      <c r="J1381" s="7" t="s">
        <v>148</v>
      </c>
      <c r="K1381" s="7"/>
      <c r="L1381" s="7"/>
      <c r="M1381" s="7"/>
    </row>
    <row r="1382" ht="15.75" customHeight="1">
      <c r="A1382" s="7" t="s">
        <v>7291</v>
      </c>
      <c r="B1382" s="45" t="s">
        <v>7292</v>
      </c>
      <c r="C1382" s="7" t="s">
        <v>7293</v>
      </c>
      <c r="D1382" s="7" t="s">
        <v>7294</v>
      </c>
      <c r="E1382" s="7" t="s">
        <v>7295</v>
      </c>
      <c r="F1382" s="7" t="s">
        <v>7296</v>
      </c>
      <c r="G1382" s="7"/>
      <c r="H1382" s="46" t="s">
        <v>249</v>
      </c>
      <c r="I1382" s="7" t="s">
        <v>160</v>
      </c>
      <c r="J1382" s="7" t="s">
        <v>148</v>
      </c>
      <c r="K1382" s="7"/>
      <c r="L1382" s="7"/>
      <c r="M1382" s="7"/>
    </row>
    <row r="1383" ht="15.75" customHeight="1">
      <c r="A1383" s="7" t="s">
        <v>7297</v>
      </c>
      <c r="B1383" s="45" t="s">
        <v>7298</v>
      </c>
      <c r="C1383" s="7" t="s">
        <v>7299</v>
      </c>
      <c r="D1383" s="7" t="s">
        <v>7300</v>
      </c>
      <c r="E1383" s="7" t="s">
        <v>7301</v>
      </c>
      <c r="F1383" s="7" t="s">
        <v>7302</v>
      </c>
      <c r="G1383" s="7"/>
      <c r="H1383" s="46" t="s">
        <v>249</v>
      </c>
      <c r="I1383" s="7" t="s">
        <v>160</v>
      </c>
      <c r="J1383" s="7" t="s">
        <v>148</v>
      </c>
      <c r="K1383" s="7"/>
      <c r="L1383" s="7"/>
      <c r="M1383" s="7"/>
    </row>
    <row r="1384" ht="15.75" customHeight="1">
      <c r="A1384" s="7" t="s">
        <v>7303</v>
      </c>
      <c r="B1384" s="45" t="s">
        <v>7304</v>
      </c>
      <c r="C1384" s="7" t="s">
        <v>7305</v>
      </c>
      <c r="D1384" s="7" t="s">
        <v>7306</v>
      </c>
      <c r="E1384" s="7" t="s">
        <v>7307</v>
      </c>
      <c r="F1384" s="7" t="s">
        <v>7308</v>
      </c>
      <c r="G1384" s="7"/>
      <c r="H1384" s="46" t="s">
        <v>249</v>
      </c>
      <c r="I1384" s="7" t="s">
        <v>160</v>
      </c>
      <c r="J1384" s="7" t="s">
        <v>148</v>
      </c>
      <c r="K1384" s="7"/>
      <c r="L1384" s="7"/>
      <c r="M1384" s="7"/>
    </row>
    <row r="1385" ht="15.75" customHeight="1">
      <c r="A1385" s="7" t="s">
        <v>7309</v>
      </c>
      <c r="B1385" s="45" t="s">
        <v>7310</v>
      </c>
      <c r="C1385" s="7" t="s">
        <v>7311</v>
      </c>
      <c r="D1385" s="7" t="s">
        <v>7312</v>
      </c>
      <c r="E1385" s="7" t="s">
        <v>7313</v>
      </c>
      <c r="F1385" s="7" t="s">
        <v>7314</v>
      </c>
      <c r="G1385" s="7"/>
      <c r="H1385" s="46" t="s">
        <v>249</v>
      </c>
      <c r="I1385" s="7" t="s">
        <v>160</v>
      </c>
      <c r="J1385" s="7" t="s">
        <v>148</v>
      </c>
      <c r="K1385" s="7"/>
      <c r="L1385" s="7"/>
      <c r="M1385" s="7"/>
    </row>
    <row r="1386" ht="15.75" customHeight="1">
      <c r="A1386" s="7" t="s">
        <v>7315</v>
      </c>
      <c r="B1386" s="45" t="s">
        <v>7316</v>
      </c>
      <c r="C1386" s="7" t="s">
        <v>3658</v>
      </c>
      <c r="D1386" s="7" t="s">
        <v>7317</v>
      </c>
      <c r="E1386" s="7" t="s">
        <v>7318</v>
      </c>
      <c r="F1386" s="7" t="s">
        <v>7319</v>
      </c>
      <c r="G1386" s="7"/>
      <c r="H1386" s="46" t="s">
        <v>249</v>
      </c>
      <c r="I1386" s="7" t="s">
        <v>160</v>
      </c>
      <c r="J1386" s="7" t="s">
        <v>148</v>
      </c>
      <c r="K1386" s="7"/>
      <c r="L1386" s="7"/>
      <c r="M1386" s="7"/>
    </row>
    <row r="1387" ht="15.75" customHeight="1">
      <c r="A1387" s="7" t="s">
        <v>7320</v>
      </c>
      <c r="B1387" s="45" t="s">
        <v>7321</v>
      </c>
      <c r="C1387" s="7" t="s">
        <v>7322</v>
      </c>
      <c r="D1387" s="7" t="s">
        <v>7323</v>
      </c>
      <c r="E1387" s="7" t="s">
        <v>7324</v>
      </c>
      <c r="F1387" s="7" t="s">
        <v>7325</v>
      </c>
      <c r="G1387" s="7"/>
      <c r="H1387" s="46" t="s">
        <v>249</v>
      </c>
      <c r="I1387" s="7" t="s">
        <v>160</v>
      </c>
      <c r="J1387" s="7" t="s">
        <v>148</v>
      </c>
      <c r="K1387" s="7"/>
      <c r="L1387" s="7"/>
      <c r="M1387" s="7"/>
    </row>
    <row r="1388" ht="15.75" customHeight="1">
      <c r="A1388" s="7" t="s">
        <v>7326</v>
      </c>
      <c r="B1388" s="45" t="s">
        <v>7327</v>
      </c>
      <c r="C1388" s="7" t="s">
        <v>7328</v>
      </c>
      <c r="D1388" s="7" t="s">
        <v>7329</v>
      </c>
      <c r="E1388" s="7" t="s">
        <v>7330</v>
      </c>
      <c r="F1388" s="7" t="s">
        <v>7331</v>
      </c>
      <c r="G1388" s="7"/>
      <c r="H1388" s="46" t="s">
        <v>249</v>
      </c>
      <c r="I1388" s="7" t="s">
        <v>160</v>
      </c>
      <c r="J1388" s="7" t="s">
        <v>148</v>
      </c>
      <c r="K1388" s="7"/>
      <c r="L1388" s="7"/>
      <c r="M1388" s="7"/>
    </row>
    <row r="1389" ht="15.75" customHeight="1">
      <c r="A1389" s="7" t="s">
        <v>7332</v>
      </c>
      <c r="B1389" s="45" t="s">
        <v>7333</v>
      </c>
      <c r="C1389" s="7" t="s">
        <v>7334</v>
      </c>
      <c r="D1389" s="7" t="s">
        <v>7335</v>
      </c>
      <c r="E1389" s="7" t="s">
        <v>7336</v>
      </c>
      <c r="F1389" s="7" t="s">
        <v>7337</v>
      </c>
      <c r="G1389" s="7"/>
      <c r="H1389" s="46" t="s">
        <v>249</v>
      </c>
      <c r="I1389" s="7" t="s">
        <v>160</v>
      </c>
      <c r="J1389" s="7" t="s">
        <v>148</v>
      </c>
      <c r="K1389" s="7"/>
      <c r="L1389" s="7"/>
      <c r="M1389" s="7"/>
    </row>
    <row r="1390" ht="15.75" customHeight="1">
      <c r="A1390" s="7" t="s">
        <v>7338</v>
      </c>
      <c r="B1390" s="45" t="s">
        <v>7339</v>
      </c>
      <c r="C1390" s="7" t="s">
        <v>7340</v>
      </c>
      <c r="D1390" s="7" t="s">
        <v>7341</v>
      </c>
      <c r="E1390" s="7" t="s">
        <v>7342</v>
      </c>
      <c r="F1390" s="7" t="s">
        <v>7343</v>
      </c>
      <c r="G1390" s="7"/>
      <c r="H1390" s="46" t="s">
        <v>249</v>
      </c>
      <c r="I1390" s="7" t="s">
        <v>160</v>
      </c>
      <c r="J1390" s="7" t="s">
        <v>148</v>
      </c>
      <c r="K1390" s="7"/>
      <c r="L1390" s="7"/>
      <c r="M1390" s="7"/>
    </row>
    <row r="1391" ht="15.75" customHeight="1">
      <c r="A1391" s="7" t="s">
        <v>7344</v>
      </c>
      <c r="B1391" s="45" t="s">
        <v>7345</v>
      </c>
      <c r="C1391" s="7" t="s">
        <v>7346</v>
      </c>
      <c r="D1391" s="7" t="s">
        <v>7347</v>
      </c>
      <c r="E1391" s="7" t="s">
        <v>7348</v>
      </c>
      <c r="F1391" s="7" t="s">
        <v>7349</v>
      </c>
      <c r="G1391" s="7"/>
      <c r="H1391" s="46" t="s">
        <v>249</v>
      </c>
      <c r="I1391" s="7" t="s">
        <v>160</v>
      </c>
      <c r="J1391" s="7" t="s">
        <v>148</v>
      </c>
      <c r="K1391" s="7"/>
      <c r="L1391" s="7"/>
      <c r="M1391" s="7"/>
    </row>
    <row r="1392" ht="15.75" customHeight="1">
      <c r="A1392" s="7" t="s">
        <v>7350</v>
      </c>
      <c r="B1392" s="45" t="s">
        <v>7351</v>
      </c>
      <c r="C1392" s="7" t="s">
        <v>7352</v>
      </c>
      <c r="D1392" s="7" t="s">
        <v>7353</v>
      </c>
      <c r="E1392" s="7" t="s">
        <v>7354</v>
      </c>
      <c r="F1392" s="7" t="s">
        <v>7355</v>
      </c>
      <c r="G1392" s="7"/>
      <c r="H1392" s="46" t="s">
        <v>249</v>
      </c>
      <c r="I1392" s="7" t="s">
        <v>160</v>
      </c>
      <c r="J1392" s="7" t="s">
        <v>148</v>
      </c>
      <c r="K1392" s="7"/>
      <c r="L1392" s="7"/>
      <c r="M1392" s="7"/>
    </row>
    <row r="1393" ht="15.75" customHeight="1">
      <c r="A1393" s="7" t="s">
        <v>7356</v>
      </c>
      <c r="B1393" s="45" t="s">
        <v>7357</v>
      </c>
      <c r="C1393" s="7" t="s">
        <v>7352</v>
      </c>
      <c r="D1393" s="7" t="s">
        <v>7358</v>
      </c>
      <c r="E1393" s="7" t="s">
        <v>7359</v>
      </c>
      <c r="F1393" s="7" t="s">
        <v>7355</v>
      </c>
      <c r="G1393" s="7"/>
      <c r="H1393" s="46" t="s">
        <v>249</v>
      </c>
      <c r="I1393" s="7" t="s">
        <v>160</v>
      </c>
      <c r="J1393" s="7" t="s">
        <v>148</v>
      </c>
      <c r="K1393" s="7"/>
      <c r="L1393" s="7"/>
      <c r="M1393" s="7"/>
    </row>
    <row r="1394" ht="15.75" customHeight="1">
      <c r="A1394" s="7" t="s">
        <v>7360</v>
      </c>
      <c r="B1394" s="45" t="s">
        <v>7361</v>
      </c>
      <c r="C1394" s="7" t="s">
        <v>7362</v>
      </c>
      <c r="D1394" s="7" t="s">
        <v>7363</v>
      </c>
      <c r="E1394" s="7" t="s">
        <v>7364</v>
      </c>
      <c r="F1394" s="7" t="s">
        <v>7365</v>
      </c>
      <c r="G1394" s="7"/>
      <c r="H1394" s="46" t="s">
        <v>249</v>
      </c>
      <c r="I1394" s="7" t="s">
        <v>160</v>
      </c>
      <c r="J1394" s="7" t="s">
        <v>148</v>
      </c>
      <c r="K1394" s="7"/>
      <c r="L1394" s="7"/>
      <c r="M1394" s="7"/>
    </row>
    <row r="1395" ht="15.75" customHeight="1">
      <c r="A1395" s="7" t="s">
        <v>7366</v>
      </c>
      <c r="B1395" s="45" t="s">
        <v>7367</v>
      </c>
      <c r="C1395" s="7" t="s">
        <v>7368</v>
      </c>
      <c r="D1395" s="7" t="s">
        <v>7369</v>
      </c>
      <c r="E1395" s="7" t="s">
        <v>7370</v>
      </c>
      <c r="F1395" s="7" t="s">
        <v>7371</v>
      </c>
      <c r="G1395" s="7"/>
      <c r="H1395" s="46" t="s">
        <v>249</v>
      </c>
      <c r="I1395" s="7" t="s">
        <v>160</v>
      </c>
      <c r="J1395" s="7" t="s">
        <v>148</v>
      </c>
      <c r="K1395" s="7"/>
      <c r="L1395" s="7"/>
      <c r="M1395" s="7"/>
    </row>
    <row r="1396" ht="15.75" customHeight="1">
      <c r="A1396" s="7" t="s">
        <v>7372</v>
      </c>
      <c r="B1396" s="45" t="s">
        <v>7373</v>
      </c>
      <c r="C1396" s="7" t="s">
        <v>7374</v>
      </c>
      <c r="D1396" s="7" t="s">
        <v>7375</v>
      </c>
      <c r="E1396" s="7" t="s">
        <v>7376</v>
      </c>
      <c r="F1396" s="7" t="s">
        <v>7371</v>
      </c>
      <c r="G1396" s="7"/>
      <c r="H1396" s="46" t="s">
        <v>249</v>
      </c>
      <c r="I1396" s="7" t="s">
        <v>160</v>
      </c>
      <c r="J1396" s="7" t="s">
        <v>148</v>
      </c>
      <c r="K1396" s="7"/>
      <c r="L1396" s="7"/>
      <c r="M1396" s="7"/>
    </row>
    <row r="1397" ht="15.75" customHeight="1">
      <c r="A1397" s="7" t="s">
        <v>7377</v>
      </c>
      <c r="B1397" s="45" t="s">
        <v>7378</v>
      </c>
      <c r="C1397" s="7" t="s">
        <v>7374</v>
      </c>
      <c r="D1397" s="7" t="s">
        <v>7369</v>
      </c>
      <c r="E1397" s="7" t="s">
        <v>7376</v>
      </c>
      <c r="F1397" s="7" t="s">
        <v>7365</v>
      </c>
      <c r="G1397" s="7"/>
      <c r="H1397" s="46" t="s">
        <v>249</v>
      </c>
      <c r="I1397" s="7" t="s">
        <v>160</v>
      </c>
      <c r="J1397" s="7" t="s">
        <v>148</v>
      </c>
      <c r="K1397" s="7"/>
      <c r="L1397" s="7"/>
      <c r="M1397" s="7"/>
    </row>
    <row r="1398" ht="15.75" customHeight="1">
      <c r="A1398" s="7" t="s">
        <v>7379</v>
      </c>
      <c r="B1398" s="45" t="s">
        <v>7380</v>
      </c>
      <c r="C1398" s="7" t="s">
        <v>7381</v>
      </c>
      <c r="D1398" s="7" t="s">
        <v>7382</v>
      </c>
      <c r="E1398" s="7" t="s">
        <v>7383</v>
      </c>
      <c r="F1398" s="7" t="s">
        <v>7384</v>
      </c>
      <c r="G1398" s="7"/>
      <c r="H1398" s="46" t="s">
        <v>249</v>
      </c>
      <c r="I1398" s="7" t="s">
        <v>160</v>
      </c>
      <c r="J1398" s="7" t="s">
        <v>148</v>
      </c>
      <c r="K1398" s="7"/>
      <c r="L1398" s="7"/>
      <c r="M1398" s="7"/>
    </row>
    <row r="1399" ht="15.75" customHeight="1">
      <c r="A1399" s="7" t="s">
        <v>7385</v>
      </c>
      <c r="B1399" s="45" t="s">
        <v>7386</v>
      </c>
      <c r="C1399" s="7" t="s">
        <v>7387</v>
      </c>
      <c r="D1399" s="7" t="s">
        <v>7388</v>
      </c>
      <c r="E1399" s="7" t="s">
        <v>7389</v>
      </c>
      <c r="F1399" s="7" t="s">
        <v>7390</v>
      </c>
      <c r="G1399" s="7"/>
      <c r="H1399" s="46" t="s">
        <v>249</v>
      </c>
      <c r="I1399" s="7" t="s">
        <v>160</v>
      </c>
      <c r="J1399" s="7" t="s">
        <v>148</v>
      </c>
      <c r="K1399" s="7"/>
      <c r="L1399" s="7"/>
      <c r="M1399" s="7"/>
    </row>
    <row r="1400" ht="15.75" customHeight="1">
      <c r="A1400" s="7" t="s">
        <v>7391</v>
      </c>
      <c r="B1400" s="45" t="s">
        <v>7392</v>
      </c>
      <c r="C1400" s="7" t="s">
        <v>7393</v>
      </c>
      <c r="D1400" s="7" t="s">
        <v>7394</v>
      </c>
      <c r="E1400" s="7" t="s">
        <v>7395</v>
      </c>
      <c r="F1400" s="7" t="s">
        <v>4484</v>
      </c>
      <c r="G1400" s="7"/>
      <c r="H1400" s="46" t="s">
        <v>249</v>
      </c>
      <c r="I1400" s="7" t="s">
        <v>160</v>
      </c>
      <c r="J1400" s="7" t="s">
        <v>148</v>
      </c>
      <c r="K1400" s="7"/>
      <c r="L1400" s="7"/>
      <c r="M1400" s="7"/>
    </row>
    <row r="1401" ht="15.75" customHeight="1">
      <c r="A1401" s="7" t="s">
        <v>7396</v>
      </c>
      <c r="B1401" s="45" t="s">
        <v>7397</v>
      </c>
      <c r="C1401" s="7" t="s">
        <v>7398</v>
      </c>
      <c r="D1401" s="7" t="s">
        <v>7399</v>
      </c>
      <c r="E1401" s="7" t="s">
        <v>7400</v>
      </c>
      <c r="F1401" s="7" t="s">
        <v>7401</v>
      </c>
      <c r="G1401" s="7"/>
      <c r="H1401" s="46" t="s">
        <v>249</v>
      </c>
      <c r="I1401" s="7" t="s">
        <v>160</v>
      </c>
      <c r="J1401" s="7" t="s">
        <v>148</v>
      </c>
      <c r="K1401" s="7"/>
      <c r="L1401" s="7"/>
      <c r="M1401" s="7"/>
    </row>
    <row r="1402" ht="15.75" customHeight="1">
      <c r="A1402" s="7" t="s">
        <v>7402</v>
      </c>
      <c r="B1402" s="45" t="s">
        <v>7403</v>
      </c>
      <c r="C1402" s="7" t="s">
        <v>7393</v>
      </c>
      <c r="D1402" s="7" t="s">
        <v>4482</v>
      </c>
      <c r="E1402" s="7" t="s">
        <v>7404</v>
      </c>
      <c r="F1402" s="7" t="s">
        <v>4484</v>
      </c>
      <c r="G1402" s="7"/>
      <c r="H1402" s="46" t="s">
        <v>249</v>
      </c>
      <c r="I1402" s="7" t="s">
        <v>160</v>
      </c>
      <c r="J1402" s="7" t="s">
        <v>148</v>
      </c>
      <c r="K1402" s="7"/>
      <c r="L1402" s="7"/>
      <c r="M1402" s="7"/>
    </row>
    <row r="1403" ht="15.75" customHeight="1">
      <c r="A1403" s="7" t="s">
        <v>7405</v>
      </c>
      <c r="B1403" s="45" t="s">
        <v>7406</v>
      </c>
      <c r="C1403" s="7" t="s">
        <v>7407</v>
      </c>
      <c r="D1403" s="7" t="s">
        <v>7408</v>
      </c>
      <c r="E1403" s="7" t="s">
        <v>7409</v>
      </c>
      <c r="F1403" s="7" t="s">
        <v>7410</v>
      </c>
      <c r="G1403" s="7"/>
      <c r="H1403" s="46" t="s">
        <v>249</v>
      </c>
      <c r="I1403" s="7" t="s">
        <v>160</v>
      </c>
      <c r="J1403" s="7" t="s">
        <v>148</v>
      </c>
      <c r="K1403" s="7"/>
      <c r="L1403" s="7"/>
      <c r="M1403" s="7"/>
    </row>
    <row r="1404" ht="15.75" customHeight="1">
      <c r="A1404" s="7" t="s">
        <v>7411</v>
      </c>
      <c r="B1404" s="45" t="s">
        <v>7412</v>
      </c>
      <c r="C1404" s="7" t="s">
        <v>7413</v>
      </c>
      <c r="D1404" s="7" t="s">
        <v>7414</v>
      </c>
      <c r="E1404" s="7" t="s">
        <v>1933</v>
      </c>
      <c r="F1404" s="7" t="s">
        <v>1934</v>
      </c>
      <c r="G1404" s="7"/>
      <c r="H1404" s="46" t="s">
        <v>249</v>
      </c>
      <c r="I1404" s="7" t="s">
        <v>160</v>
      </c>
      <c r="J1404" s="7" t="s">
        <v>148</v>
      </c>
      <c r="K1404" s="7"/>
      <c r="L1404" s="7"/>
      <c r="M1404" s="7"/>
    </row>
    <row r="1405" ht="15.75" customHeight="1">
      <c r="A1405" s="7" t="s">
        <v>7415</v>
      </c>
      <c r="B1405" s="45" t="s">
        <v>7416</v>
      </c>
      <c r="C1405" s="7" t="s">
        <v>1931</v>
      </c>
      <c r="D1405" s="7" t="s">
        <v>7417</v>
      </c>
      <c r="E1405" s="7" t="s">
        <v>1933</v>
      </c>
      <c r="F1405" s="7" t="s">
        <v>1934</v>
      </c>
      <c r="G1405" s="7"/>
      <c r="H1405" s="46" t="s">
        <v>249</v>
      </c>
      <c r="I1405" s="7" t="s">
        <v>160</v>
      </c>
      <c r="J1405" s="7" t="s">
        <v>148</v>
      </c>
      <c r="K1405" s="7"/>
      <c r="L1405" s="7"/>
      <c r="M1405" s="7"/>
    </row>
    <row r="1406" ht="15.75" customHeight="1">
      <c r="A1406" s="7" t="s">
        <v>7418</v>
      </c>
      <c r="B1406" s="45" t="s">
        <v>7419</v>
      </c>
      <c r="C1406" s="7" t="s">
        <v>7420</v>
      </c>
      <c r="D1406" s="7" t="s">
        <v>7421</v>
      </c>
      <c r="E1406" s="7" t="s">
        <v>7422</v>
      </c>
      <c r="F1406" s="7" t="s">
        <v>7423</v>
      </c>
      <c r="G1406" s="7"/>
      <c r="H1406" s="46" t="s">
        <v>249</v>
      </c>
      <c r="I1406" s="7" t="s">
        <v>160</v>
      </c>
      <c r="J1406" s="7" t="s">
        <v>148</v>
      </c>
      <c r="K1406" s="7"/>
      <c r="L1406" s="7"/>
      <c r="M1406" s="7"/>
    </row>
    <row r="1407" ht="15.75" customHeight="1">
      <c r="A1407" s="7" t="s">
        <v>7424</v>
      </c>
      <c r="B1407" s="45" t="s">
        <v>7425</v>
      </c>
      <c r="C1407" s="7" t="s">
        <v>7426</v>
      </c>
      <c r="D1407" s="7" t="s">
        <v>7427</v>
      </c>
      <c r="E1407" s="7" t="s">
        <v>7428</v>
      </c>
      <c r="F1407" s="7" t="s">
        <v>7429</v>
      </c>
      <c r="G1407" s="7"/>
      <c r="H1407" s="46" t="s">
        <v>249</v>
      </c>
      <c r="I1407" s="7" t="s">
        <v>160</v>
      </c>
      <c r="J1407" s="7" t="s">
        <v>148</v>
      </c>
      <c r="K1407" s="7"/>
      <c r="L1407" s="7"/>
      <c r="M1407" s="7"/>
    </row>
    <row r="1408" ht="15.75" customHeight="1">
      <c r="A1408" s="7" t="s">
        <v>7430</v>
      </c>
      <c r="B1408" s="45" t="s">
        <v>7431</v>
      </c>
      <c r="C1408" s="7" t="s">
        <v>7432</v>
      </c>
      <c r="D1408" s="7" t="s">
        <v>7433</v>
      </c>
      <c r="E1408" s="7" t="s">
        <v>7434</v>
      </c>
      <c r="F1408" s="7" t="s">
        <v>7435</v>
      </c>
      <c r="G1408" s="7"/>
      <c r="H1408" s="46" t="s">
        <v>249</v>
      </c>
      <c r="I1408" s="7" t="s">
        <v>160</v>
      </c>
      <c r="J1408" s="7" t="s">
        <v>148</v>
      </c>
      <c r="K1408" s="7"/>
      <c r="L1408" s="7"/>
      <c r="M1408" s="7"/>
    </row>
    <row r="1409" ht="15.75" customHeight="1">
      <c r="A1409" s="7" t="s">
        <v>7436</v>
      </c>
      <c r="B1409" s="45" t="s">
        <v>7437</v>
      </c>
      <c r="C1409" s="7" t="s">
        <v>7438</v>
      </c>
      <c r="D1409" s="7" t="s">
        <v>7439</v>
      </c>
      <c r="E1409" s="7" t="s">
        <v>7440</v>
      </c>
      <c r="F1409" s="7" t="s">
        <v>7441</v>
      </c>
      <c r="G1409" s="7"/>
      <c r="H1409" s="46" t="s">
        <v>249</v>
      </c>
      <c r="I1409" s="7" t="s">
        <v>160</v>
      </c>
      <c r="J1409" s="7" t="s">
        <v>148</v>
      </c>
      <c r="K1409" s="7"/>
      <c r="L1409" s="7"/>
      <c r="M1409" s="7"/>
    </row>
    <row r="1410" ht="15.75" customHeight="1">
      <c r="A1410" s="7" t="s">
        <v>7442</v>
      </c>
      <c r="B1410" s="45" t="s">
        <v>7443</v>
      </c>
      <c r="C1410" s="7" t="s">
        <v>7444</v>
      </c>
      <c r="D1410" s="7" t="s">
        <v>7445</v>
      </c>
      <c r="E1410" s="7" t="s">
        <v>7289</v>
      </c>
      <c r="F1410" s="7" t="s">
        <v>7290</v>
      </c>
      <c r="G1410" s="7"/>
      <c r="H1410" s="46" t="s">
        <v>249</v>
      </c>
      <c r="I1410" s="7" t="s">
        <v>160</v>
      </c>
      <c r="J1410" s="7" t="s">
        <v>148</v>
      </c>
      <c r="K1410" s="7"/>
      <c r="L1410" s="7"/>
      <c r="M1410" s="7"/>
    </row>
    <row r="1411" ht="15.75" customHeight="1">
      <c r="A1411" s="7" t="s">
        <v>7446</v>
      </c>
      <c r="B1411" s="45" t="s">
        <v>7447</v>
      </c>
      <c r="C1411" s="7" t="s">
        <v>7448</v>
      </c>
      <c r="D1411" s="7" t="s">
        <v>7449</v>
      </c>
      <c r="E1411" s="7" t="s">
        <v>7450</v>
      </c>
      <c r="F1411" s="7" t="s">
        <v>7451</v>
      </c>
      <c r="G1411" s="7"/>
      <c r="H1411" s="46" t="s">
        <v>249</v>
      </c>
      <c r="I1411" s="7" t="s">
        <v>160</v>
      </c>
      <c r="J1411" s="7" t="s">
        <v>148</v>
      </c>
      <c r="K1411" s="7"/>
      <c r="L1411" s="7"/>
      <c r="M1411" s="7"/>
    </row>
    <row r="1412" ht="15.75" customHeight="1">
      <c r="A1412" s="7" t="s">
        <v>7452</v>
      </c>
      <c r="B1412" s="45" t="s">
        <v>7453</v>
      </c>
      <c r="C1412" s="7" t="s">
        <v>7454</v>
      </c>
      <c r="D1412" s="7" t="s">
        <v>7455</v>
      </c>
      <c r="E1412" s="7" t="s">
        <v>7456</v>
      </c>
      <c r="F1412" s="7" t="s">
        <v>7457</v>
      </c>
      <c r="G1412" s="7"/>
      <c r="H1412" s="46" t="s">
        <v>249</v>
      </c>
      <c r="I1412" s="7" t="s">
        <v>160</v>
      </c>
      <c r="J1412" s="7" t="s">
        <v>148</v>
      </c>
      <c r="K1412" s="7"/>
      <c r="L1412" s="7"/>
      <c r="M1412" s="7"/>
    </row>
    <row r="1413" ht="15.75" customHeight="1">
      <c r="A1413" s="7" t="s">
        <v>7458</v>
      </c>
      <c r="B1413" s="45" t="s">
        <v>7459</v>
      </c>
      <c r="C1413" s="7" t="s">
        <v>7460</v>
      </c>
      <c r="D1413" s="7" t="s">
        <v>7461</v>
      </c>
      <c r="E1413" s="7" t="s">
        <v>7462</v>
      </c>
      <c r="F1413" s="7" t="s">
        <v>7463</v>
      </c>
      <c r="G1413" s="7"/>
      <c r="H1413" s="46" t="s">
        <v>249</v>
      </c>
      <c r="I1413" s="7" t="s">
        <v>160</v>
      </c>
      <c r="J1413" s="7" t="s">
        <v>148</v>
      </c>
      <c r="K1413" s="7"/>
      <c r="L1413" s="7"/>
      <c r="M1413" s="7"/>
    </row>
    <row r="1414" ht="15.75" customHeight="1">
      <c r="A1414" s="7" t="s">
        <v>7464</v>
      </c>
      <c r="B1414" s="45" t="s">
        <v>7465</v>
      </c>
      <c r="C1414" s="7" t="s">
        <v>7466</v>
      </c>
      <c r="D1414" s="7" t="s">
        <v>7467</v>
      </c>
      <c r="E1414" s="7" t="s">
        <v>7468</v>
      </c>
      <c r="F1414" s="7" t="s">
        <v>7355</v>
      </c>
      <c r="G1414" s="7"/>
      <c r="H1414" s="46" t="s">
        <v>249</v>
      </c>
      <c r="I1414" s="7" t="s">
        <v>160</v>
      </c>
      <c r="J1414" s="7" t="s">
        <v>148</v>
      </c>
      <c r="K1414" s="7"/>
      <c r="L1414" s="7"/>
      <c r="M1414" s="7"/>
    </row>
    <row r="1415" ht="15.75" customHeight="1">
      <c r="A1415" s="7" t="s">
        <v>7469</v>
      </c>
      <c r="B1415" s="45" t="s">
        <v>7470</v>
      </c>
      <c r="C1415" s="7" t="s">
        <v>7471</v>
      </c>
      <c r="D1415" s="7" t="s">
        <v>7472</v>
      </c>
      <c r="E1415" s="7" t="s">
        <v>7473</v>
      </c>
      <c r="F1415" s="7" t="s">
        <v>7474</v>
      </c>
      <c r="G1415" s="7"/>
      <c r="H1415" s="46" t="s">
        <v>249</v>
      </c>
      <c r="I1415" s="7" t="s">
        <v>160</v>
      </c>
      <c r="J1415" s="7" t="s">
        <v>148</v>
      </c>
      <c r="K1415" s="7"/>
      <c r="L1415" s="7"/>
      <c r="M1415" s="7"/>
    </row>
    <row r="1416" ht="15.75" customHeight="1">
      <c r="A1416" s="7" t="s">
        <v>7475</v>
      </c>
      <c r="B1416" s="45" t="s">
        <v>7476</v>
      </c>
      <c r="C1416" s="7" t="s">
        <v>7477</v>
      </c>
      <c r="D1416" s="7" t="s">
        <v>7478</v>
      </c>
      <c r="E1416" s="7" t="s">
        <v>7479</v>
      </c>
      <c r="F1416" s="7" t="s">
        <v>7480</v>
      </c>
      <c r="G1416" s="7"/>
      <c r="H1416" s="46" t="s">
        <v>249</v>
      </c>
      <c r="I1416" s="7" t="s">
        <v>160</v>
      </c>
      <c r="J1416" s="7" t="s">
        <v>148</v>
      </c>
      <c r="K1416" s="7"/>
      <c r="L1416" s="7"/>
      <c r="M1416" s="7"/>
    </row>
    <row r="1417" ht="15.75" customHeight="1">
      <c r="A1417" s="7" t="s">
        <v>7481</v>
      </c>
      <c r="B1417" s="45" t="s">
        <v>7482</v>
      </c>
      <c r="C1417" s="7" t="s">
        <v>7483</v>
      </c>
      <c r="D1417" s="7" t="s">
        <v>7484</v>
      </c>
      <c r="E1417" s="7" t="s">
        <v>7485</v>
      </c>
      <c r="F1417" s="7" t="s">
        <v>6992</v>
      </c>
      <c r="G1417" s="7" t="s">
        <v>7486</v>
      </c>
      <c r="H1417" s="46" t="s">
        <v>249</v>
      </c>
      <c r="I1417" s="7" t="s">
        <v>160</v>
      </c>
      <c r="J1417" s="7" t="s">
        <v>148</v>
      </c>
      <c r="K1417" s="7"/>
      <c r="L1417" s="7"/>
      <c r="M1417" s="7"/>
    </row>
    <row r="1418" ht="15.75" customHeight="1">
      <c r="A1418" s="7" t="s">
        <v>7487</v>
      </c>
      <c r="B1418" s="45" t="s">
        <v>7488</v>
      </c>
      <c r="C1418" s="7" t="s">
        <v>7489</v>
      </c>
      <c r="D1418" s="7" t="s">
        <v>7490</v>
      </c>
      <c r="E1418" s="7" t="s">
        <v>7491</v>
      </c>
      <c r="F1418" s="7" t="s">
        <v>7492</v>
      </c>
      <c r="G1418" s="7"/>
      <c r="H1418" s="46" t="s">
        <v>249</v>
      </c>
      <c r="I1418" s="7" t="s">
        <v>160</v>
      </c>
      <c r="J1418" s="7" t="s">
        <v>148</v>
      </c>
      <c r="K1418" s="7"/>
      <c r="L1418" s="7"/>
      <c r="M1418" s="7"/>
    </row>
    <row r="1419" ht="15.75" customHeight="1">
      <c r="A1419" s="7" t="s">
        <v>7493</v>
      </c>
      <c r="B1419" s="45" t="s">
        <v>7494</v>
      </c>
      <c r="C1419" s="7" t="s">
        <v>7495</v>
      </c>
      <c r="D1419" s="7" t="s">
        <v>7496</v>
      </c>
      <c r="E1419" s="7" t="s">
        <v>7497</v>
      </c>
      <c r="F1419" s="7" t="s">
        <v>7498</v>
      </c>
      <c r="G1419" s="7"/>
      <c r="H1419" s="46" t="s">
        <v>249</v>
      </c>
      <c r="I1419" s="7" t="s">
        <v>160</v>
      </c>
      <c r="J1419" s="7" t="s">
        <v>148</v>
      </c>
      <c r="K1419" s="7"/>
      <c r="L1419" s="7"/>
      <c r="M1419" s="7"/>
    </row>
    <row r="1420" ht="15.75" customHeight="1">
      <c r="A1420" s="7" t="s">
        <v>7499</v>
      </c>
      <c r="B1420" s="45" t="s">
        <v>7500</v>
      </c>
      <c r="C1420" s="7" t="s">
        <v>1852</v>
      </c>
      <c r="D1420" s="7" t="s">
        <v>7501</v>
      </c>
      <c r="E1420" s="7" t="s">
        <v>7497</v>
      </c>
      <c r="F1420" s="7" t="s">
        <v>7498</v>
      </c>
      <c r="G1420" s="7"/>
      <c r="H1420" s="46" t="s">
        <v>249</v>
      </c>
      <c r="I1420" s="7" t="s">
        <v>160</v>
      </c>
      <c r="J1420" s="7" t="s">
        <v>148</v>
      </c>
      <c r="K1420" s="7"/>
      <c r="L1420" s="7"/>
      <c r="M1420" s="7"/>
    </row>
    <row r="1421" ht="15.75" customHeight="1">
      <c r="A1421" s="7" t="s">
        <v>7502</v>
      </c>
      <c r="B1421" s="45" t="s">
        <v>7503</v>
      </c>
      <c r="C1421" s="7" t="s">
        <v>7504</v>
      </c>
      <c r="D1421" s="7" t="s">
        <v>7505</v>
      </c>
      <c r="E1421" s="7" t="s">
        <v>7506</v>
      </c>
      <c r="F1421" s="7" t="s">
        <v>7507</v>
      </c>
      <c r="G1421" s="7"/>
      <c r="H1421" s="46" t="s">
        <v>249</v>
      </c>
      <c r="I1421" s="7" t="s">
        <v>160</v>
      </c>
      <c r="J1421" s="7" t="s">
        <v>148</v>
      </c>
      <c r="K1421" s="7"/>
      <c r="L1421" s="7"/>
      <c r="M1421" s="7"/>
    </row>
    <row r="1422" ht="15.75" customHeight="1">
      <c r="A1422" s="7" t="s">
        <v>7508</v>
      </c>
      <c r="B1422" s="45" t="s">
        <v>7509</v>
      </c>
      <c r="C1422" s="7" t="s">
        <v>7510</v>
      </c>
      <c r="D1422" s="7" t="s">
        <v>7511</v>
      </c>
      <c r="E1422" s="7" t="s">
        <v>7512</v>
      </c>
      <c r="F1422" s="7" t="s">
        <v>7513</v>
      </c>
      <c r="G1422" s="7"/>
      <c r="H1422" s="46" t="s">
        <v>249</v>
      </c>
      <c r="I1422" s="7" t="s">
        <v>160</v>
      </c>
      <c r="J1422" s="7" t="s">
        <v>148</v>
      </c>
      <c r="K1422" s="7"/>
      <c r="L1422" s="7"/>
      <c r="M1422" s="7"/>
    </row>
    <row r="1423" ht="15.75" customHeight="1">
      <c r="A1423" s="7" t="s">
        <v>7514</v>
      </c>
      <c r="B1423" s="45" t="s">
        <v>7515</v>
      </c>
      <c r="C1423" s="7" t="s">
        <v>7510</v>
      </c>
      <c r="D1423" s="7" t="s">
        <v>7516</v>
      </c>
      <c r="E1423" s="7" t="s">
        <v>7512</v>
      </c>
      <c r="F1423" s="7" t="s">
        <v>7513</v>
      </c>
      <c r="G1423" s="7" t="s">
        <v>7517</v>
      </c>
      <c r="H1423" s="46" t="s">
        <v>249</v>
      </c>
      <c r="I1423" s="7" t="s">
        <v>160</v>
      </c>
      <c r="J1423" s="7" t="s">
        <v>148</v>
      </c>
      <c r="K1423" s="7"/>
      <c r="L1423" s="7"/>
      <c r="M1423" s="7"/>
    </row>
    <row r="1424" ht="15.75" customHeight="1">
      <c r="A1424" s="7" t="s">
        <v>7518</v>
      </c>
      <c r="B1424" s="45" t="s">
        <v>7519</v>
      </c>
      <c r="C1424" s="7" t="s">
        <v>7510</v>
      </c>
      <c r="D1424" s="7" t="s">
        <v>7520</v>
      </c>
      <c r="E1424" s="7" t="s">
        <v>7512</v>
      </c>
      <c r="F1424" s="7" t="s">
        <v>7513</v>
      </c>
      <c r="G1424" s="7"/>
      <c r="H1424" s="46" t="s">
        <v>249</v>
      </c>
      <c r="I1424" s="7" t="s">
        <v>160</v>
      </c>
      <c r="J1424" s="7" t="s">
        <v>148</v>
      </c>
      <c r="K1424" s="7"/>
      <c r="L1424" s="7"/>
      <c r="M1424" s="7"/>
    </row>
    <row r="1425" ht="15.75" customHeight="1">
      <c r="A1425" s="7" t="s">
        <v>7521</v>
      </c>
      <c r="B1425" s="45" t="s">
        <v>7522</v>
      </c>
      <c r="C1425" s="7" t="s">
        <v>7510</v>
      </c>
      <c r="D1425" s="7" t="s">
        <v>7523</v>
      </c>
      <c r="E1425" s="7" t="s">
        <v>7524</v>
      </c>
      <c r="F1425" s="7" t="s">
        <v>7513</v>
      </c>
      <c r="G1425" s="7"/>
      <c r="H1425" s="46" t="s">
        <v>249</v>
      </c>
      <c r="I1425" s="7" t="s">
        <v>160</v>
      </c>
      <c r="J1425" s="7" t="s">
        <v>148</v>
      </c>
      <c r="K1425" s="7"/>
      <c r="L1425" s="7"/>
      <c r="M1425" s="7"/>
    </row>
    <row r="1426" ht="15.75" customHeight="1">
      <c r="A1426" s="7" t="s">
        <v>7525</v>
      </c>
      <c r="B1426" s="45" t="s">
        <v>7526</v>
      </c>
      <c r="C1426" s="7" t="s">
        <v>914</v>
      </c>
      <c r="D1426" s="7" t="s">
        <v>7527</v>
      </c>
      <c r="E1426" s="7" t="s">
        <v>7528</v>
      </c>
      <c r="F1426" s="7" t="s">
        <v>917</v>
      </c>
      <c r="G1426" s="7"/>
      <c r="H1426" s="46" t="s">
        <v>249</v>
      </c>
      <c r="I1426" s="7" t="s">
        <v>160</v>
      </c>
      <c r="J1426" s="7" t="s">
        <v>148</v>
      </c>
      <c r="K1426" s="7"/>
      <c r="L1426" s="7"/>
      <c r="M1426" s="7"/>
    </row>
    <row r="1427" ht="15.75" customHeight="1">
      <c r="A1427" s="7" t="s">
        <v>7529</v>
      </c>
      <c r="B1427" s="45" t="s">
        <v>7530</v>
      </c>
      <c r="C1427" s="7" t="s">
        <v>914</v>
      </c>
      <c r="D1427" s="7" t="s">
        <v>7531</v>
      </c>
      <c r="E1427" s="7" t="s">
        <v>7532</v>
      </c>
      <c r="F1427" s="7" t="s">
        <v>917</v>
      </c>
      <c r="G1427" s="7"/>
      <c r="H1427" s="46" t="s">
        <v>249</v>
      </c>
      <c r="I1427" s="7" t="s">
        <v>160</v>
      </c>
      <c r="J1427" s="7" t="s">
        <v>148</v>
      </c>
      <c r="K1427" s="7"/>
      <c r="L1427" s="7"/>
      <c r="M1427" s="7"/>
    </row>
    <row r="1428" ht="15.75" customHeight="1">
      <c r="A1428" s="7" t="s">
        <v>7533</v>
      </c>
      <c r="B1428" s="45" t="s">
        <v>7534</v>
      </c>
      <c r="C1428" s="7" t="s">
        <v>7535</v>
      </c>
      <c r="D1428" s="7" t="s">
        <v>7536</v>
      </c>
      <c r="E1428" s="7" t="s">
        <v>7537</v>
      </c>
      <c r="F1428" s="7" t="s">
        <v>7538</v>
      </c>
      <c r="G1428" s="7"/>
      <c r="H1428" s="46" t="s">
        <v>249</v>
      </c>
      <c r="I1428" s="7" t="s">
        <v>160</v>
      </c>
      <c r="J1428" s="7" t="s">
        <v>148</v>
      </c>
      <c r="K1428" s="7"/>
      <c r="L1428" s="7"/>
      <c r="M1428" s="7"/>
    </row>
    <row r="1429" ht="15.75" customHeight="1">
      <c r="A1429" s="7" t="s">
        <v>7539</v>
      </c>
      <c r="B1429" s="45" t="s">
        <v>7540</v>
      </c>
      <c r="C1429" s="7" t="s">
        <v>7541</v>
      </c>
      <c r="D1429" s="7" t="s">
        <v>7542</v>
      </c>
      <c r="E1429" s="7" t="s">
        <v>7543</v>
      </c>
      <c r="F1429" s="7" t="s">
        <v>7544</v>
      </c>
      <c r="G1429" s="7" t="s">
        <v>7545</v>
      </c>
      <c r="H1429" s="46" t="s">
        <v>249</v>
      </c>
      <c r="I1429" s="7" t="s">
        <v>160</v>
      </c>
      <c r="J1429" s="7" t="s">
        <v>148</v>
      </c>
      <c r="K1429" s="7"/>
      <c r="L1429" s="7"/>
      <c r="M1429" s="7"/>
    </row>
    <row r="1430" ht="15.75" customHeight="1">
      <c r="A1430" s="7" t="s">
        <v>7546</v>
      </c>
      <c r="B1430" s="45" t="s">
        <v>7547</v>
      </c>
      <c r="C1430" s="7" t="s">
        <v>4498</v>
      </c>
      <c r="D1430" s="7" t="s">
        <v>7548</v>
      </c>
      <c r="E1430" s="7" t="s">
        <v>4500</v>
      </c>
      <c r="F1430" s="7" t="s">
        <v>7549</v>
      </c>
      <c r="G1430" s="7"/>
      <c r="H1430" s="46" t="s">
        <v>249</v>
      </c>
      <c r="I1430" s="7" t="s">
        <v>160</v>
      </c>
      <c r="J1430" s="7" t="s">
        <v>148</v>
      </c>
      <c r="K1430" s="7"/>
      <c r="L1430" s="7"/>
      <c r="M1430" s="7"/>
    </row>
    <row r="1431" ht="15.75" customHeight="1">
      <c r="A1431" s="7" t="s">
        <v>7550</v>
      </c>
      <c r="B1431" s="45" t="s">
        <v>7551</v>
      </c>
      <c r="C1431" s="7" t="s">
        <v>7552</v>
      </c>
      <c r="D1431" s="7" t="s">
        <v>7553</v>
      </c>
      <c r="E1431" s="7" t="s">
        <v>7554</v>
      </c>
      <c r="F1431" s="7" t="s">
        <v>7555</v>
      </c>
      <c r="G1431" s="7"/>
      <c r="H1431" s="46" t="s">
        <v>249</v>
      </c>
      <c r="I1431" s="7" t="s">
        <v>160</v>
      </c>
      <c r="J1431" s="7" t="s">
        <v>148</v>
      </c>
      <c r="K1431" s="7"/>
      <c r="L1431" s="7"/>
      <c r="M1431" s="7"/>
    </row>
    <row r="1432" ht="15.75" customHeight="1">
      <c r="A1432" s="7" t="s">
        <v>7556</v>
      </c>
      <c r="B1432" s="45" t="s">
        <v>7557</v>
      </c>
      <c r="C1432" s="7" t="s">
        <v>7558</v>
      </c>
      <c r="D1432" s="7" t="s">
        <v>7553</v>
      </c>
      <c r="E1432" s="7" t="s">
        <v>7554</v>
      </c>
      <c r="F1432" s="7" t="s">
        <v>7555</v>
      </c>
      <c r="G1432" s="7"/>
      <c r="H1432" s="46" t="s">
        <v>249</v>
      </c>
      <c r="I1432" s="7" t="s">
        <v>160</v>
      </c>
      <c r="J1432" s="7" t="s">
        <v>148</v>
      </c>
      <c r="K1432" s="7"/>
      <c r="L1432" s="7"/>
      <c r="M1432" s="7"/>
    </row>
    <row r="1433" ht="15.75" customHeight="1">
      <c r="A1433" s="7" t="s">
        <v>7559</v>
      </c>
      <c r="B1433" s="45" t="s">
        <v>7560</v>
      </c>
      <c r="C1433" s="7" t="s">
        <v>7561</v>
      </c>
      <c r="D1433" s="7" t="s">
        <v>7562</v>
      </c>
      <c r="E1433" s="7" t="s">
        <v>7563</v>
      </c>
      <c r="F1433" s="7" t="s">
        <v>7564</v>
      </c>
      <c r="G1433" s="7"/>
      <c r="H1433" s="46" t="s">
        <v>249</v>
      </c>
      <c r="I1433" s="7" t="s">
        <v>160</v>
      </c>
      <c r="J1433" s="7" t="s">
        <v>148</v>
      </c>
      <c r="K1433" s="7"/>
      <c r="L1433" s="7"/>
      <c r="M1433" s="7"/>
    </row>
    <row r="1434" ht="15.75" customHeight="1">
      <c r="A1434" s="7" t="s">
        <v>7565</v>
      </c>
      <c r="B1434" s="45" t="s">
        <v>7566</v>
      </c>
      <c r="C1434" s="7" t="s">
        <v>7567</v>
      </c>
      <c r="D1434" s="7" t="s">
        <v>7568</v>
      </c>
      <c r="E1434" s="7" t="s">
        <v>7569</v>
      </c>
      <c r="F1434" s="7" t="s">
        <v>7570</v>
      </c>
      <c r="G1434" s="7"/>
      <c r="H1434" s="46" t="s">
        <v>249</v>
      </c>
      <c r="I1434" s="7" t="s">
        <v>160</v>
      </c>
      <c r="J1434" s="7" t="s">
        <v>148</v>
      </c>
      <c r="K1434" s="7"/>
      <c r="L1434" s="7"/>
      <c r="M1434" s="7"/>
    </row>
    <row r="1435" ht="15.75" customHeight="1">
      <c r="A1435" s="7" t="s">
        <v>7571</v>
      </c>
      <c r="B1435" s="45" t="s">
        <v>7572</v>
      </c>
      <c r="C1435" s="7" t="s">
        <v>7573</v>
      </c>
      <c r="D1435" s="7" t="s">
        <v>7574</v>
      </c>
      <c r="E1435" s="7" t="s">
        <v>7575</v>
      </c>
      <c r="F1435" s="7" t="s">
        <v>7576</v>
      </c>
      <c r="G1435" s="7"/>
      <c r="H1435" s="46" t="s">
        <v>249</v>
      </c>
      <c r="I1435" s="7" t="s">
        <v>160</v>
      </c>
      <c r="J1435" s="7" t="s">
        <v>148</v>
      </c>
      <c r="K1435" s="7"/>
      <c r="L1435" s="7"/>
      <c r="M1435" s="7"/>
    </row>
    <row r="1436" ht="15.75" customHeight="1">
      <c r="A1436" s="7" t="s">
        <v>7577</v>
      </c>
      <c r="B1436" s="45" t="s">
        <v>7578</v>
      </c>
      <c r="C1436" s="7" t="s">
        <v>7573</v>
      </c>
      <c r="D1436" s="7" t="s">
        <v>7574</v>
      </c>
      <c r="E1436" s="7" t="s">
        <v>7575</v>
      </c>
      <c r="F1436" s="7" t="s">
        <v>7576</v>
      </c>
      <c r="G1436" s="7"/>
      <c r="H1436" s="46" t="s">
        <v>249</v>
      </c>
      <c r="I1436" s="7" t="s">
        <v>160</v>
      </c>
      <c r="J1436" s="7" t="s">
        <v>148</v>
      </c>
      <c r="K1436" s="7"/>
      <c r="L1436" s="7"/>
      <c r="M1436" s="7"/>
    </row>
    <row r="1437" ht="15.75" customHeight="1">
      <c r="A1437" s="7" t="s">
        <v>7579</v>
      </c>
      <c r="B1437" s="45" t="s">
        <v>7580</v>
      </c>
      <c r="C1437" s="7" t="s">
        <v>7581</v>
      </c>
      <c r="D1437" s="7" t="s">
        <v>7582</v>
      </c>
      <c r="E1437" s="7" t="s">
        <v>7583</v>
      </c>
      <c r="F1437" s="7" t="s">
        <v>1563</v>
      </c>
      <c r="G1437" s="7"/>
      <c r="H1437" s="46" t="s">
        <v>249</v>
      </c>
      <c r="I1437" s="7" t="s">
        <v>160</v>
      </c>
      <c r="J1437" s="7" t="s">
        <v>148</v>
      </c>
      <c r="K1437" s="7"/>
      <c r="L1437" s="7"/>
      <c r="M1437" s="7"/>
    </row>
    <row r="1438" ht="15.75" customHeight="1">
      <c r="A1438" s="7" t="s">
        <v>7584</v>
      </c>
      <c r="B1438" s="45" t="s">
        <v>7585</v>
      </c>
      <c r="C1438" s="7" t="s">
        <v>7586</v>
      </c>
      <c r="D1438" s="7" t="s">
        <v>7587</v>
      </c>
      <c r="E1438" s="7" t="s">
        <v>7588</v>
      </c>
      <c r="F1438" s="7" t="s">
        <v>7589</v>
      </c>
      <c r="G1438" s="7"/>
      <c r="H1438" s="46" t="s">
        <v>249</v>
      </c>
      <c r="I1438" s="7" t="s">
        <v>160</v>
      </c>
      <c r="J1438" s="7" t="s">
        <v>148</v>
      </c>
      <c r="K1438" s="7"/>
      <c r="L1438" s="7"/>
      <c r="M1438" s="7"/>
    </row>
    <row r="1439" ht="15.75" customHeight="1">
      <c r="A1439" s="7" t="s">
        <v>7590</v>
      </c>
      <c r="B1439" s="45" t="s">
        <v>7591</v>
      </c>
      <c r="C1439" s="7" t="s">
        <v>7592</v>
      </c>
      <c r="D1439" s="7" t="s">
        <v>7593</v>
      </c>
      <c r="E1439" s="7" t="s">
        <v>7594</v>
      </c>
      <c r="F1439" s="7" t="s">
        <v>7595</v>
      </c>
      <c r="G1439" s="7"/>
      <c r="H1439" s="46" t="s">
        <v>249</v>
      </c>
      <c r="I1439" s="7" t="s">
        <v>160</v>
      </c>
      <c r="J1439" s="7" t="s">
        <v>148</v>
      </c>
      <c r="K1439" s="7"/>
      <c r="L1439" s="7"/>
      <c r="M1439" s="7"/>
    </row>
    <row r="1440" ht="15.75" customHeight="1">
      <c r="A1440" s="7" t="s">
        <v>7596</v>
      </c>
      <c r="B1440" s="45" t="s">
        <v>7597</v>
      </c>
      <c r="C1440" s="7" t="s">
        <v>7598</v>
      </c>
      <c r="D1440" s="7" t="s">
        <v>7599</v>
      </c>
      <c r="E1440" s="7" t="s">
        <v>7600</v>
      </c>
      <c r="F1440" s="7" t="s">
        <v>7601</v>
      </c>
      <c r="G1440" s="7"/>
      <c r="H1440" s="46" t="s">
        <v>249</v>
      </c>
      <c r="I1440" s="7" t="s">
        <v>160</v>
      </c>
      <c r="J1440" s="7" t="s">
        <v>148</v>
      </c>
      <c r="K1440" s="7"/>
      <c r="L1440" s="7"/>
      <c r="M1440" s="7"/>
    </row>
    <row r="1441" ht="15.75" customHeight="1">
      <c r="A1441" s="7" t="s">
        <v>7602</v>
      </c>
      <c r="B1441" s="45" t="s">
        <v>7603</v>
      </c>
      <c r="C1441" s="7" t="s">
        <v>7604</v>
      </c>
      <c r="D1441" s="7" t="s">
        <v>7605</v>
      </c>
      <c r="E1441" s="7" t="s">
        <v>7606</v>
      </c>
      <c r="F1441" s="7" t="s">
        <v>7607</v>
      </c>
      <c r="G1441" s="7"/>
      <c r="H1441" s="46" t="s">
        <v>249</v>
      </c>
      <c r="I1441" s="7" t="s">
        <v>160</v>
      </c>
      <c r="J1441" s="7" t="s">
        <v>148</v>
      </c>
      <c r="K1441" s="7"/>
      <c r="L1441" s="7"/>
      <c r="M1441" s="7"/>
    </row>
    <row r="1442" ht="15.75" customHeight="1">
      <c r="A1442" s="7" t="s">
        <v>7608</v>
      </c>
      <c r="B1442" s="45" t="s">
        <v>7609</v>
      </c>
      <c r="C1442" s="7" t="s">
        <v>7610</v>
      </c>
      <c r="D1442" s="7" t="s">
        <v>7611</v>
      </c>
      <c r="E1442" s="7" t="s">
        <v>7612</v>
      </c>
      <c r="F1442" s="7" t="s">
        <v>7613</v>
      </c>
      <c r="G1442" s="7"/>
      <c r="H1442" s="46" t="s">
        <v>249</v>
      </c>
      <c r="I1442" s="7" t="s">
        <v>160</v>
      </c>
      <c r="J1442" s="7" t="s">
        <v>148</v>
      </c>
      <c r="K1442" s="7"/>
      <c r="L1442" s="7"/>
      <c r="M1442" s="7"/>
    </row>
    <row r="1443" ht="15.75" customHeight="1">
      <c r="A1443" s="7" t="s">
        <v>7614</v>
      </c>
      <c r="B1443" s="45" t="s">
        <v>7615</v>
      </c>
      <c r="C1443" s="7" t="s">
        <v>7616</v>
      </c>
      <c r="D1443" s="7" t="s">
        <v>7617</v>
      </c>
      <c r="E1443" s="7" t="s">
        <v>7618</v>
      </c>
      <c r="F1443" s="7" t="s">
        <v>7613</v>
      </c>
      <c r="G1443" s="7"/>
      <c r="H1443" s="46" t="s">
        <v>249</v>
      </c>
      <c r="I1443" s="7" t="s">
        <v>160</v>
      </c>
      <c r="J1443" s="7" t="s">
        <v>148</v>
      </c>
      <c r="K1443" s="7"/>
      <c r="L1443" s="7"/>
      <c r="M1443" s="7"/>
    </row>
    <row r="1444" ht="15.75" customHeight="1">
      <c r="A1444" s="7" t="s">
        <v>7619</v>
      </c>
      <c r="B1444" s="45" t="s">
        <v>7620</v>
      </c>
      <c r="C1444" s="7" t="s">
        <v>7621</v>
      </c>
      <c r="D1444" s="7" t="s">
        <v>7622</v>
      </c>
      <c r="E1444" s="7" t="s">
        <v>7623</v>
      </c>
      <c r="F1444" s="7" t="s">
        <v>7624</v>
      </c>
      <c r="G1444" s="7" t="s">
        <v>7625</v>
      </c>
      <c r="H1444" s="46" t="s">
        <v>249</v>
      </c>
      <c r="I1444" s="7" t="s">
        <v>160</v>
      </c>
      <c r="J1444" s="7" t="s">
        <v>148</v>
      </c>
      <c r="K1444" s="7"/>
      <c r="L1444" s="7"/>
      <c r="M1444" s="7"/>
    </row>
    <row r="1445" ht="15.75" customHeight="1">
      <c r="A1445" s="7" t="s">
        <v>7626</v>
      </c>
      <c r="B1445" s="45" t="s">
        <v>7627</v>
      </c>
      <c r="C1445" s="7" t="s">
        <v>7628</v>
      </c>
      <c r="D1445" s="7" t="s">
        <v>7629</v>
      </c>
      <c r="E1445" s="7" t="s">
        <v>7630</v>
      </c>
      <c r="F1445" s="7" t="s">
        <v>7631</v>
      </c>
      <c r="G1445" s="7"/>
      <c r="H1445" s="46" t="s">
        <v>249</v>
      </c>
      <c r="I1445" s="7" t="s">
        <v>160</v>
      </c>
      <c r="J1445" s="7" t="s">
        <v>148</v>
      </c>
      <c r="K1445" s="7"/>
      <c r="L1445" s="7"/>
      <c r="M1445" s="7"/>
    </row>
    <row r="1446" ht="15.75" customHeight="1">
      <c r="A1446" s="7" t="s">
        <v>7632</v>
      </c>
      <c r="B1446" s="45" t="s">
        <v>7633</v>
      </c>
      <c r="C1446" s="7" t="s">
        <v>7634</v>
      </c>
      <c r="D1446" s="7" t="s">
        <v>7635</v>
      </c>
      <c r="E1446" s="7" t="s">
        <v>7636</v>
      </c>
      <c r="F1446" s="7" t="s">
        <v>7637</v>
      </c>
      <c r="G1446" s="7" t="s">
        <v>7638</v>
      </c>
      <c r="H1446" s="46" t="s">
        <v>249</v>
      </c>
      <c r="I1446" s="7" t="s">
        <v>160</v>
      </c>
      <c r="J1446" s="7" t="s">
        <v>148</v>
      </c>
      <c r="K1446" s="7"/>
      <c r="L1446" s="7"/>
      <c r="M1446" s="7"/>
    </row>
    <row r="1447" ht="15.75" customHeight="1">
      <c r="A1447" s="7" t="s">
        <v>7639</v>
      </c>
      <c r="B1447" s="45" t="s">
        <v>7640</v>
      </c>
      <c r="C1447" s="7" t="s">
        <v>7641</v>
      </c>
      <c r="D1447" s="7" t="s">
        <v>7642</v>
      </c>
      <c r="E1447" s="7" t="s">
        <v>7643</v>
      </c>
      <c r="F1447" s="7" t="s">
        <v>7644</v>
      </c>
      <c r="G1447" s="7"/>
      <c r="H1447" s="46" t="s">
        <v>249</v>
      </c>
      <c r="I1447" s="7" t="s">
        <v>160</v>
      </c>
      <c r="J1447" s="7" t="s">
        <v>148</v>
      </c>
      <c r="K1447" s="7"/>
      <c r="L1447" s="7"/>
      <c r="M1447" s="7"/>
    </row>
    <row r="1448" ht="15.75" customHeight="1">
      <c r="A1448" s="7" t="s">
        <v>7645</v>
      </c>
      <c r="B1448" s="45" t="s">
        <v>7646</v>
      </c>
      <c r="C1448" s="7" t="s">
        <v>7647</v>
      </c>
      <c r="D1448" s="7" t="s">
        <v>7648</v>
      </c>
      <c r="E1448" s="7" t="s">
        <v>7649</v>
      </c>
      <c r="F1448" s="7" t="s">
        <v>7650</v>
      </c>
      <c r="G1448" s="7"/>
      <c r="H1448" s="46" t="s">
        <v>249</v>
      </c>
      <c r="I1448" s="7" t="s">
        <v>160</v>
      </c>
      <c r="J1448" s="7" t="s">
        <v>148</v>
      </c>
      <c r="K1448" s="7"/>
      <c r="L1448" s="7"/>
      <c r="M1448" s="7"/>
    </row>
    <row r="1449" ht="15.75" customHeight="1">
      <c r="A1449" s="7" t="s">
        <v>7651</v>
      </c>
      <c r="B1449" s="45" t="s">
        <v>7652</v>
      </c>
      <c r="C1449" s="7" t="s">
        <v>7653</v>
      </c>
      <c r="D1449" s="7" t="s">
        <v>7654</v>
      </c>
      <c r="E1449" s="7" t="s">
        <v>7655</v>
      </c>
      <c r="F1449" s="7" t="s">
        <v>7656</v>
      </c>
      <c r="G1449" s="7"/>
      <c r="H1449" s="46" t="s">
        <v>249</v>
      </c>
      <c r="I1449" s="7" t="s">
        <v>160</v>
      </c>
      <c r="J1449" s="7" t="s">
        <v>148</v>
      </c>
      <c r="K1449" s="7"/>
      <c r="L1449" s="7"/>
      <c r="M1449" s="7"/>
    </row>
    <row r="1450" ht="15.75" customHeight="1">
      <c r="A1450" s="7" t="s">
        <v>7657</v>
      </c>
      <c r="B1450" s="45" t="s">
        <v>7658</v>
      </c>
      <c r="C1450" s="7" t="s">
        <v>7659</v>
      </c>
      <c r="D1450" s="7" t="s">
        <v>7660</v>
      </c>
      <c r="E1450" s="7" t="s">
        <v>7661</v>
      </c>
      <c r="F1450" s="7" t="s">
        <v>7662</v>
      </c>
      <c r="G1450" s="7"/>
      <c r="H1450" s="46" t="s">
        <v>249</v>
      </c>
      <c r="I1450" s="7" t="s">
        <v>160</v>
      </c>
      <c r="J1450" s="7" t="s">
        <v>148</v>
      </c>
      <c r="K1450" s="7"/>
      <c r="L1450" s="7"/>
      <c r="M1450" s="7"/>
    </row>
    <row r="1451" ht="15.75" customHeight="1">
      <c r="A1451" s="7" t="s">
        <v>7663</v>
      </c>
      <c r="B1451" s="45" t="s">
        <v>7664</v>
      </c>
      <c r="C1451" s="7" t="s">
        <v>7665</v>
      </c>
      <c r="D1451" s="7" t="s">
        <v>7666</v>
      </c>
      <c r="E1451" s="7" t="s">
        <v>7667</v>
      </c>
      <c r="F1451" s="7" t="s">
        <v>7668</v>
      </c>
      <c r="G1451" s="7"/>
      <c r="H1451" s="46" t="s">
        <v>249</v>
      </c>
      <c r="I1451" s="7" t="s">
        <v>160</v>
      </c>
      <c r="J1451" s="7" t="s">
        <v>148</v>
      </c>
      <c r="K1451" s="7"/>
      <c r="L1451" s="7"/>
      <c r="M1451" s="7"/>
    </row>
    <row r="1452" ht="15.75" customHeight="1">
      <c r="A1452" s="7" t="s">
        <v>7669</v>
      </c>
      <c r="B1452" s="45" t="s">
        <v>7670</v>
      </c>
      <c r="C1452" s="7" t="s">
        <v>7671</v>
      </c>
      <c r="D1452" s="7" t="s">
        <v>7672</v>
      </c>
      <c r="E1452" s="7" t="s">
        <v>7673</v>
      </c>
      <c r="F1452" s="7" t="s">
        <v>7674</v>
      </c>
      <c r="G1452" s="7"/>
      <c r="H1452" s="46" t="s">
        <v>249</v>
      </c>
      <c r="I1452" s="7" t="s">
        <v>160</v>
      </c>
      <c r="J1452" s="7" t="s">
        <v>148</v>
      </c>
      <c r="K1452" s="7"/>
      <c r="L1452" s="7"/>
      <c r="M1452" s="7"/>
    </row>
    <row r="1453" ht="15.75" customHeight="1">
      <c r="A1453" s="7" t="s">
        <v>7675</v>
      </c>
      <c r="B1453" s="45" t="s">
        <v>7676</v>
      </c>
      <c r="C1453" s="7" t="s">
        <v>7671</v>
      </c>
      <c r="D1453" s="7" t="s">
        <v>7677</v>
      </c>
      <c r="E1453" s="7" t="s">
        <v>7673</v>
      </c>
      <c r="F1453" s="7" t="s">
        <v>7674</v>
      </c>
      <c r="G1453" s="7"/>
      <c r="H1453" s="46" t="s">
        <v>249</v>
      </c>
      <c r="I1453" s="7" t="s">
        <v>160</v>
      </c>
      <c r="J1453" s="7" t="s">
        <v>148</v>
      </c>
      <c r="K1453" s="7"/>
      <c r="L1453" s="7"/>
      <c r="M1453" s="7"/>
    </row>
    <row r="1454" ht="15.75" customHeight="1">
      <c r="A1454" s="7" t="s">
        <v>7678</v>
      </c>
      <c r="B1454" s="45" t="s">
        <v>7679</v>
      </c>
      <c r="C1454" s="7" t="s">
        <v>7680</v>
      </c>
      <c r="D1454" s="7" t="s">
        <v>7681</v>
      </c>
      <c r="E1454" s="7" t="s">
        <v>7682</v>
      </c>
      <c r="F1454" s="7" t="s">
        <v>7683</v>
      </c>
      <c r="G1454" s="7"/>
      <c r="H1454" s="46" t="s">
        <v>249</v>
      </c>
      <c r="I1454" s="7" t="s">
        <v>160</v>
      </c>
      <c r="J1454" s="7" t="s">
        <v>148</v>
      </c>
      <c r="K1454" s="7"/>
      <c r="L1454" s="7"/>
      <c r="M1454" s="7"/>
    </row>
    <row r="1455" ht="15.75" customHeight="1">
      <c r="A1455" s="7" t="s">
        <v>7684</v>
      </c>
      <c r="B1455" s="45" t="s">
        <v>7685</v>
      </c>
      <c r="C1455" s="7" t="s">
        <v>7686</v>
      </c>
      <c r="D1455" s="7" t="s">
        <v>7687</v>
      </c>
      <c r="E1455" s="7" t="s">
        <v>7688</v>
      </c>
      <c r="F1455" s="7" t="s">
        <v>7689</v>
      </c>
      <c r="G1455" s="7"/>
      <c r="H1455" s="46" t="s">
        <v>249</v>
      </c>
      <c r="I1455" s="7" t="s">
        <v>160</v>
      </c>
      <c r="J1455" s="7" t="s">
        <v>148</v>
      </c>
      <c r="K1455" s="7"/>
      <c r="L1455" s="7"/>
      <c r="M1455" s="7"/>
    </row>
    <row r="1456" ht="15.75" customHeight="1">
      <c r="A1456" s="7" t="s">
        <v>7690</v>
      </c>
      <c r="B1456" s="45" t="s">
        <v>7691</v>
      </c>
      <c r="C1456" s="7" t="s">
        <v>7692</v>
      </c>
      <c r="D1456" s="7" t="s">
        <v>7693</v>
      </c>
      <c r="E1456" s="7" t="s">
        <v>7694</v>
      </c>
      <c r="F1456" s="7" t="s">
        <v>7695</v>
      </c>
      <c r="G1456" s="7"/>
      <c r="H1456" s="46" t="s">
        <v>249</v>
      </c>
      <c r="I1456" s="7" t="s">
        <v>160</v>
      </c>
      <c r="J1456" s="7" t="s">
        <v>148</v>
      </c>
      <c r="K1456" s="7"/>
      <c r="L1456" s="7"/>
      <c r="M1456" s="7"/>
    </row>
    <row r="1457" ht="15.75" customHeight="1">
      <c r="A1457" s="7" t="s">
        <v>7696</v>
      </c>
      <c r="B1457" s="45" t="s">
        <v>7697</v>
      </c>
      <c r="C1457" s="7" t="s">
        <v>7692</v>
      </c>
      <c r="D1457" s="7" t="s">
        <v>7693</v>
      </c>
      <c r="E1457" s="7" t="s">
        <v>7694</v>
      </c>
      <c r="F1457" s="7" t="s">
        <v>7695</v>
      </c>
      <c r="G1457" s="7"/>
      <c r="H1457" s="46" t="s">
        <v>249</v>
      </c>
      <c r="I1457" s="7" t="s">
        <v>160</v>
      </c>
      <c r="J1457" s="7" t="s">
        <v>148</v>
      </c>
      <c r="K1457" s="7"/>
      <c r="L1457" s="7"/>
      <c r="M1457" s="7"/>
    </row>
    <row r="1458" ht="15.75" customHeight="1">
      <c r="A1458" s="7" t="s">
        <v>7698</v>
      </c>
      <c r="B1458" s="45" t="s">
        <v>7699</v>
      </c>
      <c r="C1458" s="7" t="s">
        <v>4267</v>
      </c>
      <c r="D1458" s="7" t="s">
        <v>7700</v>
      </c>
      <c r="E1458" s="7" t="s">
        <v>7701</v>
      </c>
      <c r="F1458" s="7" t="s">
        <v>7702</v>
      </c>
      <c r="G1458" s="7"/>
      <c r="H1458" s="46" t="s">
        <v>249</v>
      </c>
      <c r="I1458" s="7" t="s">
        <v>160</v>
      </c>
      <c r="J1458" s="7" t="s">
        <v>148</v>
      </c>
      <c r="K1458" s="7"/>
      <c r="L1458" s="7"/>
      <c r="M1458" s="7"/>
    </row>
    <row r="1459" ht="15.75" customHeight="1">
      <c r="A1459" s="7" t="s">
        <v>7703</v>
      </c>
      <c r="B1459" s="45" t="s">
        <v>7704</v>
      </c>
      <c r="C1459" s="7" t="s">
        <v>1852</v>
      </c>
      <c r="D1459" s="7" t="s">
        <v>7705</v>
      </c>
      <c r="E1459" s="7" t="s">
        <v>7497</v>
      </c>
      <c r="F1459" s="7" t="s">
        <v>7498</v>
      </c>
      <c r="G1459" s="7"/>
      <c r="H1459" s="46" t="s">
        <v>249</v>
      </c>
      <c r="I1459" s="7" t="s">
        <v>160</v>
      </c>
      <c r="J1459" s="7" t="s">
        <v>148</v>
      </c>
      <c r="K1459" s="7"/>
      <c r="L1459" s="7"/>
      <c r="M1459" s="7"/>
    </row>
    <row r="1460" ht="15.75" customHeight="1">
      <c r="A1460" s="7" t="s">
        <v>7706</v>
      </c>
      <c r="B1460" s="45" t="s">
        <v>7707</v>
      </c>
      <c r="C1460" s="7" t="s">
        <v>7708</v>
      </c>
      <c r="D1460" s="7" t="s">
        <v>7709</v>
      </c>
      <c r="E1460" s="7" t="s">
        <v>7710</v>
      </c>
      <c r="F1460" s="7" t="s">
        <v>7498</v>
      </c>
      <c r="G1460" s="7"/>
      <c r="H1460" s="46" t="s">
        <v>249</v>
      </c>
      <c r="I1460" s="7" t="s">
        <v>160</v>
      </c>
      <c r="J1460" s="7" t="s">
        <v>148</v>
      </c>
      <c r="K1460" s="7"/>
      <c r="L1460" s="7"/>
      <c r="M1460" s="7"/>
    </row>
    <row r="1461" ht="15.75" customHeight="1">
      <c r="A1461" s="7" t="s">
        <v>7711</v>
      </c>
      <c r="B1461" s="45" t="s">
        <v>7712</v>
      </c>
      <c r="C1461" s="7" t="s">
        <v>7713</v>
      </c>
      <c r="D1461" s="7" t="s">
        <v>7714</v>
      </c>
      <c r="E1461" s="7" t="s">
        <v>7715</v>
      </c>
      <c r="F1461" s="7" t="s">
        <v>7716</v>
      </c>
      <c r="G1461" s="7"/>
      <c r="H1461" s="46" t="s">
        <v>249</v>
      </c>
      <c r="I1461" s="7" t="s">
        <v>160</v>
      </c>
      <c r="J1461" s="7" t="s">
        <v>148</v>
      </c>
      <c r="K1461" s="7"/>
      <c r="L1461" s="7"/>
      <c r="M1461" s="7"/>
    </row>
    <row r="1462" ht="15.75" customHeight="1">
      <c r="A1462" s="7" t="s">
        <v>7717</v>
      </c>
      <c r="B1462" s="45" t="s">
        <v>7718</v>
      </c>
      <c r="C1462" s="7" t="s">
        <v>7719</v>
      </c>
      <c r="D1462" s="7" t="s">
        <v>7720</v>
      </c>
      <c r="E1462" s="7" t="s">
        <v>7721</v>
      </c>
      <c r="F1462" s="7" t="s">
        <v>7722</v>
      </c>
      <c r="G1462" s="7"/>
      <c r="H1462" s="46" t="s">
        <v>249</v>
      </c>
      <c r="I1462" s="7" t="s">
        <v>160</v>
      </c>
      <c r="J1462" s="7" t="s">
        <v>148</v>
      </c>
      <c r="K1462" s="7"/>
      <c r="L1462" s="7"/>
      <c r="M1462" s="7"/>
    </row>
    <row r="1463" ht="15.75" customHeight="1">
      <c r="A1463" s="7" t="s">
        <v>7723</v>
      </c>
      <c r="B1463" s="45" t="s">
        <v>7724</v>
      </c>
      <c r="C1463" s="7" t="s">
        <v>7725</v>
      </c>
      <c r="D1463" s="7" t="s">
        <v>7726</v>
      </c>
      <c r="E1463" s="7" t="s">
        <v>7727</v>
      </c>
      <c r="F1463" s="7" t="s">
        <v>7728</v>
      </c>
      <c r="G1463" s="7"/>
      <c r="H1463" s="46" t="s">
        <v>249</v>
      </c>
      <c r="I1463" s="7" t="s">
        <v>160</v>
      </c>
      <c r="J1463" s="7" t="s">
        <v>148</v>
      </c>
      <c r="K1463" s="7"/>
      <c r="L1463" s="7"/>
      <c r="M1463" s="7"/>
    </row>
    <row r="1464" ht="15.75" customHeight="1">
      <c r="A1464" s="7" t="s">
        <v>7729</v>
      </c>
      <c r="B1464" s="45" t="s">
        <v>7730</v>
      </c>
      <c r="C1464" s="7" t="s">
        <v>7731</v>
      </c>
      <c r="D1464" s="7" t="s">
        <v>7732</v>
      </c>
      <c r="E1464" s="7" t="s">
        <v>7727</v>
      </c>
      <c r="F1464" s="7" t="s">
        <v>7733</v>
      </c>
      <c r="G1464" s="7"/>
      <c r="H1464" s="46" t="s">
        <v>249</v>
      </c>
      <c r="I1464" s="7" t="s">
        <v>160</v>
      </c>
      <c r="J1464" s="7" t="s">
        <v>148</v>
      </c>
      <c r="K1464" s="7"/>
      <c r="L1464" s="7"/>
      <c r="M1464" s="7"/>
    </row>
    <row r="1465" ht="15.75" customHeight="1">
      <c r="A1465" s="7" t="s">
        <v>7734</v>
      </c>
      <c r="B1465" s="45" t="s">
        <v>7735</v>
      </c>
      <c r="C1465" s="7" t="s">
        <v>7736</v>
      </c>
      <c r="D1465" s="7" t="s">
        <v>7737</v>
      </c>
      <c r="E1465" s="7" t="s">
        <v>7738</v>
      </c>
      <c r="F1465" s="7" t="s">
        <v>7513</v>
      </c>
      <c r="G1465" s="7" t="s">
        <v>7739</v>
      </c>
      <c r="H1465" s="46" t="s">
        <v>249</v>
      </c>
      <c r="I1465" s="7" t="s">
        <v>160</v>
      </c>
      <c r="J1465" s="7" t="s">
        <v>148</v>
      </c>
      <c r="K1465" s="7"/>
      <c r="L1465" s="7"/>
      <c r="M1465" s="7"/>
    </row>
    <row r="1466" ht="15.75" customHeight="1">
      <c r="A1466" s="7" t="s">
        <v>7740</v>
      </c>
      <c r="B1466" s="45" t="s">
        <v>7741</v>
      </c>
      <c r="C1466" s="7" t="s">
        <v>7510</v>
      </c>
      <c r="D1466" s="7" t="s">
        <v>7742</v>
      </c>
      <c r="E1466" s="7" t="s">
        <v>7524</v>
      </c>
      <c r="F1466" s="7" t="s">
        <v>7513</v>
      </c>
      <c r="G1466" s="7"/>
      <c r="H1466" s="46" t="s">
        <v>249</v>
      </c>
      <c r="I1466" s="7" t="s">
        <v>160</v>
      </c>
      <c r="J1466" s="7" t="s">
        <v>148</v>
      </c>
      <c r="K1466" s="7"/>
      <c r="L1466" s="7"/>
      <c r="M1466" s="7"/>
    </row>
    <row r="1467" ht="15.75" customHeight="1">
      <c r="A1467" s="7" t="s">
        <v>7743</v>
      </c>
      <c r="B1467" s="45" t="s">
        <v>7744</v>
      </c>
      <c r="C1467" s="7" t="s">
        <v>7510</v>
      </c>
      <c r="D1467" s="7" t="s">
        <v>7745</v>
      </c>
      <c r="E1467" s="7" t="s">
        <v>7512</v>
      </c>
      <c r="F1467" s="7" t="s">
        <v>7513</v>
      </c>
      <c r="G1467" s="7"/>
      <c r="H1467" s="46" t="s">
        <v>249</v>
      </c>
      <c r="I1467" s="7" t="s">
        <v>160</v>
      </c>
      <c r="J1467" s="7" t="s">
        <v>148</v>
      </c>
      <c r="K1467" s="7"/>
      <c r="L1467" s="7"/>
      <c r="M1467" s="7"/>
    </row>
    <row r="1468" ht="15.75" customHeight="1">
      <c r="A1468" s="7" t="s">
        <v>7746</v>
      </c>
      <c r="B1468" s="45" t="s">
        <v>7747</v>
      </c>
      <c r="C1468" s="7" t="s">
        <v>7510</v>
      </c>
      <c r="D1468" s="7" t="s">
        <v>7748</v>
      </c>
      <c r="E1468" s="7" t="s">
        <v>7524</v>
      </c>
      <c r="F1468" s="7" t="s">
        <v>7513</v>
      </c>
      <c r="G1468" s="7"/>
      <c r="H1468" s="46" t="s">
        <v>249</v>
      </c>
      <c r="I1468" s="7" t="s">
        <v>160</v>
      </c>
      <c r="J1468" s="7" t="s">
        <v>148</v>
      </c>
      <c r="K1468" s="7"/>
      <c r="L1468" s="7"/>
      <c r="M1468" s="7"/>
    </row>
    <row r="1469" ht="15.75" customHeight="1">
      <c r="A1469" s="7" t="s">
        <v>7749</v>
      </c>
      <c r="B1469" s="45" t="s">
        <v>7750</v>
      </c>
      <c r="C1469" s="7" t="s">
        <v>7510</v>
      </c>
      <c r="D1469" s="7" t="s">
        <v>7751</v>
      </c>
      <c r="E1469" s="7" t="s">
        <v>7512</v>
      </c>
      <c r="F1469" s="7" t="s">
        <v>7513</v>
      </c>
      <c r="G1469" s="7"/>
      <c r="H1469" s="46" t="s">
        <v>249</v>
      </c>
      <c r="I1469" s="7" t="s">
        <v>160</v>
      </c>
      <c r="J1469" s="7" t="s">
        <v>148</v>
      </c>
      <c r="K1469" s="7"/>
      <c r="L1469" s="7"/>
      <c r="M1469" s="7"/>
    </row>
    <row r="1470" ht="15.75" customHeight="1">
      <c r="A1470" s="7" t="s">
        <v>7752</v>
      </c>
      <c r="B1470" s="45" t="s">
        <v>7753</v>
      </c>
      <c r="C1470" s="7" t="s">
        <v>914</v>
      </c>
      <c r="D1470" s="7" t="s">
        <v>7754</v>
      </c>
      <c r="E1470" s="7" t="s">
        <v>916</v>
      </c>
      <c r="F1470" s="7" t="s">
        <v>917</v>
      </c>
      <c r="G1470" s="7"/>
      <c r="H1470" s="46" t="s">
        <v>249</v>
      </c>
      <c r="I1470" s="7" t="s">
        <v>160</v>
      </c>
      <c r="J1470" s="7" t="s">
        <v>148</v>
      </c>
      <c r="K1470" s="7"/>
      <c r="L1470" s="7"/>
      <c r="M1470" s="7"/>
    </row>
    <row r="1471" ht="15.75" customHeight="1">
      <c r="A1471" s="7" t="s">
        <v>7755</v>
      </c>
      <c r="B1471" s="45" t="s">
        <v>7756</v>
      </c>
      <c r="C1471" s="7" t="s">
        <v>7757</v>
      </c>
      <c r="D1471" s="7" t="s">
        <v>7758</v>
      </c>
      <c r="E1471" s="7" t="s">
        <v>916</v>
      </c>
      <c r="F1471" s="7" t="s">
        <v>917</v>
      </c>
      <c r="G1471" s="7"/>
      <c r="H1471" s="46" t="s">
        <v>249</v>
      </c>
      <c r="I1471" s="7" t="s">
        <v>160</v>
      </c>
      <c r="J1471" s="7" t="s">
        <v>148</v>
      </c>
      <c r="K1471" s="7"/>
      <c r="L1471" s="7"/>
      <c r="M1471" s="7"/>
    </row>
    <row r="1472" ht="15.75" customHeight="1">
      <c r="A1472" s="7" t="s">
        <v>7759</v>
      </c>
      <c r="B1472" s="45" t="s">
        <v>7760</v>
      </c>
      <c r="C1472" s="7" t="s">
        <v>7761</v>
      </c>
      <c r="D1472" s="7" t="s">
        <v>7762</v>
      </c>
      <c r="E1472" s="7" t="s">
        <v>7763</v>
      </c>
      <c r="F1472" s="7" t="s">
        <v>7764</v>
      </c>
      <c r="G1472" s="7"/>
      <c r="H1472" s="46" t="s">
        <v>249</v>
      </c>
      <c r="I1472" s="7" t="s">
        <v>160</v>
      </c>
      <c r="J1472" s="7" t="s">
        <v>148</v>
      </c>
      <c r="K1472" s="7"/>
      <c r="L1472" s="7"/>
      <c r="M1472" s="7"/>
    </row>
    <row r="1473" ht="15.75" customHeight="1">
      <c r="A1473" s="7" t="s">
        <v>7765</v>
      </c>
      <c r="B1473" s="45" t="s">
        <v>7766</v>
      </c>
      <c r="C1473" s="7" t="s">
        <v>7767</v>
      </c>
      <c r="D1473" s="7" t="s">
        <v>7768</v>
      </c>
      <c r="E1473" s="7" t="s">
        <v>7769</v>
      </c>
      <c r="F1473" s="7" t="s">
        <v>7770</v>
      </c>
      <c r="G1473" s="7" t="s">
        <v>7771</v>
      </c>
      <c r="H1473" s="46" t="s">
        <v>249</v>
      </c>
      <c r="I1473" s="7" t="s">
        <v>160</v>
      </c>
      <c r="J1473" s="7" t="s">
        <v>148</v>
      </c>
      <c r="K1473" s="7"/>
      <c r="L1473" s="7"/>
      <c r="M1473" s="7"/>
    </row>
    <row r="1474" ht="15.75" customHeight="1">
      <c r="A1474" s="7" t="s">
        <v>7772</v>
      </c>
      <c r="B1474" s="45" t="s">
        <v>7773</v>
      </c>
      <c r="C1474" s="7" t="s">
        <v>7774</v>
      </c>
      <c r="D1474" s="7" t="s">
        <v>7775</v>
      </c>
      <c r="E1474" s="7" t="s">
        <v>7776</v>
      </c>
      <c r="F1474" s="7" t="s">
        <v>7777</v>
      </c>
      <c r="G1474" s="7"/>
      <c r="H1474" s="46" t="s">
        <v>249</v>
      </c>
      <c r="I1474" s="7" t="s">
        <v>160</v>
      </c>
      <c r="J1474" s="7" t="s">
        <v>148</v>
      </c>
      <c r="K1474" s="7"/>
      <c r="L1474" s="7"/>
      <c r="M1474" s="7"/>
    </row>
    <row r="1475" ht="15.75" customHeight="1">
      <c r="A1475" s="7" t="s">
        <v>7778</v>
      </c>
      <c r="B1475" s="45" t="s">
        <v>7779</v>
      </c>
      <c r="C1475" s="7" t="s">
        <v>7780</v>
      </c>
      <c r="D1475" s="7" t="s">
        <v>7781</v>
      </c>
      <c r="E1475" s="7" t="s">
        <v>7782</v>
      </c>
      <c r="F1475" s="7" t="s">
        <v>7783</v>
      </c>
      <c r="G1475" s="7"/>
      <c r="H1475" s="46" t="s">
        <v>249</v>
      </c>
      <c r="I1475" s="7" t="s">
        <v>160</v>
      </c>
      <c r="J1475" s="7" t="s">
        <v>148</v>
      </c>
      <c r="K1475" s="7"/>
      <c r="L1475" s="7"/>
      <c r="M1475" s="7"/>
    </row>
    <row r="1476" ht="15.75" customHeight="1">
      <c r="A1476" s="7" t="s">
        <v>7784</v>
      </c>
      <c r="B1476" s="45" t="s">
        <v>7785</v>
      </c>
      <c r="C1476" s="7" t="s">
        <v>7786</v>
      </c>
      <c r="D1476" s="7" t="s">
        <v>7787</v>
      </c>
      <c r="E1476" s="7" t="s">
        <v>7788</v>
      </c>
      <c r="F1476" s="7" t="s">
        <v>7789</v>
      </c>
      <c r="G1476" s="7"/>
      <c r="H1476" s="46" t="s">
        <v>249</v>
      </c>
      <c r="I1476" s="7" t="s">
        <v>160</v>
      </c>
      <c r="J1476" s="7" t="s">
        <v>148</v>
      </c>
      <c r="K1476" s="7"/>
      <c r="L1476" s="7"/>
      <c r="M1476" s="7"/>
    </row>
    <row r="1477" ht="15.75" customHeight="1">
      <c r="A1477" s="7" t="s">
        <v>7790</v>
      </c>
      <c r="B1477" s="45" t="s">
        <v>7791</v>
      </c>
      <c r="C1477" s="7" t="s">
        <v>7792</v>
      </c>
      <c r="D1477" s="7" t="s">
        <v>7793</v>
      </c>
      <c r="E1477" s="7" t="s">
        <v>7794</v>
      </c>
      <c r="F1477" s="7" t="s">
        <v>7795</v>
      </c>
      <c r="G1477" s="7"/>
      <c r="H1477" s="46" t="s">
        <v>249</v>
      </c>
      <c r="I1477" s="7" t="s">
        <v>160</v>
      </c>
      <c r="J1477" s="7" t="s">
        <v>148</v>
      </c>
      <c r="K1477" s="7"/>
      <c r="L1477" s="7"/>
      <c r="M1477" s="7"/>
    </row>
    <row r="1478" ht="15.75" customHeight="1">
      <c r="A1478" s="7" t="s">
        <v>7796</v>
      </c>
      <c r="B1478" s="45" t="s">
        <v>7797</v>
      </c>
      <c r="C1478" s="7" t="s">
        <v>7798</v>
      </c>
      <c r="D1478" s="7" t="s">
        <v>7799</v>
      </c>
      <c r="E1478" s="7" t="s">
        <v>7800</v>
      </c>
      <c r="F1478" s="7" t="s">
        <v>7801</v>
      </c>
      <c r="G1478" s="7"/>
      <c r="H1478" s="46" t="s">
        <v>249</v>
      </c>
      <c r="I1478" s="7" t="s">
        <v>160</v>
      </c>
      <c r="J1478" s="7" t="s">
        <v>148</v>
      </c>
      <c r="K1478" s="7"/>
      <c r="L1478" s="7"/>
      <c r="M1478" s="7"/>
    </row>
    <row r="1479" ht="15.75" customHeight="1">
      <c r="A1479" s="7" t="s">
        <v>7802</v>
      </c>
      <c r="B1479" s="45" t="s">
        <v>7803</v>
      </c>
      <c r="C1479" s="7" t="s">
        <v>7798</v>
      </c>
      <c r="D1479" s="7" t="s">
        <v>7804</v>
      </c>
      <c r="E1479" s="7" t="s">
        <v>7800</v>
      </c>
      <c r="F1479" s="7" t="s">
        <v>7801</v>
      </c>
      <c r="G1479" s="7"/>
      <c r="H1479" s="46" t="s">
        <v>249</v>
      </c>
      <c r="I1479" s="7" t="s">
        <v>160</v>
      </c>
      <c r="J1479" s="7" t="s">
        <v>148</v>
      </c>
      <c r="K1479" s="7"/>
      <c r="L1479" s="7"/>
      <c r="M1479" s="7"/>
    </row>
    <row r="1480" ht="15.75" customHeight="1">
      <c r="A1480" s="7" t="s">
        <v>7805</v>
      </c>
      <c r="B1480" s="45" t="s">
        <v>7806</v>
      </c>
      <c r="C1480" s="7" t="s">
        <v>7798</v>
      </c>
      <c r="D1480" s="7" t="s">
        <v>7807</v>
      </c>
      <c r="E1480" s="7" t="s">
        <v>7800</v>
      </c>
      <c r="F1480" s="7" t="s">
        <v>7801</v>
      </c>
      <c r="G1480" s="7"/>
      <c r="H1480" s="46" t="s">
        <v>249</v>
      </c>
      <c r="I1480" s="7" t="s">
        <v>160</v>
      </c>
      <c r="J1480" s="7" t="s">
        <v>148</v>
      </c>
      <c r="K1480" s="7"/>
      <c r="L1480" s="7"/>
      <c r="M1480" s="7"/>
    </row>
    <row r="1481" ht="15.75" customHeight="1">
      <c r="A1481" s="7" t="s">
        <v>7808</v>
      </c>
      <c r="B1481" s="45" t="s">
        <v>7809</v>
      </c>
      <c r="C1481" s="7" t="s">
        <v>7810</v>
      </c>
      <c r="D1481" s="7" t="s">
        <v>7811</v>
      </c>
      <c r="E1481" s="7" t="s">
        <v>7812</v>
      </c>
      <c r="F1481" s="7" t="s">
        <v>7813</v>
      </c>
      <c r="G1481" s="7"/>
      <c r="H1481" s="46" t="s">
        <v>249</v>
      </c>
      <c r="I1481" s="7" t="s">
        <v>160</v>
      </c>
      <c r="J1481" s="7" t="s">
        <v>148</v>
      </c>
      <c r="K1481" s="7"/>
      <c r="L1481" s="7"/>
      <c r="M1481" s="7"/>
    </row>
    <row r="1482" ht="15.75" customHeight="1">
      <c r="A1482" s="7" t="s">
        <v>7814</v>
      </c>
      <c r="B1482" s="45" t="s">
        <v>7815</v>
      </c>
      <c r="C1482" s="7" t="s">
        <v>7816</v>
      </c>
      <c r="D1482" s="7" t="s">
        <v>7817</v>
      </c>
      <c r="E1482" s="7" t="s">
        <v>7818</v>
      </c>
      <c r="F1482" s="7" t="s">
        <v>7819</v>
      </c>
      <c r="G1482" s="7"/>
      <c r="H1482" s="46" t="s">
        <v>249</v>
      </c>
      <c r="I1482" s="7" t="s">
        <v>160</v>
      </c>
      <c r="J1482" s="7" t="s">
        <v>148</v>
      </c>
      <c r="K1482" s="7"/>
      <c r="L1482" s="7"/>
      <c r="M1482" s="7"/>
    </row>
    <row r="1483" ht="15.75" customHeight="1">
      <c r="A1483" s="7" t="s">
        <v>7820</v>
      </c>
      <c r="B1483" s="45" t="s">
        <v>7821</v>
      </c>
      <c r="C1483" s="7" t="s">
        <v>7822</v>
      </c>
      <c r="D1483" s="7" t="s">
        <v>7817</v>
      </c>
      <c r="E1483" s="7" t="s">
        <v>7823</v>
      </c>
      <c r="F1483" s="7" t="s">
        <v>7819</v>
      </c>
      <c r="G1483" s="7" t="s">
        <v>7824</v>
      </c>
      <c r="H1483" s="46" t="s">
        <v>249</v>
      </c>
      <c r="I1483" s="7" t="s">
        <v>160</v>
      </c>
      <c r="J1483" s="7" t="s">
        <v>148</v>
      </c>
      <c r="K1483" s="7"/>
      <c r="L1483" s="7"/>
      <c r="M1483" s="7"/>
    </row>
    <row r="1484" ht="15.75" customHeight="1">
      <c r="A1484" s="7" t="s">
        <v>7825</v>
      </c>
      <c r="B1484" s="45" t="s">
        <v>7826</v>
      </c>
      <c r="C1484" s="7" t="s">
        <v>7827</v>
      </c>
      <c r="D1484" s="7" t="s">
        <v>7828</v>
      </c>
      <c r="E1484" s="7" t="s">
        <v>7829</v>
      </c>
      <c r="F1484" s="7" t="s">
        <v>7830</v>
      </c>
      <c r="G1484" s="7"/>
      <c r="H1484" s="46" t="s">
        <v>249</v>
      </c>
      <c r="I1484" s="7" t="s">
        <v>160</v>
      </c>
      <c r="J1484" s="7" t="s">
        <v>148</v>
      </c>
      <c r="K1484" s="7"/>
      <c r="L1484" s="7"/>
      <c r="M1484" s="7"/>
    </row>
    <row r="1485" ht="15.75" customHeight="1">
      <c r="A1485" s="7" t="s">
        <v>7831</v>
      </c>
      <c r="B1485" s="45" t="s">
        <v>7832</v>
      </c>
      <c r="C1485" s="7" t="s">
        <v>7833</v>
      </c>
      <c r="D1485" s="7" t="s">
        <v>301</v>
      </c>
      <c r="E1485" s="7" t="s">
        <v>302</v>
      </c>
      <c r="F1485" s="7" t="s">
        <v>7834</v>
      </c>
      <c r="G1485" s="7"/>
      <c r="H1485" s="46" t="s">
        <v>249</v>
      </c>
      <c r="I1485" s="7" t="s">
        <v>160</v>
      </c>
      <c r="J1485" s="7" t="s">
        <v>148</v>
      </c>
      <c r="K1485" s="7"/>
      <c r="L1485" s="7"/>
      <c r="M1485" s="7"/>
    </row>
    <row r="1486" ht="15.75" customHeight="1">
      <c r="A1486" s="7" t="s">
        <v>7835</v>
      </c>
      <c r="B1486" s="45" t="s">
        <v>7836</v>
      </c>
      <c r="C1486" s="7" t="s">
        <v>7837</v>
      </c>
      <c r="D1486" s="7" t="s">
        <v>7838</v>
      </c>
      <c r="E1486" s="7" t="s">
        <v>7839</v>
      </c>
      <c r="F1486" s="7" t="s">
        <v>7840</v>
      </c>
      <c r="G1486" s="7"/>
      <c r="H1486" s="46" t="s">
        <v>249</v>
      </c>
      <c r="I1486" s="7" t="s">
        <v>160</v>
      </c>
      <c r="J1486" s="7" t="s">
        <v>148</v>
      </c>
      <c r="K1486" s="7"/>
      <c r="L1486" s="7"/>
      <c r="M1486" s="7"/>
    </row>
    <row r="1487" ht="15.75" customHeight="1">
      <c r="A1487" s="7" t="s">
        <v>7841</v>
      </c>
      <c r="B1487" s="45" t="s">
        <v>7842</v>
      </c>
      <c r="C1487" s="7" t="s">
        <v>7843</v>
      </c>
      <c r="D1487" s="7" t="s">
        <v>7844</v>
      </c>
      <c r="E1487" s="7" t="s">
        <v>7845</v>
      </c>
      <c r="F1487" s="7" t="s">
        <v>7846</v>
      </c>
      <c r="G1487" s="7"/>
      <c r="H1487" s="46" t="s">
        <v>249</v>
      </c>
      <c r="I1487" s="7" t="s">
        <v>160</v>
      </c>
      <c r="J1487" s="7" t="s">
        <v>148</v>
      </c>
      <c r="K1487" s="7"/>
      <c r="L1487" s="7"/>
      <c r="M1487" s="7"/>
    </row>
    <row r="1488" ht="15.75" customHeight="1">
      <c r="A1488" s="7" t="s">
        <v>7847</v>
      </c>
      <c r="B1488" s="45" t="s">
        <v>7848</v>
      </c>
      <c r="C1488" s="7" t="s">
        <v>7849</v>
      </c>
      <c r="D1488" s="7" t="s">
        <v>7850</v>
      </c>
      <c r="E1488" s="7" t="s">
        <v>7851</v>
      </c>
      <c r="F1488" s="7" t="s">
        <v>7852</v>
      </c>
      <c r="G1488" s="7"/>
      <c r="H1488" s="46" t="s">
        <v>249</v>
      </c>
      <c r="I1488" s="7" t="s">
        <v>160</v>
      </c>
      <c r="J1488" s="7" t="s">
        <v>148</v>
      </c>
      <c r="K1488" s="7"/>
      <c r="L1488" s="7"/>
      <c r="M1488" s="7"/>
    </row>
    <row r="1489" ht="15.75" customHeight="1">
      <c r="A1489" s="7" t="s">
        <v>7853</v>
      </c>
      <c r="B1489" s="45" t="s">
        <v>7854</v>
      </c>
      <c r="C1489" s="7" t="s">
        <v>7855</v>
      </c>
      <c r="D1489" s="7" t="s">
        <v>7856</v>
      </c>
      <c r="E1489" s="7" t="s">
        <v>7857</v>
      </c>
      <c r="F1489" s="7" t="s">
        <v>7858</v>
      </c>
      <c r="G1489" s="7"/>
      <c r="H1489" s="46" t="s">
        <v>249</v>
      </c>
      <c r="I1489" s="7" t="s">
        <v>160</v>
      </c>
      <c r="J1489" s="7" t="s">
        <v>148</v>
      </c>
      <c r="K1489" s="7"/>
      <c r="L1489" s="7"/>
      <c r="M1489" s="7"/>
    </row>
    <row r="1490" ht="15.75" customHeight="1">
      <c r="A1490" s="7" t="s">
        <v>7859</v>
      </c>
      <c r="B1490" s="45" t="s">
        <v>7860</v>
      </c>
      <c r="C1490" s="7" t="s">
        <v>7861</v>
      </c>
      <c r="D1490" s="7" t="s">
        <v>7862</v>
      </c>
      <c r="E1490" s="7" t="s">
        <v>7863</v>
      </c>
      <c r="F1490" s="7" t="s">
        <v>7864</v>
      </c>
      <c r="G1490" s="7"/>
      <c r="H1490" s="46" t="s">
        <v>249</v>
      </c>
      <c r="I1490" s="7" t="s">
        <v>160</v>
      </c>
      <c r="J1490" s="7" t="s">
        <v>148</v>
      </c>
      <c r="K1490" s="7"/>
      <c r="L1490" s="7"/>
      <c r="M1490" s="7"/>
    </row>
    <row r="1491" ht="15.75" customHeight="1">
      <c r="A1491" s="7" t="s">
        <v>7865</v>
      </c>
      <c r="B1491" s="45" t="s">
        <v>7866</v>
      </c>
      <c r="C1491" s="7" t="s">
        <v>7867</v>
      </c>
      <c r="D1491" s="7" t="s">
        <v>7868</v>
      </c>
      <c r="E1491" s="7" t="s">
        <v>7869</v>
      </c>
      <c r="F1491" s="7" t="s">
        <v>7870</v>
      </c>
      <c r="G1491" s="7"/>
      <c r="H1491" s="46" t="s">
        <v>249</v>
      </c>
      <c r="I1491" s="7" t="s">
        <v>160</v>
      </c>
      <c r="J1491" s="7" t="s">
        <v>148</v>
      </c>
      <c r="K1491" s="7"/>
      <c r="L1491" s="7"/>
      <c r="M1491" s="7"/>
    </row>
    <row r="1492" ht="15.75" customHeight="1">
      <c r="A1492" s="7" t="s">
        <v>7871</v>
      </c>
      <c r="B1492" s="45" t="s">
        <v>7872</v>
      </c>
      <c r="C1492" s="7" t="s">
        <v>7873</v>
      </c>
      <c r="D1492" s="7" t="s">
        <v>7781</v>
      </c>
      <c r="E1492" s="7" t="s">
        <v>7874</v>
      </c>
      <c r="F1492" s="7" t="s">
        <v>7875</v>
      </c>
      <c r="G1492" s="7"/>
      <c r="H1492" s="46" t="s">
        <v>249</v>
      </c>
      <c r="I1492" s="7" t="s">
        <v>160</v>
      </c>
      <c r="J1492" s="7" t="s">
        <v>148</v>
      </c>
      <c r="K1492" s="7"/>
      <c r="L1492" s="7"/>
      <c r="M1492" s="7"/>
    </row>
    <row r="1493" ht="15.75" customHeight="1">
      <c r="A1493" s="7" t="s">
        <v>7876</v>
      </c>
      <c r="B1493" s="45" t="s">
        <v>7877</v>
      </c>
      <c r="C1493" s="7" t="s">
        <v>7878</v>
      </c>
      <c r="D1493" s="7" t="s">
        <v>7879</v>
      </c>
      <c r="E1493" s="7" t="s">
        <v>7880</v>
      </c>
      <c r="F1493" s="7" t="s">
        <v>7881</v>
      </c>
      <c r="G1493" s="7"/>
      <c r="H1493" s="46" t="s">
        <v>249</v>
      </c>
      <c r="I1493" s="7" t="s">
        <v>160</v>
      </c>
      <c r="J1493" s="7" t="s">
        <v>148</v>
      </c>
      <c r="K1493" s="7"/>
      <c r="L1493" s="7"/>
      <c r="M1493" s="7"/>
    </row>
    <row r="1494" ht="15.75" customHeight="1">
      <c r="A1494" s="7" t="s">
        <v>7882</v>
      </c>
      <c r="B1494" s="45" t="s">
        <v>7883</v>
      </c>
      <c r="C1494" s="7" t="s">
        <v>7884</v>
      </c>
      <c r="D1494" s="7" t="s">
        <v>7885</v>
      </c>
      <c r="E1494" s="7" t="s">
        <v>7886</v>
      </c>
      <c r="F1494" s="7" t="s">
        <v>7887</v>
      </c>
      <c r="G1494" s="7" t="s">
        <v>7888</v>
      </c>
      <c r="H1494" s="46" t="s">
        <v>249</v>
      </c>
      <c r="I1494" s="7" t="s">
        <v>160</v>
      </c>
      <c r="J1494" s="7" t="s">
        <v>148</v>
      </c>
      <c r="K1494" s="7"/>
      <c r="L1494" s="7"/>
      <c r="M1494" s="7"/>
    </row>
    <row r="1495" ht="15.75" customHeight="1">
      <c r="A1495" s="7" t="s">
        <v>7889</v>
      </c>
      <c r="B1495" s="45" t="s">
        <v>7890</v>
      </c>
      <c r="C1495" s="7" t="s">
        <v>7891</v>
      </c>
      <c r="D1495" s="7" t="s">
        <v>7892</v>
      </c>
      <c r="E1495" s="7" t="s">
        <v>7893</v>
      </c>
      <c r="F1495" s="7" t="s">
        <v>7894</v>
      </c>
      <c r="G1495" s="7"/>
      <c r="H1495" s="46" t="s">
        <v>249</v>
      </c>
      <c r="I1495" s="7" t="s">
        <v>160</v>
      </c>
      <c r="J1495" s="7" t="s">
        <v>148</v>
      </c>
      <c r="K1495" s="7"/>
      <c r="L1495" s="7"/>
      <c r="M1495" s="7"/>
    </row>
    <row r="1496" ht="15.75" customHeight="1">
      <c r="A1496" s="7" t="s">
        <v>7895</v>
      </c>
      <c r="B1496" s="45" t="s">
        <v>7896</v>
      </c>
      <c r="C1496" s="7" t="s">
        <v>7891</v>
      </c>
      <c r="D1496" s="7" t="s">
        <v>7897</v>
      </c>
      <c r="E1496" s="7" t="s">
        <v>7898</v>
      </c>
      <c r="F1496" s="7" t="s">
        <v>7894</v>
      </c>
      <c r="G1496" s="7"/>
      <c r="H1496" s="46" t="s">
        <v>249</v>
      </c>
      <c r="I1496" s="7" t="s">
        <v>160</v>
      </c>
      <c r="J1496" s="7" t="s">
        <v>148</v>
      </c>
      <c r="K1496" s="7"/>
      <c r="L1496" s="7"/>
      <c r="M1496" s="7"/>
    </row>
    <row r="1497" ht="15.75" customHeight="1">
      <c r="A1497" s="7" t="s">
        <v>7899</v>
      </c>
      <c r="B1497" s="45" t="s">
        <v>7900</v>
      </c>
      <c r="C1497" s="7" t="s">
        <v>7901</v>
      </c>
      <c r="D1497" s="7" t="s">
        <v>7902</v>
      </c>
      <c r="E1497" s="7" t="s">
        <v>7903</v>
      </c>
      <c r="F1497" s="7" t="s">
        <v>7904</v>
      </c>
      <c r="G1497" s="7"/>
      <c r="H1497" s="46" t="s">
        <v>249</v>
      </c>
      <c r="I1497" s="7" t="s">
        <v>160</v>
      </c>
      <c r="J1497" s="7" t="s">
        <v>148</v>
      </c>
      <c r="K1497" s="7"/>
      <c r="L1497" s="7"/>
      <c r="M1497" s="7"/>
    </row>
    <row r="1498" ht="15.75" customHeight="1">
      <c r="A1498" s="7" t="s">
        <v>7905</v>
      </c>
      <c r="B1498" s="45" t="s">
        <v>7906</v>
      </c>
      <c r="C1498" s="7" t="s">
        <v>7907</v>
      </c>
      <c r="D1498" s="7" t="s">
        <v>7908</v>
      </c>
      <c r="E1498" s="7" t="s">
        <v>7909</v>
      </c>
      <c r="F1498" s="7" t="s">
        <v>7910</v>
      </c>
      <c r="G1498" s="7"/>
      <c r="H1498" s="46" t="s">
        <v>249</v>
      </c>
      <c r="I1498" s="7" t="s">
        <v>160</v>
      </c>
      <c r="J1498" s="7" t="s">
        <v>148</v>
      </c>
      <c r="K1498" s="7"/>
      <c r="L1498" s="7"/>
      <c r="M1498" s="7"/>
    </row>
    <row r="1499" ht="15.75" customHeight="1">
      <c r="A1499" s="7" t="s">
        <v>7911</v>
      </c>
      <c r="B1499" s="45" t="s">
        <v>7912</v>
      </c>
      <c r="C1499" s="7" t="s">
        <v>7913</v>
      </c>
      <c r="D1499" s="7" t="s">
        <v>7914</v>
      </c>
      <c r="E1499" s="7" t="s">
        <v>7915</v>
      </c>
      <c r="F1499" s="7" t="s">
        <v>7916</v>
      </c>
      <c r="G1499" s="7" t="s">
        <v>7917</v>
      </c>
      <c r="H1499" s="46" t="s">
        <v>249</v>
      </c>
      <c r="I1499" s="7" t="s">
        <v>160</v>
      </c>
      <c r="J1499" s="7" t="s">
        <v>148</v>
      </c>
      <c r="K1499" s="7"/>
      <c r="L1499" s="7"/>
      <c r="M1499" s="7"/>
    </row>
    <row r="1500" ht="15.75" customHeight="1">
      <c r="A1500" s="7" t="s">
        <v>7918</v>
      </c>
      <c r="B1500" s="45" t="s">
        <v>7919</v>
      </c>
      <c r="C1500" s="7" t="s">
        <v>7920</v>
      </c>
      <c r="D1500" s="7" t="s">
        <v>7921</v>
      </c>
      <c r="E1500" s="7" t="s">
        <v>7922</v>
      </c>
      <c r="F1500" s="7" t="s">
        <v>7923</v>
      </c>
      <c r="G1500" s="7"/>
      <c r="H1500" s="46" t="s">
        <v>249</v>
      </c>
      <c r="I1500" s="7" t="s">
        <v>160</v>
      </c>
      <c r="J1500" s="7" t="s">
        <v>148</v>
      </c>
      <c r="K1500" s="7"/>
      <c r="L1500" s="7"/>
      <c r="M1500" s="7"/>
    </row>
    <row r="1501" ht="15.75" customHeight="1">
      <c r="A1501" s="7" t="s">
        <v>7924</v>
      </c>
      <c r="B1501" s="45" t="s">
        <v>7925</v>
      </c>
      <c r="C1501" s="7" t="s">
        <v>7926</v>
      </c>
      <c r="D1501" s="7" t="s">
        <v>7927</v>
      </c>
      <c r="E1501" s="7" t="s">
        <v>7928</v>
      </c>
      <c r="F1501" s="7" t="s">
        <v>7929</v>
      </c>
      <c r="G1501" s="7"/>
      <c r="H1501" s="46" t="s">
        <v>249</v>
      </c>
      <c r="I1501" s="7" t="s">
        <v>160</v>
      </c>
      <c r="J1501" s="7" t="s">
        <v>148</v>
      </c>
      <c r="K1501" s="7"/>
      <c r="L1501" s="7"/>
      <c r="M1501" s="7"/>
    </row>
    <row r="1502" ht="15.75" customHeight="1">
      <c r="A1502" s="7" t="s">
        <v>7930</v>
      </c>
      <c r="B1502" s="45" t="s">
        <v>7931</v>
      </c>
      <c r="C1502" s="7" t="s">
        <v>7932</v>
      </c>
      <c r="D1502" s="7" t="s">
        <v>7933</v>
      </c>
      <c r="E1502" s="7" t="s">
        <v>7934</v>
      </c>
      <c r="F1502" s="7" t="s">
        <v>7935</v>
      </c>
      <c r="G1502" s="7"/>
      <c r="H1502" s="46" t="s">
        <v>249</v>
      </c>
      <c r="I1502" s="7" t="s">
        <v>160</v>
      </c>
      <c r="J1502" s="7" t="s">
        <v>148</v>
      </c>
      <c r="K1502" s="7"/>
      <c r="L1502" s="7"/>
      <c r="M1502" s="7"/>
    </row>
    <row r="1503" ht="15.75" customHeight="1">
      <c r="A1503" s="7" t="s">
        <v>7936</v>
      </c>
      <c r="B1503" s="45" t="s">
        <v>7937</v>
      </c>
      <c r="C1503" s="7" t="s">
        <v>1931</v>
      </c>
      <c r="D1503" s="7" t="s">
        <v>7938</v>
      </c>
      <c r="E1503" s="7" t="s">
        <v>1933</v>
      </c>
      <c r="F1503" s="7" t="s">
        <v>1934</v>
      </c>
      <c r="G1503" s="7"/>
      <c r="H1503" s="46" t="s">
        <v>249</v>
      </c>
      <c r="I1503" s="7" t="s">
        <v>160</v>
      </c>
      <c r="J1503" s="7" t="s">
        <v>148</v>
      </c>
      <c r="K1503" s="7"/>
      <c r="L1503" s="7"/>
      <c r="M1503" s="7"/>
    </row>
    <row r="1504" ht="15.75" customHeight="1">
      <c r="A1504" s="7" t="s">
        <v>7939</v>
      </c>
      <c r="B1504" s="45" t="s">
        <v>7940</v>
      </c>
      <c r="C1504" s="7" t="s">
        <v>7941</v>
      </c>
      <c r="D1504" s="7" t="s">
        <v>7942</v>
      </c>
      <c r="E1504" s="7" t="s">
        <v>7943</v>
      </c>
      <c r="F1504" s="7" t="s">
        <v>7944</v>
      </c>
      <c r="G1504" s="7"/>
      <c r="H1504" s="46" t="s">
        <v>249</v>
      </c>
      <c r="I1504" s="7" t="s">
        <v>160</v>
      </c>
      <c r="J1504" s="7" t="s">
        <v>148</v>
      </c>
      <c r="K1504" s="7"/>
      <c r="L1504" s="7"/>
      <c r="M1504" s="7"/>
    </row>
    <row r="1505" ht="15.75" customHeight="1">
      <c r="A1505" s="7" t="s">
        <v>7945</v>
      </c>
      <c r="B1505" s="45" t="s">
        <v>7946</v>
      </c>
      <c r="C1505" s="7" t="s">
        <v>7947</v>
      </c>
      <c r="D1505" s="7" t="s">
        <v>7948</v>
      </c>
      <c r="E1505" s="7" t="s">
        <v>7949</v>
      </c>
      <c r="F1505" s="7" t="s">
        <v>7950</v>
      </c>
      <c r="G1505" s="7"/>
      <c r="H1505" s="46" t="s">
        <v>249</v>
      </c>
      <c r="I1505" s="7" t="s">
        <v>160</v>
      </c>
      <c r="J1505" s="7" t="s">
        <v>148</v>
      </c>
      <c r="K1505" s="7"/>
      <c r="L1505" s="7"/>
      <c r="M1505" s="7"/>
    </row>
    <row r="1506" ht="15.75" customHeight="1">
      <c r="A1506" s="7" t="s">
        <v>7951</v>
      </c>
      <c r="B1506" s="45" t="s">
        <v>7952</v>
      </c>
      <c r="C1506" s="7" t="s">
        <v>7953</v>
      </c>
      <c r="D1506" s="7" t="s">
        <v>7954</v>
      </c>
      <c r="E1506" s="7" t="s">
        <v>7955</v>
      </c>
      <c r="F1506" s="7" t="s">
        <v>7950</v>
      </c>
      <c r="G1506" s="7"/>
      <c r="H1506" s="46" t="s">
        <v>249</v>
      </c>
      <c r="I1506" s="7" t="s">
        <v>160</v>
      </c>
      <c r="J1506" s="7" t="s">
        <v>148</v>
      </c>
      <c r="K1506" s="7"/>
      <c r="L1506" s="7"/>
      <c r="M1506" s="7"/>
    </row>
    <row r="1507" ht="15.75" customHeight="1">
      <c r="A1507" s="7" t="s">
        <v>7956</v>
      </c>
      <c r="B1507" s="45" t="s">
        <v>7957</v>
      </c>
      <c r="C1507" s="7" t="s">
        <v>7958</v>
      </c>
      <c r="D1507" s="7" t="s">
        <v>7959</v>
      </c>
      <c r="E1507" s="7" t="s">
        <v>7960</v>
      </c>
      <c r="F1507" s="7" t="s">
        <v>7961</v>
      </c>
      <c r="G1507" s="7"/>
      <c r="H1507" s="46" t="s">
        <v>249</v>
      </c>
      <c r="I1507" s="7" t="s">
        <v>160</v>
      </c>
      <c r="J1507" s="7" t="s">
        <v>148</v>
      </c>
      <c r="K1507" s="7"/>
      <c r="L1507" s="7"/>
      <c r="M1507" s="7"/>
    </row>
    <row r="1508" ht="15.75" customHeight="1">
      <c r="A1508" s="7" t="s">
        <v>7962</v>
      </c>
      <c r="B1508" s="45" t="s">
        <v>7963</v>
      </c>
      <c r="C1508" s="7" t="s">
        <v>7964</v>
      </c>
      <c r="D1508" s="7" t="s">
        <v>7965</v>
      </c>
      <c r="E1508" s="7" t="s">
        <v>7966</v>
      </c>
      <c r="F1508" s="7" t="s">
        <v>7967</v>
      </c>
      <c r="G1508" s="7"/>
      <c r="H1508" s="46" t="s">
        <v>249</v>
      </c>
      <c r="I1508" s="7" t="s">
        <v>160</v>
      </c>
      <c r="J1508" s="7" t="s">
        <v>148</v>
      </c>
      <c r="K1508" s="7"/>
      <c r="L1508" s="7"/>
      <c r="M1508" s="7"/>
    </row>
    <row r="1509" ht="15.75" customHeight="1">
      <c r="A1509" s="7" t="s">
        <v>7968</v>
      </c>
      <c r="B1509" s="45" t="s">
        <v>7969</v>
      </c>
      <c r="C1509" s="7" t="s">
        <v>7970</v>
      </c>
      <c r="D1509" s="7" t="s">
        <v>5762</v>
      </c>
      <c r="E1509" s="7" t="s">
        <v>5763</v>
      </c>
      <c r="F1509" s="7" t="s">
        <v>5764</v>
      </c>
      <c r="G1509" s="7"/>
      <c r="H1509" s="46" t="s">
        <v>249</v>
      </c>
      <c r="I1509" s="7" t="s">
        <v>160</v>
      </c>
      <c r="J1509" s="7" t="s">
        <v>148</v>
      </c>
      <c r="K1509" s="7"/>
      <c r="L1509" s="7"/>
      <c r="M1509" s="7"/>
    </row>
    <row r="1510" ht="15.75" customHeight="1">
      <c r="A1510" s="7" t="s">
        <v>7971</v>
      </c>
      <c r="B1510" s="45" t="s">
        <v>7972</v>
      </c>
      <c r="C1510" s="7" t="s">
        <v>7973</v>
      </c>
      <c r="D1510" s="7" t="s">
        <v>7974</v>
      </c>
      <c r="E1510" s="7" t="s">
        <v>7975</v>
      </c>
      <c r="F1510" s="7" t="s">
        <v>7976</v>
      </c>
      <c r="G1510" s="7"/>
      <c r="H1510" s="46" t="s">
        <v>249</v>
      </c>
      <c r="I1510" s="7" t="s">
        <v>160</v>
      </c>
      <c r="J1510" s="7" t="s">
        <v>148</v>
      </c>
      <c r="K1510" s="7"/>
      <c r="L1510" s="7"/>
      <c r="M1510" s="7"/>
    </row>
    <row r="1511" ht="15.75" customHeight="1">
      <c r="A1511" s="7" t="s">
        <v>7977</v>
      </c>
      <c r="B1511" s="45" t="s">
        <v>7978</v>
      </c>
      <c r="C1511" s="7" t="s">
        <v>1389</v>
      </c>
      <c r="D1511" s="7" t="s">
        <v>7979</v>
      </c>
      <c r="E1511" s="7" t="s">
        <v>7980</v>
      </c>
      <c r="F1511" s="7" t="s">
        <v>7981</v>
      </c>
      <c r="G1511" s="7" t="s">
        <v>7982</v>
      </c>
      <c r="H1511" s="46" t="s">
        <v>249</v>
      </c>
      <c r="I1511" s="7" t="s">
        <v>160</v>
      </c>
      <c r="J1511" s="7" t="s">
        <v>148</v>
      </c>
      <c r="K1511" s="7"/>
      <c r="L1511" s="7"/>
      <c r="M1511" s="7"/>
    </row>
    <row r="1512" ht="15.75" customHeight="1">
      <c r="A1512" s="7" t="s">
        <v>7983</v>
      </c>
      <c r="B1512" s="45" t="s">
        <v>7984</v>
      </c>
      <c r="C1512" s="7" t="s">
        <v>7985</v>
      </c>
      <c r="D1512" s="7" t="s">
        <v>7986</v>
      </c>
      <c r="E1512" s="7" t="s">
        <v>7987</v>
      </c>
      <c r="F1512" s="7" t="s">
        <v>7988</v>
      </c>
      <c r="G1512" s="7"/>
      <c r="H1512" s="46" t="s">
        <v>249</v>
      </c>
      <c r="I1512" s="7" t="s">
        <v>160</v>
      </c>
      <c r="J1512" s="7" t="s">
        <v>148</v>
      </c>
      <c r="K1512" s="7"/>
      <c r="L1512" s="7"/>
      <c r="M1512" s="7"/>
    </row>
    <row r="1513" ht="15.75" customHeight="1">
      <c r="A1513" s="7" t="s">
        <v>7989</v>
      </c>
      <c r="B1513" s="45" t="s">
        <v>7990</v>
      </c>
      <c r="C1513" s="7" t="s">
        <v>7991</v>
      </c>
      <c r="D1513" s="7" t="s">
        <v>7992</v>
      </c>
      <c r="E1513" s="7" t="s">
        <v>7993</v>
      </c>
      <c r="F1513" s="7" t="s">
        <v>7994</v>
      </c>
      <c r="G1513" s="7"/>
      <c r="H1513" s="46" t="s">
        <v>249</v>
      </c>
      <c r="I1513" s="7" t="s">
        <v>160</v>
      </c>
      <c r="J1513" s="7" t="s">
        <v>148</v>
      </c>
      <c r="K1513" s="7"/>
      <c r="L1513" s="7"/>
      <c r="M1513" s="7"/>
    </row>
    <row r="1514" ht="15.75" customHeight="1">
      <c r="A1514" s="7" t="s">
        <v>7995</v>
      </c>
      <c r="B1514" s="45" t="s">
        <v>7996</v>
      </c>
      <c r="C1514" s="7" t="s">
        <v>7997</v>
      </c>
      <c r="D1514" s="7" t="s">
        <v>7998</v>
      </c>
      <c r="E1514" s="7" t="s">
        <v>7999</v>
      </c>
      <c r="F1514" s="7" t="s">
        <v>8000</v>
      </c>
      <c r="G1514" s="7" t="s">
        <v>8001</v>
      </c>
      <c r="H1514" s="46" t="s">
        <v>249</v>
      </c>
      <c r="I1514" s="7" t="s">
        <v>160</v>
      </c>
      <c r="J1514" s="7" t="s">
        <v>148</v>
      </c>
      <c r="K1514" s="7"/>
      <c r="L1514" s="7"/>
      <c r="M1514" s="7"/>
    </row>
    <row r="1515" ht="15.75" customHeight="1">
      <c r="A1515" s="7" t="s">
        <v>8002</v>
      </c>
      <c r="B1515" s="45" t="s">
        <v>8003</v>
      </c>
      <c r="C1515" s="7" t="s">
        <v>8004</v>
      </c>
      <c r="D1515" s="7" t="s">
        <v>8005</v>
      </c>
      <c r="E1515" s="7" t="s">
        <v>8006</v>
      </c>
      <c r="F1515" s="7" t="s">
        <v>8007</v>
      </c>
      <c r="G1515" s="7"/>
      <c r="H1515" s="46" t="s">
        <v>249</v>
      </c>
      <c r="I1515" s="7" t="s">
        <v>160</v>
      </c>
      <c r="J1515" s="7" t="s">
        <v>148</v>
      </c>
      <c r="K1515" s="7"/>
      <c r="L1515" s="7"/>
      <c r="M1515" s="7"/>
    </row>
    <row r="1516" ht="15.75" customHeight="1">
      <c r="A1516" s="7" t="s">
        <v>8008</v>
      </c>
      <c r="B1516" s="45" t="s">
        <v>8009</v>
      </c>
      <c r="C1516" s="7" t="s">
        <v>8010</v>
      </c>
      <c r="D1516" s="7" t="s">
        <v>7838</v>
      </c>
      <c r="E1516" s="7" t="s">
        <v>8011</v>
      </c>
      <c r="F1516" s="7" t="s">
        <v>8012</v>
      </c>
      <c r="G1516" s="7"/>
      <c r="H1516" s="46" t="s">
        <v>249</v>
      </c>
      <c r="I1516" s="7" t="s">
        <v>160</v>
      </c>
      <c r="J1516" s="7" t="s">
        <v>148</v>
      </c>
      <c r="K1516" s="7"/>
      <c r="L1516" s="7"/>
      <c r="M1516" s="7"/>
    </row>
    <row r="1517" ht="15.75" customHeight="1">
      <c r="A1517" s="7" t="s">
        <v>8013</v>
      </c>
      <c r="B1517" s="45" t="s">
        <v>8014</v>
      </c>
      <c r="C1517" s="7" t="s">
        <v>8015</v>
      </c>
      <c r="D1517" s="7" t="s">
        <v>8016</v>
      </c>
      <c r="E1517" s="7" t="s">
        <v>8017</v>
      </c>
      <c r="F1517" s="7" t="s">
        <v>8018</v>
      </c>
      <c r="G1517" s="7"/>
      <c r="H1517" s="46" t="s">
        <v>249</v>
      </c>
      <c r="I1517" s="7" t="s">
        <v>160</v>
      </c>
      <c r="J1517" s="7" t="s">
        <v>148</v>
      </c>
      <c r="K1517" s="7"/>
      <c r="L1517" s="7"/>
      <c r="M1517" s="7"/>
    </row>
    <row r="1518" ht="15.75" customHeight="1">
      <c r="A1518" s="7" t="s">
        <v>8019</v>
      </c>
      <c r="B1518" s="45" t="s">
        <v>8020</v>
      </c>
      <c r="C1518" s="7" t="s">
        <v>8021</v>
      </c>
      <c r="D1518" s="7" t="s">
        <v>8022</v>
      </c>
      <c r="E1518" s="7" t="s">
        <v>8023</v>
      </c>
      <c r="F1518" s="7" t="s">
        <v>8024</v>
      </c>
      <c r="G1518" s="7"/>
      <c r="H1518" s="46" t="s">
        <v>249</v>
      </c>
      <c r="I1518" s="7" t="s">
        <v>160</v>
      </c>
      <c r="J1518" s="7" t="s">
        <v>148</v>
      </c>
      <c r="K1518" s="7"/>
      <c r="L1518" s="7"/>
      <c r="M1518" s="7"/>
    </row>
    <row r="1519" ht="15.75" customHeight="1">
      <c r="A1519" s="7" t="s">
        <v>8025</v>
      </c>
      <c r="B1519" s="45" t="s">
        <v>8026</v>
      </c>
      <c r="C1519" s="7" t="s">
        <v>8027</v>
      </c>
      <c r="D1519" s="7" t="s">
        <v>8028</v>
      </c>
      <c r="E1519" s="7" t="s">
        <v>8029</v>
      </c>
      <c r="F1519" s="7" t="s">
        <v>8030</v>
      </c>
      <c r="G1519" s="7"/>
      <c r="H1519" s="46" t="s">
        <v>249</v>
      </c>
      <c r="I1519" s="7" t="s">
        <v>160</v>
      </c>
      <c r="J1519" s="7" t="s">
        <v>148</v>
      </c>
      <c r="K1519" s="7"/>
      <c r="L1519" s="7"/>
      <c r="M1519" s="7"/>
    </row>
    <row r="1520" ht="15.75" customHeight="1">
      <c r="A1520" s="7" t="s">
        <v>8031</v>
      </c>
      <c r="B1520" s="45" t="s">
        <v>8032</v>
      </c>
      <c r="C1520" s="7" t="s">
        <v>8033</v>
      </c>
      <c r="D1520" s="7" t="s">
        <v>8034</v>
      </c>
      <c r="E1520" s="7" t="s">
        <v>8035</v>
      </c>
      <c r="F1520" s="7" t="s">
        <v>8036</v>
      </c>
      <c r="G1520" s="7"/>
      <c r="H1520" s="46" t="s">
        <v>249</v>
      </c>
      <c r="I1520" s="7" t="s">
        <v>160</v>
      </c>
      <c r="J1520" s="7" t="s">
        <v>148</v>
      </c>
      <c r="K1520" s="7"/>
      <c r="L1520" s="7"/>
      <c r="M1520" s="7"/>
    </row>
    <row r="1521" ht="15.75" customHeight="1">
      <c r="A1521" s="7" t="s">
        <v>8037</v>
      </c>
      <c r="B1521" s="45" t="s">
        <v>8038</v>
      </c>
      <c r="C1521" s="7" t="s">
        <v>978</v>
      </c>
      <c r="D1521" s="7" t="s">
        <v>8039</v>
      </c>
      <c r="E1521" s="7" t="s">
        <v>8040</v>
      </c>
      <c r="F1521" s="7" t="s">
        <v>973</v>
      </c>
      <c r="G1521" s="7"/>
      <c r="H1521" s="46" t="s">
        <v>249</v>
      </c>
      <c r="I1521" s="7" t="s">
        <v>160</v>
      </c>
      <c r="J1521" s="7" t="s">
        <v>148</v>
      </c>
      <c r="K1521" s="7"/>
      <c r="L1521" s="7"/>
      <c r="M1521" s="7"/>
    </row>
    <row r="1522" ht="15.75" customHeight="1">
      <c r="A1522" s="7" t="s">
        <v>8041</v>
      </c>
      <c r="B1522" s="45" t="s">
        <v>8042</v>
      </c>
      <c r="C1522" s="7" t="s">
        <v>978</v>
      </c>
      <c r="D1522" s="7" t="s">
        <v>8043</v>
      </c>
      <c r="E1522" s="7" t="s">
        <v>8044</v>
      </c>
      <c r="F1522" s="7" t="s">
        <v>973</v>
      </c>
      <c r="G1522" s="7"/>
      <c r="H1522" s="46" t="s">
        <v>249</v>
      </c>
      <c r="I1522" s="7" t="s">
        <v>160</v>
      </c>
      <c r="J1522" s="7" t="s">
        <v>148</v>
      </c>
      <c r="K1522" s="7"/>
      <c r="L1522" s="7"/>
      <c r="M1522" s="7"/>
    </row>
    <row r="1523" ht="15.75" customHeight="1">
      <c r="A1523" s="7" t="s">
        <v>8045</v>
      </c>
      <c r="B1523" s="45" t="s">
        <v>8046</v>
      </c>
      <c r="C1523" s="7" t="s">
        <v>8047</v>
      </c>
      <c r="D1523" s="7" t="s">
        <v>8048</v>
      </c>
      <c r="E1523" s="7" t="s">
        <v>8049</v>
      </c>
      <c r="F1523" s="7" t="s">
        <v>735</v>
      </c>
      <c r="G1523" s="7"/>
      <c r="H1523" s="46" t="s">
        <v>249</v>
      </c>
      <c r="I1523" s="7" t="s">
        <v>160</v>
      </c>
      <c r="J1523" s="7" t="s">
        <v>148</v>
      </c>
      <c r="K1523" s="7"/>
      <c r="L1523" s="7"/>
      <c r="M1523" s="7"/>
    </row>
    <row r="1524" ht="15.75" customHeight="1">
      <c r="A1524" s="7" t="s">
        <v>8050</v>
      </c>
      <c r="B1524" s="45" t="s">
        <v>8051</v>
      </c>
      <c r="C1524" s="7" t="s">
        <v>8052</v>
      </c>
      <c r="D1524" s="7" t="s">
        <v>8053</v>
      </c>
      <c r="E1524" s="7" t="s">
        <v>8054</v>
      </c>
      <c r="F1524" s="7" t="s">
        <v>8055</v>
      </c>
      <c r="G1524" s="7"/>
      <c r="H1524" s="46" t="s">
        <v>249</v>
      </c>
      <c r="I1524" s="7" t="s">
        <v>160</v>
      </c>
      <c r="J1524" s="7" t="s">
        <v>148</v>
      </c>
      <c r="K1524" s="7"/>
      <c r="L1524" s="7"/>
      <c r="M1524" s="7"/>
    </row>
    <row r="1525" ht="15.75" customHeight="1">
      <c r="A1525" s="7" t="s">
        <v>8056</v>
      </c>
      <c r="B1525" s="45" t="s">
        <v>8057</v>
      </c>
      <c r="C1525" s="7" t="s">
        <v>8058</v>
      </c>
      <c r="D1525" s="7" t="s">
        <v>8059</v>
      </c>
      <c r="E1525" s="7" t="s">
        <v>8060</v>
      </c>
      <c r="F1525" s="7" t="s">
        <v>8061</v>
      </c>
      <c r="G1525" s="7"/>
      <c r="H1525" s="46" t="s">
        <v>249</v>
      </c>
      <c r="I1525" s="7" t="s">
        <v>160</v>
      </c>
      <c r="J1525" s="7" t="s">
        <v>148</v>
      </c>
      <c r="K1525" s="7"/>
      <c r="L1525" s="7"/>
      <c r="M1525" s="7"/>
    </row>
    <row r="1526" ht="15.75" customHeight="1">
      <c r="A1526" s="7" t="s">
        <v>8062</v>
      </c>
      <c r="B1526" s="45" t="s">
        <v>8063</v>
      </c>
      <c r="C1526" s="7" t="s">
        <v>8058</v>
      </c>
      <c r="D1526" s="7" t="s">
        <v>8064</v>
      </c>
      <c r="E1526" s="7" t="s">
        <v>8060</v>
      </c>
      <c r="F1526" s="7" t="s">
        <v>8065</v>
      </c>
      <c r="G1526" s="7"/>
      <c r="H1526" s="46" t="s">
        <v>249</v>
      </c>
      <c r="I1526" s="7" t="s">
        <v>160</v>
      </c>
      <c r="J1526" s="7" t="s">
        <v>148</v>
      </c>
      <c r="K1526" s="7"/>
      <c r="L1526" s="7"/>
      <c r="M1526" s="7"/>
    </row>
    <row r="1527" ht="15.75" customHeight="1">
      <c r="A1527" s="7" t="s">
        <v>8066</v>
      </c>
      <c r="B1527" s="45" t="s">
        <v>8067</v>
      </c>
      <c r="C1527" s="7" t="s">
        <v>8068</v>
      </c>
      <c r="D1527" s="7" t="s">
        <v>8069</v>
      </c>
      <c r="E1527" s="7" t="s">
        <v>8070</v>
      </c>
      <c r="F1527" s="7" t="s">
        <v>8071</v>
      </c>
      <c r="G1527" s="7"/>
      <c r="H1527" s="46" t="s">
        <v>249</v>
      </c>
      <c r="I1527" s="7" t="s">
        <v>160</v>
      </c>
      <c r="J1527" s="7" t="s">
        <v>148</v>
      </c>
      <c r="K1527" s="7"/>
      <c r="L1527" s="7"/>
      <c r="M1527" s="7"/>
    </row>
    <row r="1528" ht="15.75" customHeight="1">
      <c r="A1528" s="7" t="s">
        <v>8072</v>
      </c>
      <c r="B1528" s="45" t="s">
        <v>8073</v>
      </c>
      <c r="C1528" s="7" t="s">
        <v>8074</v>
      </c>
      <c r="D1528" s="7" t="s">
        <v>8075</v>
      </c>
      <c r="E1528" s="7" t="s">
        <v>650</v>
      </c>
      <c r="F1528" s="7" t="s">
        <v>645</v>
      </c>
      <c r="G1528" s="7"/>
      <c r="H1528" s="46" t="s">
        <v>249</v>
      </c>
      <c r="I1528" s="7" t="s">
        <v>160</v>
      </c>
      <c r="J1528" s="7" t="s">
        <v>148</v>
      </c>
      <c r="K1528" s="7"/>
      <c r="L1528" s="7"/>
      <c r="M1528" s="7"/>
    </row>
    <row r="1529" ht="15.75" customHeight="1">
      <c r="A1529" s="7" t="s">
        <v>8076</v>
      </c>
      <c r="B1529" s="45" t="s">
        <v>8077</v>
      </c>
      <c r="C1529" s="7" t="s">
        <v>8078</v>
      </c>
      <c r="D1529" s="7" t="s">
        <v>8079</v>
      </c>
      <c r="E1529" s="7" t="s">
        <v>8080</v>
      </c>
      <c r="F1529" s="7" t="s">
        <v>8081</v>
      </c>
      <c r="G1529" s="7"/>
      <c r="H1529" s="46" t="s">
        <v>249</v>
      </c>
      <c r="I1529" s="7" t="s">
        <v>160</v>
      </c>
      <c r="J1529" s="7" t="s">
        <v>148</v>
      </c>
      <c r="K1529" s="7"/>
      <c r="L1529" s="7"/>
      <c r="M1529" s="7"/>
    </row>
    <row r="1530" ht="15.75" customHeight="1">
      <c r="A1530" s="7" t="s">
        <v>8082</v>
      </c>
      <c r="B1530" s="45" t="s">
        <v>8083</v>
      </c>
      <c r="C1530" s="7" t="s">
        <v>8084</v>
      </c>
      <c r="D1530" s="7" t="s">
        <v>8085</v>
      </c>
      <c r="E1530" s="7" t="s">
        <v>8086</v>
      </c>
      <c r="F1530" s="7" t="s">
        <v>8087</v>
      </c>
      <c r="G1530" s="7"/>
      <c r="H1530" s="46" t="s">
        <v>249</v>
      </c>
      <c r="I1530" s="7" t="s">
        <v>160</v>
      </c>
      <c r="J1530" s="7" t="s">
        <v>148</v>
      </c>
      <c r="K1530" s="7"/>
      <c r="L1530" s="7"/>
      <c r="M1530" s="7"/>
    </row>
    <row r="1531" ht="15.75" customHeight="1">
      <c r="A1531" s="7" t="s">
        <v>8088</v>
      </c>
      <c r="B1531" s="45" t="s">
        <v>8089</v>
      </c>
      <c r="C1531" s="7" t="s">
        <v>8090</v>
      </c>
      <c r="D1531" s="7" t="s">
        <v>8091</v>
      </c>
      <c r="E1531" s="7" t="s">
        <v>8092</v>
      </c>
      <c r="F1531" s="7" t="s">
        <v>8093</v>
      </c>
      <c r="G1531" s="7"/>
      <c r="H1531" s="46" t="s">
        <v>249</v>
      </c>
      <c r="I1531" s="7" t="s">
        <v>160</v>
      </c>
      <c r="J1531" s="7" t="s">
        <v>148</v>
      </c>
      <c r="K1531" s="7"/>
      <c r="L1531" s="7"/>
      <c r="M1531" s="7"/>
    </row>
    <row r="1532" ht="15.75" customHeight="1">
      <c r="A1532" s="7" t="s">
        <v>8094</v>
      </c>
      <c r="B1532" s="45" t="s">
        <v>8095</v>
      </c>
      <c r="C1532" s="7" t="s">
        <v>8096</v>
      </c>
      <c r="D1532" s="7" t="s">
        <v>8097</v>
      </c>
      <c r="E1532" s="7" t="s">
        <v>8098</v>
      </c>
      <c r="F1532" s="7" t="s">
        <v>8099</v>
      </c>
      <c r="G1532" s="7"/>
      <c r="H1532" s="46" t="s">
        <v>249</v>
      </c>
      <c r="I1532" s="7" t="s">
        <v>160</v>
      </c>
      <c r="J1532" s="7" t="s">
        <v>148</v>
      </c>
      <c r="K1532" s="7"/>
      <c r="L1532" s="7"/>
      <c r="M1532" s="7"/>
    </row>
    <row r="1533" ht="15.75" customHeight="1">
      <c r="A1533" s="7" t="s">
        <v>8100</v>
      </c>
      <c r="B1533" s="45" t="s">
        <v>8101</v>
      </c>
      <c r="C1533" s="7" t="s">
        <v>8102</v>
      </c>
      <c r="D1533" s="7" t="s">
        <v>8103</v>
      </c>
      <c r="E1533" s="7" t="s">
        <v>8104</v>
      </c>
      <c r="F1533" s="7" t="s">
        <v>8105</v>
      </c>
      <c r="G1533" s="7"/>
      <c r="H1533" s="46" t="s">
        <v>249</v>
      </c>
      <c r="I1533" s="7" t="s">
        <v>160</v>
      </c>
      <c r="J1533" s="7" t="s">
        <v>148</v>
      </c>
      <c r="K1533" s="7"/>
      <c r="L1533" s="7"/>
      <c r="M1533" s="7"/>
    </row>
    <row r="1534" ht="15.75" customHeight="1">
      <c r="A1534" s="7" t="s">
        <v>8106</v>
      </c>
      <c r="B1534" s="45" t="s">
        <v>8107</v>
      </c>
      <c r="C1534" s="7" t="s">
        <v>8108</v>
      </c>
      <c r="D1534" s="7" t="s">
        <v>8109</v>
      </c>
      <c r="E1534" s="7" t="s">
        <v>8110</v>
      </c>
      <c r="F1534" s="7" t="s">
        <v>8111</v>
      </c>
      <c r="G1534" s="7"/>
      <c r="H1534" s="46" t="s">
        <v>249</v>
      </c>
      <c r="I1534" s="7" t="s">
        <v>160</v>
      </c>
      <c r="J1534" s="7" t="s">
        <v>148</v>
      </c>
      <c r="K1534" s="7"/>
      <c r="L1534" s="7"/>
      <c r="M1534" s="7"/>
    </row>
    <row r="1535" ht="15.75" customHeight="1">
      <c r="A1535" s="7" t="s">
        <v>8112</v>
      </c>
      <c r="B1535" s="45" t="s">
        <v>8113</v>
      </c>
      <c r="C1535" s="7" t="s">
        <v>8114</v>
      </c>
      <c r="D1535" s="7" t="s">
        <v>8115</v>
      </c>
      <c r="E1535" s="7" t="s">
        <v>8116</v>
      </c>
      <c r="F1535" s="7" t="s">
        <v>8117</v>
      </c>
      <c r="G1535" s="7"/>
      <c r="H1535" s="46" t="s">
        <v>249</v>
      </c>
      <c r="I1535" s="7" t="s">
        <v>160</v>
      </c>
      <c r="J1535" s="7" t="s">
        <v>148</v>
      </c>
      <c r="K1535" s="7"/>
      <c r="L1535" s="7"/>
      <c r="M1535" s="7"/>
    </row>
    <row r="1536" ht="15.75" customHeight="1">
      <c r="A1536" s="7" t="s">
        <v>8118</v>
      </c>
      <c r="B1536" s="45" t="s">
        <v>8119</v>
      </c>
      <c r="C1536" s="7" t="s">
        <v>8120</v>
      </c>
      <c r="D1536" s="7" t="s">
        <v>8121</v>
      </c>
      <c r="E1536" s="7" t="s">
        <v>8122</v>
      </c>
      <c r="F1536" s="7" t="s">
        <v>8123</v>
      </c>
      <c r="G1536" s="7"/>
      <c r="H1536" s="46" t="s">
        <v>249</v>
      </c>
      <c r="I1536" s="7" t="s">
        <v>160</v>
      </c>
      <c r="J1536" s="7" t="s">
        <v>148</v>
      </c>
      <c r="K1536" s="7"/>
      <c r="L1536" s="7"/>
      <c r="M1536" s="7"/>
    </row>
    <row r="1537" ht="15.75" customHeight="1">
      <c r="A1537" s="7" t="s">
        <v>8124</v>
      </c>
      <c r="B1537" s="45" t="s">
        <v>8125</v>
      </c>
      <c r="C1537" s="7" t="s">
        <v>8126</v>
      </c>
      <c r="D1537" s="7" t="s">
        <v>8127</v>
      </c>
      <c r="E1537" s="7" t="s">
        <v>8128</v>
      </c>
      <c r="F1537" s="7" t="s">
        <v>8129</v>
      </c>
      <c r="G1537" s="7"/>
      <c r="H1537" s="46" t="s">
        <v>249</v>
      </c>
      <c r="I1537" s="7" t="s">
        <v>160</v>
      </c>
      <c r="J1537" s="7" t="s">
        <v>148</v>
      </c>
      <c r="K1537" s="7"/>
      <c r="L1537" s="7"/>
      <c r="M1537" s="7"/>
    </row>
    <row r="1538" ht="15.75" customHeight="1">
      <c r="A1538" s="7" t="s">
        <v>8130</v>
      </c>
      <c r="B1538" s="45" t="s">
        <v>8131</v>
      </c>
      <c r="C1538" s="7" t="s">
        <v>8132</v>
      </c>
      <c r="D1538" s="7" t="s">
        <v>8133</v>
      </c>
      <c r="E1538" s="7" t="s">
        <v>8134</v>
      </c>
      <c r="F1538" s="7" t="s">
        <v>8135</v>
      </c>
      <c r="G1538" s="7"/>
      <c r="H1538" s="46" t="s">
        <v>249</v>
      </c>
      <c r="I1538" s="7" t="s">
        <v>160</v>
      </c>
      <c r="J1538" s="7" t="s">
        <v>148</v>
      </c>
      <c r="K1538" s="7"/>
      <c r="L1538" s="7"/>
      <c r="M1538" s="7"/>
    </row>
    <row r="1539" ht="15.75" customHeight="1">
      <c r="A1539" s="7" t="s">
        <v>8136</v>
      </c>
      <c r="B1539" s="45" t="s">
        <v>8137</v>
      </c>
      <c r="C1539" s="7" t="s">
        <v>8138</v>
      </c>
      <c r="D1539" s="7" t="s">
        <v>8139</v>
      </c>
      <c r="E1539" s="7" t="s">
        <v>8140</v>
      </c>
      <c r="F1539" s="7" t="s">
        <v>8141</v>
      </c>
      <c r="G1539" s="7"/>
      <c r="H1539" s="46" t="s">
        <v>249</v>
      </c>
      <c r="I1539" s="7" t="s">
        <v>160</v>
      </c>
      <c r="J1539" s="7" t="s">
        <v>148</v>
      </c>
      <c r="K1539" s="7"/>
      <c r="L1539" s="7"/>
      <c r="M1539" s="7"/>
    </row>
    <row r="1540" ht="15.75" customHeight="1">
      <c r="A1540" s="7" t="s">
        <v>8142</v>
      </c>
      <c r="B1540" s="45" t="s">
        <v>8143</v>
      </c>
      <c r="C1540" s="7" t="s">
        <v>8144</v>
      </c>
      <c r="D1540" s="7" t="s">
        <v>8145</v>
      </c>
      <c r="E1540" s="7" t="s">
        <v>8146</v>
      </c>
      <c r="F1540" s="7" t="s">
        <v>8147</v>
      </c>
      <c r="G1540" s="7"/>
      <c r="H1540" s="46" t="s">
        <v>249</v>
      </c>
      <c r="I1540" s="7" t="s">
        <v>160</v>
      </c>
      <c r="J1540" s="7" t="s">
        <v>148</v>
      </c>
      <c r="K1540" s="7"/>
      <c r="L1540" s="7"/>
      <c r="M1540" s="7"/>
    </row>
    <row r="1541" ht="15.75" customHeight="1">
      <c r="A1541" s="7" t="s">
        <v>8148</v>
      </c>
      <c r="B1541" s="45" t="s">
        <v>8149</v>
      </c>
      <c r="C1541" s="7" t="s">
        <v>8150</v>
      </c>
      <c r="D1541" s="7" t="s">
        <v>8151</v>
      </c>
      <c r="E1541" s="7" t="s">
        <v>8152</v>
      </c>
      <c r="F1541" s="7" t="s">
        <v>8153</v>
      </c>
      <c r="G1541" s="7"/>
      <c r="H1541" s="46" t="s">
        <v>249</v>
      </c>
      <c r="I1541" s="7" t="s">
        <v>160</v>
      </c>
      <c r="J1541" s="7" t="s">
        <v>148</v>
      </c>
      <c r="K1541" s="7"/>
      <c r="L1541" s="7"/>
      <c r="M1541" s="7"/>
    </row>
    <row r="1542" ht="15.75" customHeight="1">
      <c r="A1542" s="7" t="s">
        <v>8154</v>
      </c>
      <c r="B1542" s="45" t="s">
        <v>8155</v>
      </c>
      <c r="C1542" s="7" t="s">
        <v>8156</v>
      </c>
      <c r="D1542" s="7" t="s">
        <v>8157</v>
      </c>
      <c r="E1542" s="7" t="s">
        <v>8158</v>
      </c>
      <c r="F1542" s="7" t="s">
        <v>8159</v>
      </c>
      <c r="G1542" s="7"/>
      <c r="H1542" s="46" t="s">
        <v>249</v>
      </c>
      <c r="I1542" s="7" t="s">
        <v>160</v>
      </c>
      <c r="J1542" s="7" t="s">
        <v>148</v>
      </c>
      <c r="K1542" s="7"/>
      <c r="L1542" s="7"/>
      <c r="M1542" s="7"/>
    </row>
    <row r="1543" ht="15.75" customHeight="1">
      <c r="A1543" s="7" t="s">
        <v>8160</v>
      </c>
      <c r="B1543" s="45" t="s">
        <v>8161</v>
      </c>
      <c r="C1543" s="7" t="s">
        <v>8162</v>
      </c>
      <c r="D1543" s="7" t="s">
        <v>8163</v>
      </c>
      <c r="E1543" s="7" t="s">
        <v>8164</v>
      </c>
      <c r="F1543" s="7" t="s">
        <v>8165</v>
      </c>
      <c r="G1543" s="7"/>
      <c r="H1543" s="46" t="s">
        <v>249</v>
      </c>
      <c r="I1543" s="7" t="s">
        <v>160</v>
      </c>
      <c r="J1543" s="7" t="s">
        <v>148</v>
      </c>
      <c r="K1543" s="7"/>
      <c r="L1543" s="7"/>
      <c r="M1543" s="7"/>
    </row>
    <row r="1544" ht="15.75" customHeight="1">
      <c r="A1544" s="7" t="s">
        <v>8166</v>
      </c>
      <c r="B1544" s="45" t="s">
        <v>8167</v>
      </c>
      <c r="C1544" s="7" t="s">
        <v>8168</v>
      </c>
      <c r="D1544" s="7" t="s">
        <v>8169</v>
      </c>
      <c r="E1544" s="7" t="s">
        <v>8170</v>
      </c>
      <c r="F1544" s="7" t="s">
        <v>8171</v>
      </c>
      <c r="G1544" s="7"/>
      <c r="H1544" s="46" t="s">
        <v>249</v>
      </c>
      <c r="I1544" s="7" t="s">
        <v>160</v>
      </c>
      <c r="J1544" s="7" t="s">
        <v>148</v>
      </c>
      <c r="K1544" s="7"/>
      <c r="L1544" s="7"/>
      <c r="M1544" s="7"/>
    </row>
    <row r="1545" ht="15.75" customHeight="1">
      <c r="A1545" s="7" t="s">
        <v>8172</v>
      </c>
      <c r="B1545" s="45" t="s">
        <v>8173</v>
      </c>
      <c r="C1545" s="7" t="s">
        <v>8174</v>
      </c>
      <c r="D1545" s="7" t="s">
        <v>8175</v>
      </c>
      <c r="E1545" s="7" t="s">
        <v>8176</v>
      </c>
      <c r="F1545" s="7" t="s">
        <v>8177</v>
      </c>
      <c r="G1545" s="7"/>
      <c r="H1545" s="46" t="s">
        <v>249</v>
      </c>
      <c r="I1545" s="7" t="s">
        <v>160</v>
      </c>
      <c r="J1545" s="7" t="s">
        <v>148</v>
      </c>
      <c r="K1545" s="7"/>
      <c r="L1545" s="7"/>
      <c r="M1545" s="7"/>
    </row>
    <row r="1546" ht="15.75" customHeight="1">
      <c r="A1546" s="7" t="s">
        <v>8178</v>
      </c>
      <c r="B1546" s="45" t="s">
        <v>8179</v>
      </c>
      <c r="C1546" s="7" t="s">
        <v>8180</v>
      </c>
      <c r="D1546" s="7" t="s">
        <v>8181</v>
      </c>
      <c r="E1546" s="7" t="s">
        <v>8182</v>
      </c>
      <c r="F1546" s="7" t="s">
        <v>8183</v>
      </c>
      <c r="G1546" s="7"/>
      <c r="H1546" s="46" t="s">
        <v>249</v>
      </c>
      <c r="I1546" s="7" t="s">
        <v>160</v>
      </c>
      <c r="J1546" s="7" t="s">
        <v>148</v>
      </c>
      <c r="K1546" s="7"/>
      <c r="L1546" s="7"/>
      <c r="M1546" s="7"/>
    </row>
    <row r="1547" ht="15.75" customHeight="1">
      <c r="A1547" s="7" t="s">
        <v>8184</v>
      </c>
      <c r="B1547" s="45" t="s">
        <v>8185</v>
      </c>
      <c r="C1547" s="7" t="s">
        <v>8186</v>
      </c>
      <c r="D1547" s="7" t="s">
        <v>8187</v>
      </c>
      <c r="E1547" s="7" t="s">
        <v>8188</v>
      </c>
      <c r="F1547" s="7" t="s">
        <v>8189</v>
      </c>
      <c r="G1547" s="7"/>
      <c r="H1547" s="46" t="s">
        <v>249</v>
      </c>
      <c r="I1547" s="7" t="s">
        <v>160</v>
      </c>
      <c r="J1547" s="7" t="s">
        <v>148</v>
      </c>
      <c r="K1547" s="7"/>
      <c r="L1547" s="7"/>
      <c r="M1547" s="7"/>
    </row>
    <row r="1548" ht="15.75" customHeight="1">
      <c r="A1548" s="7" t="s">
        <v>8190</v>
      </c>
      <c r="B1548" s="45" t="s">
        <v>8191</v>
      </c>
      <c r="C1548" s="7" t="s">
        <v>8192</v>
      </c>
      <c r="D1548" s="7" t="s">
        <v>8193</v>
      </c>
      <c r="E1548" s="7" t="s">
        <v>8194</v>
      </c>
      <c r="F1548" s="7" t="s">
        <v>8195</v>
      </c>
      <c r="G1548" s="7"/>
      <c r="H1548" s="46" t="s">
        <v>249</v>
      </c>
      <c r="I1548" s="7" t="s">
        <v>160</v>
      </c>
      <c r="J1548" s="7" t="s">
        <v>148</v>
      </c>
      <c r="K1548" s="7"/>
      <c r="L1548" s="7"/>
      <c r="M1548" s="7"/>
    </row>
    <row r="1549" ht="15.75" customHeight="1">
      <c r="A1549" s="7" t="s">
        <v>8196</v>
      </c>
      <c r="B1549" s="45" t="s">
        <v>8197</v>
      </c>
      <c r="C1549" s="7" t="s">
        <v>8198</v>
      </c>
      <c r="D1549" s="7" t="s">
        <v>8199</v>
      </c>
      <c r="E1549" s="7" t="s">
        <v>8200</v>
      </c>
      <c r="F1549" s="7" t="s">
        <v>8201</v>
      </c>
      <c r="G1549" s="7"/>
      <c r="H1549" s="46" t="s">
        <v>249</v>
      </c>
      <c r="I1549" s="7" t="s">
        <v>160</v>
      </c>
      <c r="J1549" s="7" t="s">
        <v>148</v>
      </c>
      <c r="K1549" s="7"/>
      <c r="L1549" s="7"/>
      <c r="M1549" s="7"/>
    </row>
    <row r="1550" ht="15.75" customHeight="1">
      <c r="A1550" s="7" t="s">
        <v>8202</v>
      </c>
      <c r="B1550" s="45" t="s">
        <v>8203</v>
      </c>
      <c r="C1550" s="7" t="s">
        <v>8204</v>
      </c>
      <c r="D1550" s="7" t="s">
        <v>8205</v>
      </c>
      <c r="E1550" s="7" t="s">
        <v>8206</v>
      </c>
      <c r="F1550" s="7" t="s">
        <v>8207</v>
      </c>
      <c r="G1550" s="7"/>
      <c r="H1550" s="46" t="s">
        <v>249</v>
      </c>
      <c r="I1550" s="7" t="s">
        <v>160</v>
      </c>
      <c r="J1550" s="7" t="s">
        <v>148</v>
      </c>
      <c r="K1550" s="7"/>
      <c r="L1550" s="7"/>
      <c r="M1550" s="7"/>
    </row>
    <row r="1551" ht="15.75" customHeight="1">
      <c r="A1551" s="7" t="s">
        <v>8208</v>
      </c>
      <c r="B1551" s="45" t="s">
        <v>8209</v>
      </c>
      <c r="C1551" s="7" t="s">
        <v>8210</v>
      </c>
      <c r="D1551" s="7" t="s">
        <v>8211</v>
      </c>
      <c r="E1551" s="7" t="s">
        <v>8212</v>
      </c>
      <c r="F1551" s="7" t="s">
        <v>8213</v>
      </c>
      <c r="G1551" s="7"/>
      <c r="H1551" s="46" t="s">
        <v>249</v>
      </c>
      <c r="I1551" s="7" t="s">
        <v>160</v>
      </c>
      <c r="J1551" s="7" t="s">
        <v>148</v>
      </c>
      <c r="K1551" s="7"/>
      <c r="L1551" s="7"/>
      <c r="M1551" s="7"/>
    </row>
    <row r="1552" ht="15.75" customHeight="1">
      <c r="A1552" s="7" t="s">
        <v>8214</v>
      </c>
      <c r="B1552" s="45" t="s">
        <v>8215</v>
      </c>
      <c r="C1552" s="7" t="s">
        <v>8216</v>
      </c>
      <c r="D1552" s="7" t="s">
        <v>8217</v>
      </c>
      <c r="E1552" s="7" t="s">
        <v>8218</v>
      </c>
      <c r="F1552" s="7" t="s">
        <v>8219</v>
      </c>
      <c r="G1552" s="7"/>
      <c r="H1552" s="46" t="s">
        <v>249</v>
      </c>
      <c r="I1552" s="7" t="s">
        <v>160</v>
      </c>
      <c r="J1552" s="7" t="s">
        <v>148</v>
      </c>
      <c r="K1552" s="7"/>
      <c r="L1552" s="7"/>
      <c r="M1552" s="7"/>
    </row>
    <row r="1553" ht="15.75" customHeight="1">
      <c r="A1553" s="7" t="s">
        <v>8220</v>
      </c>
      <c r="B1553" s="45" t="s">
        <v>8221</v>
      </c>
      <c r="C1553" s="7" t="s">
        <v>8222</v>
      </c>
      <c r="D1553" s="7" t="s">
        <v>8223</v>
      </c>
      <c r="E1553" s="7" t="s">
        <v>8224</v>
      </c>
      <c r="F1553" s="7" t="s">
        <v>8225</v>
      </c>
      <c r="G1553" s="7"/>
      <c r="H1553" s="46" t="s">
        <v>249</v>
      </c>
      <c r="I1553" s="7" t="s">
        <v>160</v>
      </c>
      <c r="J1553" s="7" t="s">
        <v>148</v>
      </c>
      <c r="K1553" s="7"/>
      <c r="L1553" s="7"/>
      <c r="M1553" s="7"/>
    </row>
    <row r="1554" ht="15.75" customHeight="1">
      <c r="A1554" s="7" t="s">
        <v>8226</v>
      </c>
      <c r="B1554" s="45" t="s">
        <v>8227</v>
      </c>
      <c r="C1554" s="7" t="s">
        <v>8198</v>
      </c>
      <c r="D1554" s="7" t="s">
        <v>8228</v>
      </c>
      <c r="E1554" s="7" t="s">
        <v>8229</v>
      </c>
      <c r="F1554" s="7" t="s">
        <v>8230</v>
      </c>
      <c r="G1554" s="7"/>
      <c r="H1554" s="46" t="s">
        <v>249</v>
      </c>
      <c r="I1554" s="7" t="s">
        <v>160</v>
      </c>
      <c r="J1554" s="7" t="s">
        <v>148</v>
      </c>
      <c r="K1554" s="7"/>
      <c r="L1554" s="7"/>
      <c r="M1554" s="7"/>
    </row>
    <row r="1555" ht="15.75" customHeight="1">
      <c r="A1555" s="7" t="s">
        <v>8231</v>
      </c>
      <c r="B1555" s="45" t="s">
        <v>8232</v>
      </c>
      <c r="C1555" s="7" t="s">
        <v>8233</v>
      </c>
      <c r="D1555" s="7" t="s">
        <v>8234</v>
      </c>
      <c r="E1555" s="7" t="s">
        <v>8235</v>
      </c>
      <c r="F1555" s="7" t="s">
        <v>8236</v>
      </c>
      <c r="G1555" s="7"/>
      <c r="H1555" s="46" t="s">
        <v>249</v>
      </c>
      <c r="I1555" s="7" t="s">
        <v>160</v>
      </c>
      <c r="J1555" s="7" t="s">
        <v>148</v>
      </c>
      <c r="K1555" s="7"/>
      <c r="L1555" s="7"/>
      <c r="M1555" s="7"/>
    </row>
    <row r="1556" ht="15.75" customHeight="1">
      <c r="A1556" s="7" t="s">
        <v>8237</v>
      </c>
      <c r="B1556" s="45" t="s">
        <v>8238</v>
      </c>
      <c r="C1556" s="7" t="s">
        <v>8239</v>
      </c>
      <c r="D1556" s="7" t="s">
        <v>8240</v>
      </c>
      <c r="E1556" s="7" t="s">
        <v>8241</v>
      </c>
      <c r="F1556" s="7" t="s">
        <v>8242</v>
      </c>
      <c r="G1556" s="7"/>
      <c r="H1556" s="46" t="s">
        <v>249</v>
      </c>
      <c r="I1556" s="7" t="s">
        <v>160</v>
      </c>
      <c r="J1556" s="7" t="s">
        <v>148</v>
      </c>
      <c r="K1556" s="7"/>
      <c r="L1556" s="7"/>
      <c r="M1556" s="7"/>
    </row>
    <row r="1557" ht="15.75" customHeight="1">
      <c r="A1557" s="7" t="s">
        <v>8243</v>
      </c>
      <c r="B1557" s="45" t="s">
        <v>8244</v>
      </c>
      <c r="C1557" s="7" t="s">
        <v>8245</v>
      </c>
      <c r="D1557" s="7" t="s">
        <v>8246</v>
      </c>
      <c r="E1557" s="7" t="s">
        <v>8247</v>
      </c>
      <c r="F1557" s="7" t="s">
        <v>8248</v>
      </c>
      <c r="G1557" s="7"/>
      <c r="H1557" s="46" t="s">
        <v>249</v>
      </c>
      <c r="I1557" s="7" t="s">
        <v>160</v>
      </c>
      <c r="J1557" s="7" t="s">
        <v>148</v>
      </c>
      <c r="K1557" s="7"/>
      <c r="L1557" s="7"/>
      <c r="M1557" s="7"/>
    </row>
    <row r="1558" ht="15.75" customHeight="1">
      <c r="A1558" s="7" t="s">
        <v>8249</v>
      </c>
      <c r="B1558" s="45" t="s">
        <v>8250</v>
      </c>
      <c r="C1558" s="7" t="s">
        <v>8251</v>
      </c>
      <c r="D1558" s="7" t="s">
        <v>8252</v>
      </c>
      <c r="E1558" s="7" t="s">
        <v>8253</v>
      </c>
      <c r="F1558" s="7" t="s">
        <v>8254</v>
      </c>
      <c r="G1558" s="7"/>
      <c r="H1558" s="46" t="s">
        <v>249</v>
      </c>
      <c r="I1558" s="7" t="s">
        <v>160</v>
      </c>
      <c r="J1558" s="7" t="s">
        <v>148</v>
      </c>
      <c r="K1558" s="7"/>
      <c r="L1558" s="7"/>
      <c r="M1558" s="7"/>
    </row>
    <row r="1559" ht="15.75" customHeight="1">
      <c r="A1559" s="7" t="s">
        <v>8255</v>
      </c>
      <c r="B1559" s="45" t="s">
        <v>8256</v>
      </c>
      <c r="C1559" s="7" t="s">
        <v>8257</v>
      </c>
      <c r="D1559" s="7" t="s">
        <v>8258</v>
      </c>
      <c r="E1559" s="7" t="s">
        <v>8259</v>
      </c>
      <c r="F1559" s="7" t="s">
        <v>8260</v>
      </c>
      <c r="G1559" s="7"/>
      <c r="H1559" s="46" t="s">
        <v>249</v>
      </c>
      <c r="I1559" s="7" t="s">
        <v>160</v>
      </c>
      <c r="J1559" s="7" t="s">
        <v>148</v>
      </c>
      <c r="K1559" s="7"/>
      <c r="L1559" s="7"/>
      <c r="M1559" s="7"/>
    </row>
    <row r="1560" ht="15.75" customHeight="1">
      <c r="A1560" s="7" t="s">
        <v>8261</v>
      </c>
      <c r="B1560" s="45" t="s">
        <v>8262</v>
      </c>
      <c r="C1560" s="7" t="s">
        <v>8263</v>
      </c>
      <c r="D1560" s="7" t="s">
        <v>8264</v>
      </c>
      <c r="E1560" s="7" t="s">
        <v>8265</v>
      </c>
      <c r="F1560" s="7" t="s">
        <v>8266</v>
      </c>
      <c r="G1560" s="7"/>
      <c r="H1560" s="46" t="s">
        <v>249</v>
      </c>
      <c r="I1560" s="7" t="s">
        <v>160</v>
      </c>
      <c r="J1560" s="7" t="s">
        <v>148</v>
      </c>
      <c r="K1560" s="7"/>
      <c r="L1560" s="7"/>
      <c r="M1560" s="7"/>
    </row>
    <row r="1561" ht="15.75" customHeight="1">
      <c r="A1561" s="7" t="s">
        <v>8267</v>
      </c>
      <c r="B1561" s="45" t="s">
        <v>8268</v>
      </c>
      <c r="C1561" s="7" t="s">
        <v>8269</v>
      </c>
      <c r="D1561" s="7" t="s">
        <v>8270</v>
      </c>
      <c r="E1561" s="7" t="s">
        <v>8271</v>
      </c>
      <c r="F1561" s="7" t="s">
        <v>8272</v>
      </c>
      <c r="G1561" s="7"/>
      <c r="H1561" s="46" t="s">
        <v>249</v>
      </c>
      <c r="I1561" s="7" t="s">
        <v>160</v>
      </c>
      <c r="J1561" s="7" t="s">
        <v>148</v>
      </c>
      <c r="K1561" s="7"/>
      <c r="L1561" s="7"/>
      <c r="M1561" s="7"/>
    </row>
    <row r="1562" ht="15.75" customHeight="1">
      <c r="A1562" s="7" t="s">
        <v>8273</v>
      </c>
      <c r="B1562" s="45" t="s">
        <v>8274</v>
      </c>
      <c r="C1562" s="7" t="s">
        <v>8210</v>
      </c>
      <c r="D1562" s="7" t="s">
        <v>8275</v>
      </c>
      <c r="E1562" s="7" t="s">
        <v>8276</v>
      </c>
      <c r="F1562" s="7" t="s">
        <v>8277</v>
      </c>
      <c r="G1562" s="7"/>
      <c r="H1562" s="46" t="s">
        <v>249</v>
      </c>
      <c r="I1562" s="7" t="s">
        <v>160</v>
      </c>
      <c r="J1562" s="7" t="s">
        <v>148</v>
      </c>
      <c r="K1562" s="7"/>
      <c r="L1562" s="7"/>
      <c r="M1562" s="7"/>
    </row>
    <row r="1563" ht="15.75" customHeight="1">
      <c r="A1563" s="7" t="s">
        <v>8278</v>
      </c>
      <c r="B1563" s="45" t="s">
        <v>8279</v>
      </c>
      <c r="C1563" s="7" t="s">
        <v>8280</v>
      </c>
      <c r="D1563" s="7" t="s">
        <v>8281</v>
      </c>
      <c r="E1563" s="7" t="s">
        <v>8282</v>
      </c>
      <c r="F1563" s="7" t="s">
        <v>8283</v>
      </c>
      <c r="G1563" s="7"/>
      <c r="H1563" s="46" t="s">
        <v>249</v>
      </c>
      <c r="I1563" s="7" t="s">
        <v>160</v>
      </c>
      <c r="J1563" s="7" t="s">
        <v>148</v>
      </c>
      <c r="K1563" s="7"/>
      <c r="L1563" s="7"/>
      <c r="M1563" s="7"/>
    </row>
    <row r="1564" ht="15.75" customHeight="1">
      <c r="A1564" s="7" t="s">
        <v>8284</v>
      </c>
      <c r="B1564" s="45" t="s">
        <v>8285</v>
      </c>
      <c r="C1564" s="7" t="s">
        <v>8286</v>
      </c>
      <c r="D1564" s="7" t="s">
        <v>8287</v>
      </c>
      <c r="E1564" s="7" t="s">
        <v>8288</v>
      </c>
      <c r="F1564" s="7" t="s">
        <v>8289</v>
      </c>
      <c r="G1564" s="7"/>
      <c r="H1564" s="46" t="s">
        <v>249</v>
      </c>
      <c r="I1564" s="7" t="s">
        <v>160</v>
      </c>
      <c r="J1564" s="7" t="s">
        <v>148</v>
      </c>
      <c r="K1564" s="7"/>
      <c r="L1564" s="7"/>
      <c r="M1564" s="7"/>
    </row>
    <row r="1565" ht="15.75" customHeight="1">
      <c r="A1565" s="7" t="s">
        <v>8290</v>
      </c>
      <c r="B1565" s="45" t="s">
        <v>8291</v>
      </c>
      <c r="C1565" s="7" t="s">
        <v>8292</v>
      </c>
      <c r="D1565" s="7" t="s">
        <v>8293</v>
      </c>
      <c r="E1565" s="7" t="s">
        <v>8294</v>
      </c>
      <c r="F1565" s="7" t="s">
        <v>8295</v>
      </c>
      <c r="G1565" s="7"/>
      <c r="H1565" s="46" t="s">
        <v>249</v>
      </c>
      <c r="I1565" s="7" t="s">
        <v>160</v>
      </c>
      <c r="J1565" s="7" t="s">
        <v>148</v>
      </c>
      <c r="K1565" s="7"/>
      <c r="L1565" s="7"/>
      <c r="M1565" s="7"/>
    </row>
    <row r="1566" ht="15.75" customHeight="1">
      <c r="A1566" s="7" t="s">
        <v>8296</v>
      </c>
      <c r="B1566" s="45" t="s">
        <v>8297</v>
      </c>
      <c r="C1566" s="7" t="s">
        <v>8298</v>
      </c>
      <c r="D1566" s="7" t="s">
        <v>8299</v>
      </c>
      <c r="E1566" s="7" t="s">
        <v>8300</v>
      </c>
      <c r="F1566" s="7" t="s">
        <v>8301</v>
      </c>
      <c r="G1566" s="7"/>
      <c r="H1566" s="46" t="s">
        <v>249</v>
      </c>
      <c r="I1566" s="7" t="s">
        <v>160</v>
      </c>
      <c r="J1566" s="7" t="s">
        <v>148</v>
      </c>
      <c r="K1566" s="7"/>
      <c r="L1566" s="7"/>
      <c r="M1566" s="7"/>
    </row>
    <row r="1567" ht="15.75" customHeight="1">
      <c r="A1567" s="7" t="s">
        <v>8302</v>
      </c>
      <c r="B1567" s="45" t="s">
        <v>8303</v>
      </c>
      <c r="C1567" s="7" t="s">
        <v>8304</v>
      </c>
      <c r="D1567" s="7" t="s">
        <v>8305</v>
      </c>
      <c r="E1567" s="7" t="s">
        <v>8306</v>
      </c>
      <c r="F1567" s="7" t="s">
        <v>8307</v>
      </c>
      <c r="G1567" s="7"/>
      <c r="H1567" s="46" t="s">
        <v>249</v>
      </c>
      <c r="I1567" s="7" t="s">
        <v>160</v>
      </c>
      <c r="J1567" s="7" t="s">
        <v>148</v>
      </c>
      <c r="K1567" s="7"/>
      <c r="L1567" s="7"/>
      <c r="M1567" s="7"/>
    </row>
    <row r="1568" ht="15.75" customHeight="1">
      <c r="A1568" s="7" t="s">
        <v>8308</v>
      </c>
      <c r="B1568" s="45" t="s">
        <v>8309</v>
      </c>
      <c r="C1568" s="7" t="s">
        <v>8310</v>
      </c>
      <c r="D1568" s="7" t="s">
        <v>8311</v>
      </c>
      <c r="E1568" s="7" t="s">
        <v>8312</v>
      </c>
      <c r="F1568" s="7" t="s">
        <v>8313</v>
      </c>
      <c r="G1568" s="7"/>
      <c r="H1568" s="46" t="s">
        <v>249</v>
      </c>
      <c r="I1568" s="7" t="s">
        <v>160</v>
      </c>
      <c r="J1568" s="7" t="s">
        <v>148</v>
      </c>
      <c r="K1568" s="7"/>
      <c r="L1568" s="7"/>
      <c r="M1568" s="7"/>
    </row>
    <row r="1569" ht="15.75" customHeight="1">
      <c r="A1569" s="7" t="s">
        <v>8314</v>
      </c>
      <c r="B1569" s="45" t="s">
        <v>8315</v>
      </c>
      <c r="C1569" s="7" t="s">
        <v>8316</v>
      </c>
      <c r="D1569" s="7" t="s">
        <v>8317</v>
      </c>
      <c r="E1569" s="7" t="s">
        <v>8318</v>
      </c>
      <c r="F1569" s="7" t="s">
        <v>8319</v>
      </c>
      <c r="G1569" s="7"/>
      <c r="H1569" s="46" t="s">
        <v>249</v>
      </c>
      <c r="I1569" s="7" t="s">
        <v>160</v>
      </c>
      <c r="J1569" s="7" t="s">
        <v>148</v>
      </c>
      <c r="K1569" s="7"/>
      <c r="L1569" s="7"/>
      <c r="M1569" s="7"/>
    </row>
    <row r="1570" ht="15.75" customHeight="1">
      <c r="A1570" s="7" t="s">
        <v>8320</v>
      </c>
      <c r="B1570" s="45" t="s">
        <v>8321</v>
      </c>
      <c r="C1570" s="7" t="s">
        <v>8322</v>
      </c>
      <c r="D1570" s="7" t="s">
        <v>8323</v>
      </c>
      <c r="E1570" s="7" t="s">
        <v>8324</v>
      </c>
      <c r="F1570" s="7" t="s">
        <v>8325</v>
      </c>
      <c r="G1570" s="7"/>
      <c r="H1570" s="46" t="s">
        <v>249</v>
      </c>
      <c r="I1570" s="7" t="s">
        <v>160</v>
      </c>
      <c r="J1570" s="7" t="s">
        <v>148</v>
      </c>
      <c r="K1570" s="7"/>
      <c r="L1570" s="7"/>
      <c r="M1570" s="7"/>
    </row>
    <row r="1571" ht="15.75" customHeight="1">
      <c r="A1571" s="7" t="s">
        <v>8326</v>
      </c>
      <c r="B1571" s="45" t="s">
        <v>8327</v>
      </c>
      <c r="C1571" s="7" t="s">
        <v>8328</v>
      </c>
      <c r="D1571" s="7" t="s">
        <v>8329</v>
      </c>
      <c r="E1571" s="7" t="s">
        <v>8330</v>
      </c>
      <c r="F1571" s="7" t="s">
        <v>8331</v>
      </c>
      <c r="G1571" s="7"/>
      <c r="H1571" s="46" t="s">
        <v>249</v>
      </c>
      <c r="I1571" s="7" t="s">
        <v>160</v>
      </c>
      <c r="J1571" s="7" t="s">
        <v>148</v>
      </c>
      <c r="K1571" s="7"/>
      <c r="L1571" s="7"/>
      <c r="M1571" s="7"/>
    </row>
    <row r="1572" ht="15.75" customHeight="1">
      <c r="A1572" s="7" t="s">
        <v>8332</v>
      </c>
      <c r="B1572" s="45" t="s">
        <v>8333</v>
      </c>
      <c r="C1572" s="7" t="s">
        <v>978</v>
      </c>
      <c r="D1572" s="7" t="s">
        <v>8334</v>
      </c>
      <c r="E1572" s="7" t="s">
        <v>8040</v>
      </c>
      <c r="F1572" s="7" t="s">
        <v>973</v>
      </c>
      <c r="G1572" s="7"/>
      <c r="H1572" s="46" t="s">
        <v>249</v>
      </c>
      <c r="I1572" s="7" t="s">
        <v>160</v>
      </c>
      <c r="J1572" s="7" t="s">
        <v>148</v>
      </c>
      <c r="K1572" s="7"/>
      <c r="L1572" s="7"/>
      <c r="M1572" s="7"/>
    </row>
    <row r="1573" ht="15.75" customHeight="1">
      <c r="A1573" s="7" t="s">
        <v>8335</v>
      </c>
      <c r="B1573" s="45" t="s">
        <v>8336</v>
      </c>
      <c r="C1573" s="7" t="s">
        <v>8337</v>
      </c>
      <c r="D1573" s="7" t="s">
        <v>8338</v>
      </c>
      <c r="E1573" s="7" t="s">
        <v>8339</v>
      </c>
      <c r="F1573" s="7" t="s">
        <v>8340</v>
      </c>
      <c r="G1573" s="7"/>
      <c r="H1573" s="46" t="s">
        <v>249</v>
      </c>
      <c r="I1573" s="7" t="s">
        <v>160</v>
      </c>
      <c r="J1573" s="7" t="s">
        <v>148</v>
      </c>
      <c r="K1573" s="7"/>
      <c r="L1573" s="7"/>
      <c r="M1573" s="7"/>
    </row>
    <row r="1574" ht="15.75" customHeight="1">
      <c r="A1574" s="7" t="s">
        <v>8341</v>
      </c>
      <c r="B1574" s="45" t="s">
        <v>8342</v>
      </c>
      <c r="C1574" s="7" t="s">
        <v>8343</v>
      </c>
      <c r="D1574" s="7" t="s">
        <v>8344</v>
      </c>
      <c r="E1574" s="7" t="s">
        <v>8345</v>
      </c>
      <c r="F1574" s="7" t="s">
        <v>8346</v>
      </c>
      <c r="G1574" s="7"/>
      <c r="H1574" s="46" t="s">
        <v>249</v>
      </c>
      <c r="I1574" s="7" t="s">
        <v>160</v>
      </c>
      <c r="J1574" s="7" t="s">
        <v>148</v>
      </c>
      <c r="K1574" s="7"/>
      <c r="L1574" s="7"/>
      <c r="M1574" s="7"/>
    </row>
    <row r="1575" ht="15.75" customHeight="1">
      <c r="A1575" s="7" t="s">
        <v>8347</v>
      </c>
      <c r="B1575" s="45" t="s">
        <v>8348</v>
      </c>
      <c r="C1575" s="7" t="s">
        <v>8349</v>
      </c>
      <c r="D1575" s="7" t="s">
        <v>8350</v>
      </c>
      <c r="E1575" s="7" t="s">
        <v>8351</v>
      </c>
      <c r="F1575" s="7" t="s">
        <v>8352</v>
      </c>
      <c r="G1575" s="7"/>
      <c r="H1575" s="46" t="s">
        <v>249</v>
      </c>
      <c r="I1575" s="7" t="s">
        <v>160</v>
      </c>
      <c r="J1575" s="7" t="s">
        <v>148</v>
      </c>
      <c r="K1575" s="7"/>
      <c r="L1575" s="7"/>
      <c r="M1575" s="7"/>
    </row>
    <row r="1576" ht="15.75" customHeight="1">
      <c r="A1576" s="7" t="s">
        <v>8353</v>
      </c>
      <c r="B1576" s="45" t="s">
        <v>8354</v>
      </c>
      <c r="C1576" s="7" t="s">
        <v>8355</v>
      </c>
      <c r="D1576" s="7" t="s">
        <v>8356</v>
      </c>
      <c r="E1576" s="7" t="s">
        <v>3507</v>
      </c>
      <c r="F1576" s="7" t="s">
        <v>3508</v>
      </c>
      <c r="G1576" s="7"/>
      <c r="H1576" s="46" t="s">
        <v>249</v>
      </c>
      <c r="I1576" s="7" t="s">
        <v>160</v>
      </c>
      <c r="J1576" s="7" t="s">
        <v>148</v>
      </c>
      <c r="K1576" s="7"/>
      <c r="L1576" s="7"/>
      <c r="M1576" s="7"/>
    </row>
    <row r="1577" ht="15.75" customHeight="1">
      <c r="A1577" s="7" t="s">
        <v>8357</v>
      </c>
      <c r="B1577" s="45" t="s">
        <v>8358</v>
      </c>
      <c r="C1577" s="7" t="s">
        <v>8359</v>
      </c>
      <c r="D1577" s="7" t="s">
        <v>8360</v>
      </c>
      <c r="E1577" s="7" t="s">
        <v>8361</v>
      </c>
      <c r="F1577" s="7" t="s">
        <v>8362</v>
      </c>
      <c r="G1577" s="7"/>
      <c r="H1577" s="46" t="s">
        <v>249</v>
      </c>
      <c r="I1577" s="7" t="s">
        <v>160</v>
      </c>
      <c r="J1577" s="7" t="s">
        <v>148</v>
      </c>
      <c r="K1577" s="7"/>
      <c r="L1577" s="7"/>
      <c r="M1577" s="7"/>
    </row>
    <row r="1578" ht="15.75" customHeight="1">
      <c r="A1578" s="7" t="s">
        <v>8363</v>
      </c>
      <c r="B1578" s="45" t="s">
        <v>8364</v>
      </c>
      <c r="C1578" s="7" t="s">
        <v>8365</v>
      </c>
      <c r="D1578" s="7" t="s">
        <v>8366</v>
      </c>
      <c r="E1578" s="7" t="s">
        <v>8367</v>
      </c>
      <c r="F1578" s="7" t="s">
        <v>8368</v>
      </c>
      <c r="G1578" s="7"/>
      <c r="H1578" s="46" t="s">
        <v>249</v>
      </c>
      <c r="I1578" s="7" t="s">
        <v>160</v>
      </c>
      <c r="J1578" s="7" t="s">
        <v>148</v>
      </c>
      <c r="K1578" s="7"/>
      <c r="L1578" s="7"/>
      <c r="M1578" s="7"/>
    </row>
    <row r="1579" ht="15.75" customHeight="1">
      <c r="A1579" s="7" t="s">
        <v>8369</v>
      </c>
      <c r="B1579" s="45" t="s">
        <v>8370</v>
      </c>
      <c r="C1579" s="7" t="s">
        <v>8371</v>
      </c>
      <c r="D1579" s="7" t="s">
        <v>8372</v>
      </c>
      <c r="E1579" s="7" t="s">
        <v>8373</v>
      </c>
      <c r="F1579" s="7" t="s">
        <v>8374</v>
      </c>
      <c r="G1579" s="7"/>
      <c r="H1579" s="46" t="s">
        <v>249</v>
      </c>
      <c r="I1579" s="7" t="s">
        <v>160</v>
      </c>
      <c r="J1579" s="7" t="s">
        <v>148</v>
      </c>
      <c r="K1579" s="7"/>
      <c r="L1579" s="7"/>
      <c r="M1579" s="7"/>
    </row>
    <row r="1580" ht="15.75" customHeight="1">
      <c r="A1580" s="7" t="s">
        <v>8375</v>
      </c>
      <c r="B1580" s="45" t="s">
        <v>8376</v>
      </c>
      <c r="C1580" s="7" t="s">
        <v>8377</v>
      </c>
      <c r="D1580" s="7" t="s">
        <v>8378</v>
      </c>
      <c r="E1580" s="7" t="s">
        <v>8379</v>
      </c>
      <c r="F1580" s="7" t="s">
        <v>8380</v>
      </c>
      <c r="G1580" s="7"/>
      <c r="H1580" s="46" t="s">
        <v>249</v>
      </c>
      <c r="I1580" s="7" t="s">
        <v>160</v>
      </c>
      <c r="J1580" s="7" t="s">
        <v>148</v>
      </c>
      <c r="K1580" s="7"/>
      <c r="L1580" s="7"/>
      <c r="M1580" s="7"/>
    </row>
    <row r="1581" ht="15.75" customHeight="1">
      <c r="A1581" s="7" t="s">
        <v>8381</v>
      </c>
      <c r="B1581" s="45" t="s">
        <v>8382</v>
      </c>
      <c r="C1581" s="7" t="s">
        <v>8383</v>
      </c>
      <c r="D1581" s="7" t="s">
        <v>7472</v>
      </c>
      <c r="E1581" s="7" t="s">
        <v>7473</v>
      </c>
      <c r="F1581" s="7" t="s">
        <v>7474</v>
      </c>
      <c r="G1581" s="7"/>
      <c r="H1581" s="46" t="s">
        <v>249</v>
      </c>
      <c r="I1581" s="7" t="s">
        <v>160</v>
      </c>
      <c r="J1581" s="7" t="s">
        <v>148</v>
      </c>
      <c r="K1581" s="7"/>
      <c r="L1581" s="7"/>
      <c r="M1581" s="7"/>
    </row>
    <row r="1582" ht="15.75" customHeight="1">
      <c r="A1582" s="7" t="s">
        <v>8384</v>
      </c>
      <c r="B1582" s="45" t="s">
        <v>8385</v>
      </c>
      <c r="C1582" s="7" t="s">
        <v>8386</v>
      </c>
      <c r="D1582" s="7" t="s">
        <v>8387</v>
      </c>
      <c r="E1582" s="7" t="s">
        <v>8388</v>
      </c>
      <c r="F1582" s="7" t="s">
        <v>8389</v>
      </c>
      <c r="G1582" s="7"/>
      <c r="H1582" s="46" t="s">
        <v>249</v>
      </c>
      <c r="I1582" s="7" t="s">
        <v>160</v>
      </c>
      <c r="J1582" s="7" t="s">
        <v>148</v>
      </c>
      <c r="K1582" s="7"/>
      <c r="L1582" s="7"/>
      <c r="M1582" s="7"/>
    </row>
    <row r="1583" ht="15.75" customHeight="1">
      <c r="A1583" s="7" t="s">
        <v>8390</v>
      </c>
      <c r="B1583" s="45" t="s">
        <v>8391</v>
      </c>
      <c r="C1583" s="7" t="s">
        <v>8392</v>
      </c>
      <c r="D1583" s="7" t="s">
        <v>8393</v>
      </c>
      <c r="E1583" s="7" t="s">
        <v>8394</v>
      </c>
      <c r="F1583" s="7" t="s">
        <v>8395</v>
      </c>
      <c r="G1583" s="7"/>
      <c r="H1583" s="46" t="s">
        <v>249</v>
      </c>
      <c r="I1583" s="7" t="s">
        <v>160</v>
      </c>
      <c r="J1583" s="7" t="s">
        <v>148</v>
      </c>
      <c r="K1583" s="7"/>
      <c r="L1583" s="7"/>
      <c r="M1583" s="7"/>
    </row>
    <row r="1584" ht="15.75" customHeight="1">
      <c r="A1584" s="7" t="s">
        <v>8396</v>
      </c>
      <c r="B1584" s="45" t="s">
        <v>8397</v>
      </c>
      <c r="C1584" s="7" t="s">
        <v>8398</v>
      </c>
      <c r="D1584" s="7" t="s">
        <v>8399</v>
      </c>
      <c r="E1584" s="7" t="s">
        <v>8400</v>
      </c>
      <c r="F1584" s="7" t="s">
        <v>8401</v>
      </c>
      <c r="G1584" s="7"/>
      <c r="H1584" s="46" t="s">
        <v>249</v>
      </c>
      <c r="I1584" s="7" t="s">
        <v>160</v>
      </c>
      <c r="J1584" s="7" t="s">
        <v>148</v>
      </c>
      <c r="K1584" s="7"/>
      <c r="L1584" s="7"/>
      <c r="M1584" s="7"/>
    </row>
    <row r="1585" ht="15.75" customHeight="1">
      <c r="A1585" s="7" t="s">
        <v>8402</v>
      </c>
      <c r="B1585" s="45" t="s">
        <v>8403</v>
      </c>
      <c r="C1585" s="7" t="s">
        <v>8404</v>
      </c>
      <c r="D1585" s="7" t="s">
        <v>8405</v>
      </c>
      <c r="E1585" s="7" t="s">
        <v>8406</v>
      </c>
      <c r="F1585" s="7" t="s">
        <v>8407</v>
      </c>
      <c r="G1585" s="7"/>
      <c r="H1585" s="46" t="s">
        <v>249</v>
      </c>
      <c r="I1585" s="7" t="s">
        <v>160</v>
      </c>
      <c r="J1585" s="7" t="s">
        <v>148</v>
      </c>
      <c r="K1585" s="7"/>
      <c r="L1585" s="7"/>
      <c r="M1585" s="7"/>
    </row>
    <row r="1586" ht="15.75" customHeight="1">
      <c r="A1586" s="7" t="s">
        <v>8408</v>
      </c>
      <c r="B1586" s="45" t="s">
        <v>8409</v>
      </c>
      <c r="C1586" s="7" t="s">
        <v>8410</v>
      </c>
      <c r="D1586" s="7" t="s">
        <v>8411</v>
      </c>
      <c r="E1586" s="7" t="s">
        <v>8406</v>
      </c>
      <c r="F1586" s="7" t="s">
        <v>8407</v>
      </c>
      <c r="G1586" s="7"/>
      <c r="H1586" s="46" t="s">
        <v>249</v>
      </c>
      <c r="I1586" s="7" t="s">
        <v>160</v>
      </c>
      <c r="J1586" s="7" t="s">
        <v>148</v>
      </c>
      <c r="K1586" s="7"/>
      <c r="L1586" s="7"/>
      <c r="M1586" s="7"/>
    </row>
    <row r="1587" ht="15.75" customHeight="1">
      <c r="A1587" s="7" t="s">
        <v>8412</v>
      </c>
      <c r="B1587" s="45" t="s">
        <v>8413</v>
      </c>
      <c r="C1587" s="7" t="s">
        <v>8414</v>
      </c>
      <c r="D1587" s="7" t="s">
        <v>8415</v>
      </c>
      <c r="E1587" s="7" t="s">
        <v>8416</v>
      </c>
      <c r="F1587" s="7" t="s">
        <v>8417</v>
      </c>
      <c r="G1587" s="7"/>
      <c r="H1587" s="46" t="s">
        <v>249</v>
      </c>
      <c r="I1587" s="7" t="s">
        <v>160</v>
      </c>
      <c r="J1587" s="7" t="s">
        <v>148</v>
      </c>
      <c r="K1587" s="7"/>
      <c r="L1587" s="7"/>
      <c r="M1587" s="7"/>
    </row>
    <row r="1588" ht="15.75" customHeight="1">
      <c r="A1588" s="7" t="s">
        <v>8418</v>
      </c>
      <c r="B1588" s="45" t="s">
        <v>8419</v>
      </c>
      <c r="C1588" s="7" t="s">
        <v>8420</v>
      </c>
      <c r="D1588" s="7" t="s">
        <v>8421</v>
      </c>
      <c r="E1588" s="7" t="s">
        <v>8422</v>
      </c>
      <c r="F1588" s="7" t="s">
        <v>8423</v>
      </c>
      <c r="G1588" s="7"/>
      <c r="H1588" s="46" t="s">
        <v>249</v>
      </c>
      <c r="I1588" s="7" t="s">
        <v>160</v>
      </c>
      <c r="J1588" s="7" t="s">
        <v>148</v>
      </c>
      <c r="K1588" s="7"/>
      <c r="L1588" s="7"/>
      <c r="M1588" s="7"/>
    </row>
    <row r="1589" ht="15.75" customHeight="1">
      <c r="A1589" s="7" t="s">
        <v>8424</v>
      </c>
      <c r="B1589" s="45" t="s">
        <v>8425</v>
      </c>
      <c r="C1589" s="7" t="s">
        <v>8426</v>
      </c>
      <c r="D1589" s="7" t="s">
        <v>8427</v>
      </c>
      <c r="E1589" s="7" t="s">
        <v>8428</v>
      </c>
      <c r="F1589" s="7" t="s">
        <v>8429</v>
      </c>
      <c r="G1589" s="7"/>
      <c r="H1589" s="46" t="s">
        <v>249</v>
      </c>
      <c r="I1589" s="7" t="s">
        <v>160</v>
      </c>
      <c r="J1589" s="7" t="s">
        <v>148</v>
      </c>
      <c r="K1589" s="7"/>
      <c r="L1589" s="7"/>
      <c r="M1589" s="7"/>
    </row>
    <row r="1590" ht="15.75" customHeight="1">
      <c r="A1590" s="7" t="s">
        <v>8430</v>
      </c>
      <c r="B1590" s="45" t="s">
        <v>8431</v>
      </c>
      <c r="C1590" s="7" t="s">
        <v>8432</v>
      </c>
      <c r="D1590" s="7" t="s">
        <v>8433</v>
      </c>
      <c r="E1590" s="7" t="s">
        <v>8434</v>
      </c>
      <c r="F1590" s="7" t="s">
        <v>8435</v>
      </c>
      <c r="G1590" s="7"/>
      <c r="H1590" s="46" t="s">
        <v>249</v>
      </c>
      <c r="I1590" s="7" t="s">
        <v>160</v>
      </c>
      <c r="J1590" s="7" t="s">
        <v>148</v>
      </c>
      <c r="K1590" s="7"/>
      <c r="L1590" s="7"/>
      <c r="M1590" s="7"/>
    </row>
    <row r="1591" ht="15.75" customHeight="1">
      <c r="A1591" s="7" t="s">
        <v>8436</v>
      </c>
      <c r="B1591" s="45" t="s">
        <v>8437</v>
      </c>
      <c r="C1591" s="7" t="s">
        <v>7604</v>
      </c>
      <c r="D1591" s="7" t="s">
        <v>8438</v>
      </c>
      <c r="E1591" s="7" t="s">
        <v>7606</v>
      </c>
      <c r="F1591" s="7" t="s">
        <v>7607</v>
      </c>
      <c r="G1591" s="7"/>
      <c r="H1591" s="46" t="s">
        <v>249</v>
      </c>
      <c r="I1591" s="7" t="s">
        <v>160</v>
      </c>
      <c r="J1591" s="7" t="s">
        <v>148</v>
      </c>
      <c r="K1591" s="7"/>
      <c r="L1591" s="7"/>
      <c r="M1591" s="7"/>
    </row>
    <row r="1592" ht="15.75" customHeight="1">
      <c r="A1592" s="7" t="s">
        <v>8439</v>
      </c>
      <c r="B1592" s="45" t="s">
        <v>8440</v>
      </c>
      <c r="C1592" s="7" t="s">
        <v>8441</v>
      </c>
      <c r="D1592" s="7" t="s">
        <v>8442</v>
      </c>
      <c r="E1592" s="7" t="s">
        <v>8443</v>
      </c>
      <c r="F1592" s="7" t="s">
        <v>8444</v>
      </c>
      <c r="G1592" s="7"/>
      <c r="H1592" s="46" t="s">
        <v>249</v>
      </c>
      <c r="I1592" s="7" t="s">
        <v>160</v>
      </c>
      <c r="J1592" s="7" t="s">
        <v>148</v>
      </c>
      <c r="K1592" s="7"/>
      <c r="L1592" s="7"/>
      <c r="M1592" s="7"/>
    </row>
    <row r="1593" ht="15.75" customHeight="1">
      <c r="A1593" s="7" t="s">
        <v>8445</v>
      </c>
      <c r="B1593" s="45" t="s">
        <v>8446</v>
      </c>
      <c r="C1593" s="7" t="s">
        <v>8447</v>
      </c>
      <c r="D1593" s="7" t="s">
        <v>8448</v>
      </c>
      <c r="E1593" s="7" t="s">
        <v>8449</v>
      </c>
      <c r="F1593" s="7" t="s">
        <v>8450</v>
      </c>
      <c r="G1593" s="7"/>
      <c r="H1593" s="46" t="s">
        <v>249</v>
      </c>
      <c r="I1593" s="7" t="s">
        <v>160</v>
      </c>
      <c r="J1593" s="7" t="s">
        <v>148</v>
      </c>
      <c r="K1593" s="7"/>
      <c r="L1593" s="7"/>
      <c r="M1593" s="7"/>
    </row>
    <row r="1594" ht="15.75" customHeight="1">
      <c r="A1594" s="7" t="s">
        <v>8451</v>
      </c>
      <c r="B1594" s="45" t="s">
        <v>8452</v>
      </c>
      <c r="C1594" s="7" t="s">
        <v>8453</v>
      </c>
      <c r="D1594" s="7" t="s">
        <v>8454</v>
      </c>
      <c r="E1594" s="7" t="s">
        <v>8455</v>
      </c>
      <c r="F1594" s="7" t="s">
        <v>8456</v>
      </c>
      <c r="G1594" s="7"/>
      <c r="H1594" s="46" t="s">
        <v>249</v>
      </c>
      <c r="I1594" s="7" t="s">
        <v>160</v>
      </c>
      <c r="J1594" s="7" t="s">
        <v>148</v>
      </c>
      <c r="K1594" s="7"/>
      <c r="L1594" s="7"/>
      <c r="M1594" s="7"/>
    </row>
    <row r="1595" ht="15.75" customHeight="1">
      <c r="A1595" s="7" t="s">
        <v>8457</v>
      </c>
      <c r="B1595" s="45" t="s">
        <v>8458</v>
      </c>
      <c r="C1595" s="7" t="s">
        <v>8459</v>
      </c>
      <c r="D1595" s="7" t="s">
        <v>8460</v>
      </c>
      <c r="E1595" s="7" t="s">
        <v>8461</v>
      </c>
      <c r="F1595" s="7" t="s">
        <v>8462</v>
      </c>
      <c r="G1595" s="7"/>
      <c r="H1595" s="46" t="s">
        <v>249</v>
      </c>
      <c r="I1595" s="7" t="s">
        <v>160</v>
      </c>
      <c r="J1595" s="7" t="s">
        <v>148</v>
      </c>
      <c r="K1595" s="7"/>
      <c r="L1595" s="7"/>
      <c r="M1595" s="7"/>
    </row>
    <row r="1596" ht="15.75" customHeight="1">
      <c r="A1596" s="7" t="s">
        <v>8463</v>
      </c>
      <c r="B1596" s="45" t="s">
        <v>8464</v>
      </c>
      <c r="C1596" s="7" t="s">
        <v>8465</v>
      </c>
      <c r="D1596" s="7" t="s">
        <v>8466</v>
      </c>
      <c r="E1596" s="7" t="s">
        <v>8467</v>
      </c>
      <c r="F1596" s="7" t="s">
        <v>8468</v>
      </c>
      <c r="G1596" s="7"/>
      <c r="H1596" s="46" t="s">
        <v>249</v>
      </c>
      <c r="I1596" s="7" t="s">
        <v>160</v>
      </c>
      <c r="J1596" s="7" t="s">
        <v>148</v>
      </c>
      <c r="K1596" s="7"/>
      <c r="L1596" s="7"/>
      <c r="M1596" s="7"/>
    </row>
    <row r="1597" ht="15.75" customHeight="1">
      <c r="A1597" s="7" t="s">
        <v>8469</v>
      </c>
      <c r="B1597" s="45" t="s">
        <v>8470</v>
      </c>
      <c r="C1597" s="7" t="s">
        <v>8471</v>
      </c>
      <c r="D1597" s="7" t="s">
        <v>8472</v>
      </c>
      <c r="E1597" s="7" t="s">
        <v>8473</v>
      </c>
      <c r="F1597" s="7" t="s">
        <v>8474</v>
      </c>
      <c r="G1597" s="7"/>
      <c r="H1597" s="46" t="s">
        <v>249</v>
      </c>
      <c r="I1597" s="7" t="s">
        <v>160</v>
      </c>
      <c r="J1597" s="7" t="s">
        <v>148</v>
      </c>
      <c r="K1597" s="7"/>
      <c r="L1597" s="7"/>
      <c r="M1597" s="7"/>
    </row>
    <row r="1598" ht="15.75" customHeight="1">
      <c r="A1598" s="7" t="s">
        <v>8475</v>
      </c>
      <c r="B1598" s="45" t="s">
        <v>8476</v>
      </c>
      <c r="C1598" s="7" t="s">
        <v>8477</v>
      </c>
      <c r="D1598" s="7" t="s">
        <v>8478</v>
      </c>
      <c r="E1598" s="7" t="s">
        <v>8479</v>
      </c>
      <c r="F1598" s="7" t="s">
        <v>8480</v>
      </c>
      <c r="G1598" s="7"/>
      <c r="H1598" s="46" t="s">
        <v>249</v>
      </c>
      <c r="I1598" s="7" t="s">
        <v>160</v>
      </c>
      <c r="J1598" s="7" t="s">
        <v>148</v>
      </c>
      <c r="K1598" s="7"/>
      <c r="L1598" s="7"/>
      <c r="M1598" s="7"/>
    </row>
    <row r="1599" ht="15.75" customHeight="1">
      <c r="A1599" s="7" t="s">
        <v>8481</v>
      </c>
      <c r="B1599" s="45" t="s">
        <v>8482</v>
      </c>
      <c r="C1599" s="7" t="s">
        <v>8483</v>
      </c>
      <c r="D1599" s="7" t="s">
        <v>8484</v>
      </c>
      <c r="E1599" s="7" t="s">
        <v>8485</v>
      </c>
      <c r="F1599" s="7" t="s">
        <v>8486</v>
      </c>
      <c r="G1599" s="7"/>
      <c r="H1599" s="46" t="s">
        <v>249</v>
      </c>
      <c r="I1599" s="7" t="s">
        <v>160</v>
      </c>
      <c r="J1599" s="7" t="s">
        <v>148</v>
      </c>
      <c r="K1599" s="7"/>
      <c r="L1599" s="7"/>
      <c r="M1599" s="7"/>
    </row>
    <row r="1600" ht="15.75" customHeight="1">
      <c r="A1600" s="7" t="s">
        <v>8487</v>
      </c>
      <c r="B1600" s="45" t="s">
        <v>8488</v>
      </c>
      <c r="C1600" s="7" t="s">
        <v>8489</v>
      </c>
      <c r="D1600" s="7" t="s">
        <v>8490</v>
      </c>
      <c r="E1600" s="7" t="s">
        <v>8491</v>
      </c>
      <c r="F1600" s="7" t="s">
        <v>8492</v>
      </c>
      <c r="G1600" s="7"/>
      <c r="H1600" s="46" t="s">
        <v>249</v>
      </c>
      <c r="I1600" s="7" t="s">
        <v>160</v>
      </c>
      <c r="J1600" s="7" t="s">
        <v>148</v>
      </c>
      <c r="K1600" s="7"/>
      <c r="L1600" s="7"/>
      <c r="M1600" s="7"/>
    </row>
    <row r="1601" ht="15.75" customHeight="1">
      <c r="A1601" s="7" t="s">
        <v>8493</v>
      </c>
      <c r="B1601" s="45" t="s">
        <v>8494</v>
      </c>
      <c r="C1601" s="7" t="s">
        <v>5649</v>
      </c>
      <c r="D1601" s="7" t="s">
        <v>8495</v>
      </c>
      <c r="E1601" s="7" t="s">
        <v>8496</v>
      </c>
      <c r="F1601" s="7" t="s">
        <v>5652</v>
      </c>
      <c r="G1601" s="7"/>
      <c r="H1601" s="46" t="s">
        <v>249</v>
      </c>
      <c r="I1601" s="7" t="s">
        <v>160</v>
      </c>
      <c r="J1601" s="7" t="s">
        <v>148</v>
      </c>
      <c r="K1601" s="7"/>
      <c r="L1601" s="7"/>
      <c r="M1601" s="7"/>
    </row>
    <row r="1602" ht="15.75" customHeight="1">
      <c r="A1602" s="7" t="s">
        <v>8497</v>
      </c>
      <c r="B1602" s="45" t="s">
        <v>8498</v>
      </c>
      <c r="C1602" s="7" t="s">
        <v>8499</v>
      </c>
      <c r="D1602" s="7" t="s">
        <v>8500</v>
      </c>
      <c r="E1602" s="7" t="s">
        <v>8501</v>
      </c>
      <c r="F1602" s="7" t="s">
        <v>8502</v>
      </c>
      <c r="G1602" s="7"/>
      <c r="H1602" s="46" t="s">
        <v>249</v>
      </c>
      <c r="I1602" s="7" t="s">
        <v>160</v>
      </c>
      <c r="J1602" s="7" t="s">
        <v>148</v>
      </c>
      <c r="K1602" s="7"/>
      <c r="L1602" s="7"/>
      <c r="M1602" s="7"/>
    </row>
    <row r="1603" ht="15.75" customHeight="1">
      <c r="A1603" s="7" t="s">
        <v>8503</v>
      </c>
      <c r="B1603" s="45" t="s">
        <v>8504</v>
      </c>
      <c r="C1603" s="7" t="s">
        <v>8505</v>
      </c>
      <c r="D1603" s="7" t="s">
        <v>8506</v>
      </c>
      <c r="E1603" s="7" t="s">
        <v>8507</v>
      </c>
      <c r="F1603" s="7" t="s">
        <v>8508</v>
      </c>
      <c r="G1603" s="7"/>
      <c r="H1603" s="46" t="s">
        <v>249</v>
      </c>
      <c r="I1603" s="7" t="s">
        <v>160</v>
      </c>
      <c r="J1603" s="7" t="s">
        <v>148</v>
      </c>
      <c r="K1603" s="7"/>
      <c r="L1603" s="7"/>
      <c r="M1603" s="7"/>
    </row>
    <row r="1604" ht="15.75" customHeight="1">
      <c r="A1604" s="7" t="s">
        <v>8509</v>
      </c>
      <c r="B1604" s="45" t="s">
        <v>8510</v>
      </c>
      <c r="C1604" s="7" t="s">
        <v>8511</v>
      </c>
      <c r="D1604" s="7" t="s">
        <v>8512</v>
      </c>
      <c r="E1604" s="7" t="s">
        <v>8513</v>
      </c>
      <c r="F1604" s="7" t="s">
        <v>8514</v>
      </c>
      <c r="G1604" s="7"/>
      <c r="H1604" s="46" t="s">
        <v>249</v>
      </c>
      <c r="I1604" s="7" t="s">
        <v>160</v>
      </c>
      <c r="J1604" s="7" t="s">
        <v>148</v>
      </c>
      <c r="K1604" s="7"/>
      <c r="L1604" s="7"/>
      <c r="M1604" s="7"/>
    </row>
    <row r="1605" ht="15.75" customHeight="1">
      <c r="A1605" s="7" t="s">
        <v>8515</v>
      </c>
      <c r="B1605" s="45" t="s">
        <v>8516</v>
      </c>
      <c r="C1605" s="7" t="s">
        <v>8517</v>
      </c>
      <c r="D1605" s="7" t="s">
        <v>8518</v>
      </c>
      <c r="E1605" s="7" t="s">
        <v>8519</v>
      </c>
      <c r="F1605" s="7" t="s">
        <v>8520</v>
      </c>
      <c r="G1605" s="7"/>
      <c r="H1605" s="46" t="s">
        <v>249</v>
      </c>
      <c r="I1605" s="7" t="s">
        <v>160</v>
      </c>
      <c r="J1605" s="7" t="s">
        <v>148</v>
      </c>
      <c r="K1605" s="7"/>
      <c r="L1605" s="7"/>
      <c r="M1605" s="7"/>
    </row>
    <row r="1606" ht="15.75" customHeight="1">
      <c r="A1606" s="7" t="s">
        <v>8521</v>
      </c>
      <c r="B1606" s="45" t="s">
        <v>8522</v>
      </c>
      <c r="C1606" s="7" t="s">
        <v>8523</v>
      </c>
      <c r="D1606" s="7" t="s">
        <v>8524</v>
      </c>
      <c r="E1606" s="7" t="s">
        <v>8525</v>
      </c>
      <c r="F1606" s="7" t="s">
        <v>8526</v>
      </c>
      <c r="G1606" s="7"/>
      <c r="H1606" s="46" t="s">
        <v>249</v>
      </c>
      <c r="I1606" s="7" t="s">
        <v>160</v>
      </c>
      <c r="J1606" s="7" t="s">
        <v>148</v>
      </c>
      <c r="K1606" s="7"/>
      <c r="L1606" s="7"/>
      <c r="M1606" s="7"/>
    </row>
    <row r="1607" ht="15.75" customHeight="1">
      <c r="A1607" s="7" t="s">
        <v>8527</v>
      </c>
      <c r="B1607" s="45" t="s">
        <v>8528</v>
      </c>
      <c r="C1607" s="7" t="s">
        <v>8529</v>
      </c>
      <c r="D1607" s="7" t="s">
        <v>8530</v>
      </c>
      <c r="E1607" s="7" t="s">
        <v>8531</v>
      </c>
      <c r="F1607" s="7" t="s">
        <v>8532</v>
      </c>
      <c r="G1607" s="7"/>
      <c r="H1607" s="46" t="s">
        <v>249</v>
      </c>
      <c r="I1607" s="7" t="s">
        <v>160</v>
      </c>
      <c r="J1607" s="7" t="s">
        <v>148</v>
      </c>
      <c r="K1607" s="7"/>
      <c r="L1607" s="7"/>
      <c r="M1607" s="7"/>
    </row>
    <row r="1608" ht="15.75" customHeight="1">
      <c r="A1608" s="7" t="s">
        <v>8533</v>
      </c>
      <c r="B1608" s="45" t="s">
        <v>8534</v>
      </c>
      <c r="C1608" s="7" t="s">
        <v>8535</v>
      </c>
      <c r="D1608" s="7" t="s">
        <v>8536</v>
      </c>
      <c r="E1608" s="7" t="s">
        <v>8537</v>
      </c>
      <c r="F1608" s="7" t="s">
        <v>8538</v>
      </c>
      <c r="G1608" s="7"/>
      <c r="H1608" s="46" t="s">
        <v>249</v>
      </c>
      <c r="I1608" s="7" t="s">
        <v>160</v>
      </c>
      <c r="J1608" s="7" t="s">
        <v>148</v>
      </c>
      <c r="K1608" s="7"/>
      <c r="L1608" s="7"/>
      <c r="M1608" s="7"/>
    </row>
    <row r="1609" ht="15.75" customHeight="1">
      <c r="A1609" s="7" t="s">
        <v>8539</v>
      </c>
      <c r="B1609" s="45" t="s">
        <v>8540</v>
      </c>
      <c r="C1609" s="7" t="s">
        <v>8541</v>
      </c>
      <c r="D1609" s="7" t="s">
        <v>8542</v>
      </c>
      <c r="E1609" s="7" t="s">
        <v>8543</v>
      </c>
      <c r="F1609" s="7" t="s">
        <v>8544</v>
      </c>
      <c r="G1609" s="7"/>
      <c r="H1609" s="46" t="s">
        <v>249</v>
      </c>
      <c r="I1609" s="7" t="s">
        <v>160</v>
      </c>
      <c r="J1609" s="7" t="s">
        <v>148</v>
      </c>
      <c r="K1609" s="7"/>
      <c r="L1609" s="7"/>
      <c r="M1609" s="7"/>
    </row>
    <row r="1610" ht="15.75" customHeight="1">
      <c r="A1610" s="7" t="s">
        <v>8545</v>
      </c>
      <c r="B1610" s="45" t="s">
        <v>8546</v>
      </c>
      <c r="C1610" s="7" t="s">
        <v>8541</v>
      </c>
      <c r="D1610" s="7" t="s">
        <v>8547</v>
      </c>
      <c r="E1610" s="7" t="s">
        <v>8548</v>
      </c>
      <c r="F1610" s="7" t="s">
        <v>8544</v>
      </c>
      <c r="G1610" s="7"/>
      <c r="H1610" s="46" t="s">
        <v>249</v>
      </c>
      <c r="I1610" s="7" t="s">
        <v>160</v>
      </c>
      <c r="J1610" s="7" t="s">
        <v>148</v>
      </c>
      <c r="K1610" s="7"/>
      <c r="L1610" s="7"/>
      <c r="M1610" s="7"/>
    </row>
    <row r="1611" ht="15.75" customHeight="1">
      <c r="A1611" s="7" t="s">
        <v>8549</v>
      </c>
      <c r="B1611" s="45" t="s">
        <v>8550</v>
      </c>
      <c r="C1611" s="7" t="s">
        <v>8551</v>
      </c>
      <c r="D1611" s="7" t="s">
        <v>8552</v>
      </c>
      <c r="E1611" s="7" t="s">
        <v>8553</v>
      </c>
      <c r="F1611" s="7" t="s">
        <v>8554</v>
      </c>
      <c r="G1611" s="7"/>
      <c r="H1611" s="46" t="s">
        <v>249</v>
      </c>
      <c r="I1611" s="7" t="s">
        <v>160</v>
      </c>
      <c r="J1611" s="7" t="s">
        <v>148</v>
      </c>
      <c r="K1611" s="7"/>
      <c r="L1611" s="7"/>
      <c r="M1611" s="7"/>
    </row>
    <row r="1612" ht="15.75" customHeight="1">
      <c r="A1612" s="7" t="s">
        <v>8555</v>
      </c>
      <c r="B1612" s="45" t="s">
        <v>8556</v>
      </c>
      <c r="C1612" s="7" t="s">
        <v>8557</v>
      </c>
      <c r="D1612" s="7" t="s">
        <v>8558</v>
      </c>
      <c r="E1612" s="7" t="s">
        <v>8559</v>
      </c>
      <c r="F1612" s="7" t="s">
        <v>8560</v>
      </c>
      <c r="G1612" s="7"/>
      <c r="H1612" s="46" t="s">
        <v>249</v>
      </c>
      <c r="I1612" s="7" t="s">
        <v>160</v>
      </c>
      <c r="J1612" s="7" t="s">
        <v>148</v>
      </c>
      <c r="K1612" s="7"/>
      <c r="L1612" s="7"/>
      <c r="M1612" s="7"/>
    </row>
    <row r="1613" ht="15.75" customHeight="1">
      <c r="A1613" s="7" t="s">
        <v>8561</v>
      </c>
      <c r="B1613" s="45" t="s">
        <v>8562</v>
      </c>
      <c r="C1613" s="7" t="s">
        <v>8563</v>
      </c>
      <c r="D1613" s="7" t="s">
        <v>8564</v>
      </c>
      <c r="E1613" s="7" t="s">
        <v>8565</v>
      </c>
      <c r="F1613" s="7" t="s">
        <v>8566</v>
      </c>
      <c r="G1613" s="7"/>
      <c r="H1613" s="46" t="s">
        <v>249</v>
      </c>
      <c r="I1613" s="7" t="s">
        <v>160</v>
      </c>
      <c r="J1613" s="7" t="s">
        <v>148</v>
      </c>
      <c r="K1613" s="7"/>
      <c r="L1613" s="7"/>
      <c r="M1613" s="7"/>
    </row>
    <row r="1614" ht="15.75" customHeight="1">
      <c r="A1614" s="7" t="s">
        <v>8567</v>
      </c>
      <c r="B1614" s="45" t="s">
        <v>8568</v>
      </c>
      <c r="C1614" s="7" t="s">
        <v>8569</v>
      </c>
      <c r="D1614" s="7" t="s">
        <v>8570</v>
      </c>
      <c r="E1614" s="7" t="s">
        <v>8571</v>
      </c>
      <c r="F1614" s="7" t="s">
        <v>8572</v>
      </c>
      <c r="G1614" s="7"/>
      <c r="H1614" s="46" t="s">
        <v>249</v>
      </c>
      <c r="I1614" s="7" t="s">
        <v>160</v>
      </c>
      <c r="J1614" s="7" t="s">
        <v>148</v>
      </c>
      <c r="K1614" s="7"/>
      <c r="L1614" s="7"/>
      <c r="M1614" s="7"/>
    </row>
    <row r="1615" ht="15.75" customHeight="1">
      <c r="A1615" s="7" t="s">
        <v>8573</v>
      </c>
      <c r="B1615" s="45" t="s">
        <v>8574</v>
      </c>
      <c r="C1615" s="7" t="s">
        <v>8575</v>
      </c>
      <c r="D1615" s="7" t="s">
        <v>8576</v>
      </c>
      <c r="E1615" s="7" t="s">
        <v>8577</v>
      </c>
      <c r="F1615" s="7" t="s">
        <v>8578</v>
      </c>
      <c r="G1615" s="7"/>
      <c r="H1615" s="46" t="s">
        <v>249</v>
      </c>
      <c r="I1615" s="7" t="s">
        <v>160</v>
      </c>
      <c r="J1615" s="7" t="s">
        <v>148</v>
      </c>
      <c r="K1615" s="7"/>
      <c r="L1615" s="7"/>
      <c r="M1615" s="7"/>
    </row>
    <row r="1616" ht="15.75" customHeight="1">
      <c r="A1616" s="7" t="s">
        <v>8579</v>
      </c>
      <c r="B1616" s="45" t="s">
        <v>8580</v>
      </c>
      <c r="C1616" s="7" t="s">
        <v>8581</v>
      </c>
      <c r="D1616" s="7" t="s">
        <v>8582</v>
      </c>
      <c r="E1616" s="7" t="s">
        <v>8583</v>
      </c>
      <c r="F1616" s="7" t="s">
        <v>8584</v>
      </c>
      <c r="G1616" s="7"/>
      <c r="H1616" s="46" t="s">
        <v>249</v>
      </c>
      <c r="I1616" s="7" t="s">
        <v>160</v>
      </c>
      <c r="J1616" s="7" t="s">
        <v>148</v>
      </c>
      <c r="K1616" s="7"/>
      <c r="L1616" s="7"/>
      <c r="M1616" s="7"/>
    </row>
    <row r="1617" ht="15.75" customHeight="1">
      <c r="A1617" s="7" t="s">
        <v>8585</v>
      </c>
      <c r="B1617" s="45" t="s">
        <v>8586</v>
      </c>
      <c r="C1617" s="7" t="s">
        <v>8337</v>
      </c>
      <c r="D1617" s="7" t="s">
        <v>8587</v>
      </c>
      <c r="E1617" s="7" t="s">
        <v>8339</v>
      </c>
      <c r="F1617" s="7" t="s">
        <v>8340</v>
      </c>
      <c r="G1617" s="7"/>
      <c r="H1617" s="46" t="s">
        <v>249</v>
      </c>
      <c r="I1617" s="7" t="s">
        <v>160</v>
      </c>
      <c r="J1617" s="7" t="s">
        <v>148</v>
      </c>
      <c r="K1617" s="7"/>
      <c r="L1617" s="7"/>
      <c r="M1617" s="7"/>
    </row>
    <row r="1618" ht="15.75" customHeight="1">
      <c r="A1618" s="7" t="s">
        <v>8588</v>
      </c>
      <c r="B1618" s="45" t="s">
        <v>8589</v>
      </c>
      <c r="C1618" s="7" t="s">
        <v>8563</v>
      </c>
      <c r="D1618" s="7" t="s">
        <v>8590</v>
      </c>
      <c r="E1618" s="7" t="s">
        <v>8591</v>
      </c>
      <c r="F1618" s="7" t="s">
        <v>8566</v>
      </c>
      <c r="G1618" s="7"/>
      <c r="H1618" s="46" t="s">
        <v>249</v>
      </c>
      <c r="I1618" s="7" t="s">
        <v>160</v>
      </c>
      <c r="J1618" s="7" t="s">
        <v>148</v>
      </c>
      <c r="K1618" s="7"/>
      <c r="L1618" s="7"/>
      <c r="M1618" s="7"/>
    </row>
    <row r="1619" ht="15.75" customHeight="1">
      <c r="A1619" s="7" t="s">
        <v>8592</v>
      </c>
      <c r="B1619" s="45" t="s">
        <v>8593</v>
      </c>
      <c r="C1619" s="7" t="s">
        <v>8563</v>
      </c>
      <c r="D1619" s="7" t="s">
        <v>8594</v>
      </c>
      <c r="E1619" s="7" t="s">
        <v>8565</v>
      </c>
      <c r="F1619" s="7" t="s">
        <v>8566</v>
      </c>
      <c r="G1619" s="7"/>
      <c r="H1619" s="46" t="s">
        <v>249</v>
      </c>
      <c r="I1619" s="7" t="s">
        <v>160</v>
      </c>
      <c r="J1619" s="7" t="s">
        <v>148</v>
      </c>
      <c r="K1619" s="7"/>
      <c r="L1619" s="7"/>
      <c r="M1619" s="7"/>
    </row>
    <row r="1620" ht="15.75" customHeight="1">
      <c r="A1620" s="7" t="s">
        <v>8595</v>
      </c>
      <c r="B1620" s="45" t="s">
        <v>8596</v>
      </c>
      <c r="C1620" s="7" t="s">
        <v>8563</v>
      </c>
      <c r="D1620" s="7" t="s">
        <v>8597</v>
      </c>
      <c r="E1620" s="7" t="s">
        <v>8565</v>
      </c>
      <c r="F1620" s="7" t="s">
        <v>8566</v>
      </c>
      <c r="G1620" s="7"/>
      <c r="H1620" s="46" t="s">
        <v>249</v>
      </c>
      <c r="I1620" s="7" t="s">
        <v>160</v>
      </c>
      <c r="J1620" s="7" t="s">
        <v>148</v>
      </c>
      <c r="K1620" s="7"/>
      <c r="L1620" s="7"/>
      <c r="M1620" s="7"/>
    </row>
    <row r="1621" ht="15.75" customHeight="1">
      <c r="A1621" s="7" t="s">
        <v>8598</v>
      </c>
      <c r="B1621" s="45" t="s">
        <v>8599</v>
      </c>
      <c r="C1621" s="7" t="s">
        <v>8563</v>
      </c>
      <c r="D1621" s="7" t="s">
        <v>8600</v>
      </c>
      <c r="E1621" s="7" t="s">
        <v>8601</v>
      </c>
      <c r="F1621" s="7" t="s">
        <v>8566</v>
      </c>
      <c r="G1621" s="7"/>
      <c r="H1621" s="46" t="s">
        <v>249</v>
      </c>
      <c r="I1621" s="7" t="s">
        <v>160</v>
      </c>
      <c r="J1621" s="7" t="s">
        <v>148</v>
      </c>
      <c r="K1621" s="7"/>
      <c r="L1621" s="7"/>
      <c r="M1621" s="7"/>
    </row>
    <row r="1622" ht="15.75" customHeight="1">
      <c r="A1622" s="7" t="s">
        <v>8602</v>
      </c>
      <c r="B1622" s="45" t="s">
        <v>8603</v>
      </c>
      <c r="C1622" s="7" t="s">
        <v>8563</v>
      </c>
      <c r="D1622" s="7" t="s">
        <v>8604</v>
      </c>
      <c r="E1622" s="7" t="s">
        <v>8605</v>
      </c>
      <c r="F1622" s="7" t="s">
        <v>8566</v>
      </c>
      <c r="G1622" s="7"/>
      <c r="H1622" s="46" t="s">
        <v>249</v>
      </c>
      <c r="I1622" s="7" t="s">
        <v>160</v>
      </c>
      <c r="J1622" s="7" t="s">
        <v>148</v>
      </c>
      <c r="K1622" s="7"/>
      <c r="L1622" s="7"/>
      <c r="M1622" s="7"/>
    </row>
    <row r="1623" ht="15.75" customHeight="1">
      <c r="A1623" s="7" t="s">
        <v>8606</v>
      </c>
      <c r="B1623" s="45" t="s">
        <v>8607</v>
      </c>
      <c r="C1623" s="7" t="s">
        <v>8608</v>
      </c>
      <c r="D1623" s="7" t="s">
        <v>8609</v>
      </c>
      <c r="E1623" s="7" t="s">
        <v>8610</v>
      </c>
      <c r="F1623" s="7" t="s">
        <v>8611</v>
      </c>
      <c r="G1623" s="7"/>
      <c r="H1623" s="46" t="s">
        <v>249</v>
      </c>
      <c r="I1623" s="7" t="s">
        <v>160</v>
      </c>
      <c r="J1623" s="7" t="s">
        <v>148</v>
      </c>
      <c r="K1623" s="7"/>
      <c r="L1623" s="7"/>
      <c r="M1623" s="7"/>
    </row>
    <row r="1624" ht="15.75" customHeight="1">
      <c r="A1624" s="7" t="s">
        <v>8612</v>
      </c>
      <c r="B1624" s="45" t="s">
        <v>8613</v>
      </c>
      <c r="C1624" s="7" t="s">
        <v>8614</v>
      </c>
      <c r="D1624" s="7" t="s">
        <v>8615</v>
      </c>
      <c r="E1624" s="7" t="s">
        <v>8616</v>
      </c>
      <c r="F1624" s="7" t="s">
        <v>8617</v>
      </c>
      <c r="G1624" s="7"/>
      <c r="H1624" s="46" t="s">
        <v>249</v>
      </c>
      <c r="I1624" s="7" t="s">
        <v>160</v>
      </c>
      <c r="J1624" s="7" t="s">
        <v>148</v>
      </c>
      <c r="K1624" s="7"/>
      <c r="L1624" s="7"/>
      <c r="M1624" s="7"/>
    </row>
    <row r="1625" ht="15.75" customHeight="1">
      <c r="A1625" s="7" t="s">
        <v>8618</v>
      </c>
      <c r="B1625" s="45" t="s">
        <v>8619</v>
      </c>
      <c r="C1625" s="7" t="s">
        <v>8620</v>
      </c>
      <c r="D1625" s="7" t="s">
        <v>8621</v>
      </c>
      <c r="E1625" s="7" t="s">
        <v>8622</v>
      </c>
      <c r="F1625" s="7" t="s">
        <v>8623</v>
      </c>
      <c r="G1625" s="7"/>
      <c r="H1625" s="46" t="s">
        <v>249</v>
      </c>
      <c r="I1625" s="7" t="s">
        <v>160</v>
      </c>
      <c r="J1625" s="7" t="s">
        <v>148</v>
      </c>
      <c r="K1625" s="7"/>
      <c r="L1625" s="7"/>
      <c r="M1625" s="7"/>
    </row>
    <row r="1626" ht="15.75" customHeight="1">
      <c r="A1626" s="7" t="s">
        <v>8624</v>
      </c>
      <c r="B1626" s="45" t="s">
        <v>8625</v>
      </c>
      <c r="C1626" s="7" t="s">
        <v>8626</v>
      </c>
      <c r="D1626" s="7" t="s">
        <v>8627</v>
      </c>
      <c r="E1626" s="7" t="s">
        <v>8628</v>
      </c>
      <c r="F1626" s="7" t="s">
        <v>8629</v>
      </c>
      <c r="G1626" s="7"/>
      <c r="H1626" s="46" t="s">
        <v>249</v>
      </c>
      <c r="I1626" s="7" t="s">
        <v>160</v>
      </c>
      <c r="J1626" s="7" t="s">
        <v>148</v>
      </c>
      <c r="K1626" s="7"/>
      <c r="L1626" s="7"/>
      <c r="M1626" s="7"/>
    </row>
    <row r="1627" ht="15.75" customHeight="1">
      <c r="A1627" s="7" t="s">
        <v>8630</v>
      </c>
      <c r="B1627" s="45" t="s">
        <v>8631</v>
      </c>
      <c r="C1627" s="7" t="s">
        <v>8632</v>
      </c>
      <c r="D1627" s="7" t="s">
        <v>8633</v>
      </c>
      <c r="E1627" s="7" t="s">
        <v>8634</v>
      </c>
      <c r="F1627" s="7" t="s">
        <v>8635</v>
      </c>
      <c r="G1627" s="7"/>
      <c r="H1627" s="46" t="s">
        <v>249</v>
      </c>
      <c r="I1627" s="7" t="s">
        <v>160</v>
      </c>
      <c r="J1627" s="7" t="s">
        <v>148</v>
      </c>
      <c r="K1627" s="7"/>
      <c r="L1627" s="7"/>
      <c r="M1627" s="7"/>
    </row>
    <row r="1628" ht="15.75" customHeight="1">
      <c r="A1628" s="7" t="s">
        <v>8636</v>
      </c>
      <c r="B1628" s="45" t="s">
        <v>8637</v>
      </c>
      <c r="C1628" s="7" t="s">
        <v>8638</v>
      </c>
      <c r="D1628" s="7" t="s">
        <v>8639</v>
      </c>
      <c r="E1628" s="7" t="s">
        <v>8640</v>
      </c>
      <c r="F1628" s="7" t="s">
        <v>8641</v>
      </c>
      <c r="G1628" s="7"/>
      <c r="H1628" s="46" t="s">
        <v>249</v>
      </c>
      <c r="I1628" s="7" t="s">
        <v>160</v>
      </c>
      <c r="J1628" s="7" t="s">
        <v>148</v>
      </c>
      <c r="K1628" s="7"/>
      <c r="L1628" s="7"/>
      <c r="M1628" s="7"/>
    </row>
    <row r="1629" ht="15.75" customHeight="1">
      <c r="A1629" s="7" t="s">
        <v>8642</v>
      </c>
      <c r="B1629" s="45" t="s">
        <v>8643</v>
      </c>
      <c r="C1629" s="7" t="s">
        <v>8644</v>
      </c>
      <c r="D1629" s="7" t="s">
        <v>8645</v>
      </c>
      <c r="E1629" s="7" t="s">
        <v>8646</v>
      </c>
      <c r="F1629" s="7" t="s">
        <v>8647</v>
      </c>
      <c r="G1629" s="7"/>
      <c r="H1629" s="46" t="s">
        <v>249</v>
      </c>
      <c r="I1629" s="7" t="s">
        <v>160</v>
      </c>
      <c r="J1629" s="7" t="s">
        <v>148</v>
      </c>
      <c r="K1629" s="7"/>
      <c r="L1629" s="7"/>
      <c r="M1629" s="7"/>
    </row>
    <row r="1630" ht="15.75" customHeight="1">
      <c r="A1630" s="7" t="s">
        <v>8648</v>
      </c>
      <c r="B1630" s="45" t="s">
        <v>8649</v>
      </c>
      <c r="C1630" s="7" t="s">
        <v>8650</v>
      </c>
      <c r="D1630" s="7" t="s">
        <v>8651</v>
      </c>
      <c r="E1630" s="7" t="s">
        <v>8646</v>
      </c>
      <c r="F1630" s="7" t="s">
        <v>8652</v>
      </c>
      <c r="G1630" s="7"/>
      <c r="H1630" s="46" t="s">
        <v>249</v>
      </c>
      <c r="I1630" s="7" t="s">
        <v>160</v>
      </c>
      <c r="J1630" s="7" t="s">
        <v>148</v>
      </c>
      <c r="K1630" s="7"/>
      <c r="L1630" s="7"/>
      <c r="M1630" s="7"/>
    </row>
    <row r="1631" ht="15.75" customHeight="1">
      <c r="A1631" s="7" t="s">
        <v>8653</v>
      </c>
      <c r="B1631" s="45" t="s">
        <v>8654</v>
      </c>
      <c r="C1631" s="7" t="s">
        <v>8655</v>
      </c>
      <c r="D1631" s="7" t="s">
        <v>8656</v>
      </c>
      <c r="E1631" s="7" t="s">
        <v>8657</v>
      </c>
      <c r="F1631" s="7" t="s">
        <v>8658</v>
      </c>
      <c r="G1631" s="7"/>
      <c r="H1631" s="46" t="s">
        <v>249</v>
      </c>
      <c r="I1631" s="7" t="s">
        <v>160</v>
      </c>
      <c r="J1631" s="7" t="s">
        <v>148</v>
      </c>
      <c r="K1631" s="7"/>
      <c r="L1631" s="7"/>
      <c r="M1631" s="7"/>
    </row>
    <row r="1632" ht="15.75" customHeight="1">
      <c r="A1632" s="7" t="s">
        <v>8659</v>
      </c>
      <c r="B1632" s="45" t="s">
        <v>8660</v>
      </c>
      <c r="C1632" s="7" t="s">
        <v>8661</v>
      </c>
      <c r="D1632" s="7" t="s">
        <v>8662</v>
      </c>
      <c r="E1632" s="7" t="s">
        <v>8663</v>
      </c>
      <c r="F1632" s="7" t="s">
        <v>8664</v>
      </c>
      <c r="G1632" s="7"/>
      <c r="H1632" s="46" t="s">
        <v>249</v>
      </c>
      <c r="I1632" s="7" t="s">
        <v>160</v>
      </c>
      <c r="J1632" s="7" t="s">
        <v>148</v>
      </c>
      <c r="K1632" s="7"/>
      <c r="L1632" s="7"/>
      <c r="M1632" s="7"/>
    </row>
    <row r="1633" ht="15.75" customHeight="1">
      <c r="A1633" s="7" t="s">
        <v>8665</v>
      </c>
      <c r="B1633" s="45" t="s">
        <v>8666</v>
      </c>
      <c r="C1633" s="7" t="s">
        <v>8667</v>
      </c>
      <c r="D1633" s="7" t="s">
        <v>8668</v>
      </c>
      <c r="E1633" s="7" t="s">
        <v>8669</v>
      </c>
      <c r="F1633" s="7" t="s">
        <v>8670</v>
      </c>
      <c r="G1633" s="7"/>
      <c r="H1633" s="46" t="s">
        <v>249</v>
      </c>
      <c r="I1633" s="7" t="s">
        <v>160</v>
      </c>
      <c r="J1633" s="7" t="s">
        <v>148</v>
      </c>
      <c r="K1633" s="7"/>
      <c r="L1633" s="7"/>
      <c r="M1633" s="7"/>
    </row>
    <row r="1634" ht="15.75" customHeight="1">
      <c r="A1634" s="7" t="s">
        <v>8671</v>
      </c>
      <c r="B1634" s="45" t="s">
        <v>8672</v>
      </c>
      <c r="C1634" s="7" t="s">
        <v>8673</v>
      </c>
      <c r="D1634" s="7" t="s">
        <v>8674</v>
      </c>
      <c r="E1634" s="7" t="s">
        <v>8675</v>
      </c>
      <c r="F1634" s="7" t="s">
        <v>8676</v>
      </c>
      <c r="G1634" s="7"/>
      <c r="H1634" s="46" t="s">
        <v>249</v>
      </c>
      <c r="I1634" s="7" t="s">
        <v>160</v>
      </c>
      <c r="J1634" s="7" t="s">
        <v>148</v>
      </c>
      <c r="K1634" s="7"/>
      <c r="L1634" s="7"/>
      <c r="M1634" s="7"/>
    </row>
    <row r="1635" ht="15.75" customHeight="1">
      <c r="A1635" s="7" t="s">
        <v>8677</v>
      </c>
      <c r="B1635" s="45" t="s">
        <v>8678</v>
      </c>
      <c r="C1635" s="7" t="s">
        <v>8679</v>
      </c>
      <c r="D1635" s="7" t="s">
        <v>8680</v>
      </c>
      <c r="E1635" s="7" t="s">
        <v>8681</v>
      </c>
      <c r="F1635" s="7" t="s">
        <v>8682</v>
      </c>
      <c r="G1635" s="7"/>
      <c r="H1635" s="46" t="s">
        <v>249</v>
      </c>
      <c r="I1635" s="7" t="s">
        <v>160</v>
      </c>
      <c r="J1635" s="7" t="s">
        <v>148</v>
      </c>
      <c r="K1635" s="7"/>
      <c r="L1635" s="7"/>
      <c r="M1635" s="7"/>
    </row>
    <row r="1636" ht="15.75" customHeight="1">
      <c r="A1636" s="7" t="s">
        <v>8683</v>
      </c>
      <c r="B1636" s="45" t="s">
        <v>8684</v>
      </c>
      <c r="C1636" s="7" t="s">
        <v>8685</v>
      </c>
      <c r="D1636" s="7" t="s">
        <v>8686</v>
      </c>
      <c r="E1636" s="7" t="s">
        <v>8687</v>
      </c>
      <c r="F1636" s="7" t="s">
        <v>8688</v>
      </c>
      <c r="G1636" s="7"/>
      <c r="H1636" s="46" t="s">
        <v>249</v>
      </c>
      <c r="I1636" s="7" t="s">
        <v>160</v>
      </c>
      <c r="J1636" s="7" t="s">
        <v>148</v>
      </c>
      <c r="K1636" s="7"/>
      <c r="L1636" s="7"/>
      <c r="M1636" s="7"/>
    </row>
    <row r="1637" ht="15.75" customHeight="1">
      <c r="A1637" s="7" t="s">
        <v>8689</v>
      </c>
      <c r="B1637" s="45" t="s">
        <v>8690</v>
      </c>
      <c r="C1637" s="7" t="s">
        <v>8691</v>
      </c>
      <c r="D1637" s="7" t="s">
        <v>8692</v>
      </c>
      <c r="E1637" s="7" t="s">
        <v>8693</v>
      </c>
      <c r="F1637" s="7" t="s">
        <v>8694</v>
      </c>
      <c r="G1637" s="7"/>
      <c r="H1637" s="46" t="s">
        <v>249</v>
      </c>
      <c r="I1637" s="7" t="s">
        <v>160</v>
      </c>
      <c r="J1637" s="7" t="s">
        <v>148</v>
      </c>
      <c r="K1637" s="7"/>
      <c r="L1637" s="7"/>
      <c r="M1637" s="7"/>
    </row>
    <row r="1638" ht="15.75" customHeight="1">
      <c r="A1638" s="7" t="s">
        <v>8695</v>
      </c>
      <c r="B1638" s="45" t="s">
        <v>8696</v>
      </c>
      <c r="C1638" s="7" t="s">
        <v>8697</v>
      </c>
      <c r="D1638" s="7" t="s">
        <v>8698</v>
      </c>
      <c r="E1638" s="7" t="s">
        <v>8699</v>
      </c>
      <c r="F1638" s="7" t="s">
        <v>8700</v>
      </c>
      <c r="G1638" s="7"/>
      <c r="H1638" s="46" t="s">
        <v>249</v>
      </c>
      <c r="I1638" s="7" t="s">
        <v>160</v>
      </c>
      <c r="J1638" s="7" t="s">
        <v>148</v>
      </c>
      <c r="K1638" s="7"/>
      <c r="L1638" s="7"/>
      <c r="M1638" s="7"/>
    </row>
    <row r="1639" ht="15.75" customHeight="1">
      <c r="A1639" s="7" t="s">
        <v>8701</v>
      </c>
      <c r="B1639" s="45" t="s">
        <v>8702</v>
      </c>
      <c r="C1639" s="7" t="s">
        <v>8703</v>
      </c>
      <c r="D1639" s="7" t="s">
        <v>8704</v>
      </c>
      <c r="E1639" s="7" t="s">
        <v>8705</v>
      </c>
      <c r="F1639" s="7" t="s">
        <v>8706</v>
      </c>
      <c r="G1639" s="7"/>
      <c r="H1639" s="46" t="s">
        <v>249</v>
      </c>
      <c r="I1639" s="7" t="s">
        <v>160</v>
      </c>
      <c r="J1639" s="7" t="s">
        <v>148</v>
      </c>
      <c r="K1639" s="7"/>
      <c r="L1639" s="7"/>
      <c r="M1639" s="7"/>
    </row>
    <row r="1640" ht="15.75" customHeight="1">
      <c r="A1640" s="7" t="s">
        <v>8707</v>
      </c>
      <c r="B1640" s="45" t="s">
        <v>8708</v>
      </c>
      <c r="C1640" s="7" t="s">
        <v>8709</v>
      </c>
      <c r="D1640" s="7" t="s">
        <v>8710</v>
      </c>
      <c r="E1640" s="7" t="s">
        <v>8711</v>
      </c>
      <c r="F1640" s="7" t="s">
        <v>8712</v>
      </c>
      <c r="G1640" s="7"/>
      <c r="H1640" s="46" t="s">
        <v>249</v>
      </c>
      <c r="I1640" s="7" t="s">
        <v>160</v>
      </c>
      <c r="J1640" s="7" t="s">
        <v>148</v>
      </c>
      <c r="K1640" s="7"/>
      <c r="L1640" s="7"/>
      <c r="M1640" s="7"/>
    </row>
    <row r="1641" ht="15.75" customHeight="1">
      <c r="A1641" s="7" t="s">
        <v>8713</v>
      </c>
      <c r="B1641" s="45" t="s">
        <v>8714</v>
      </c>
      <c r="C1641" s="7" t="s">
        <v>8715</v>
      </c>
      <c r="D1641" s="7" t="s">
        <v>8716</v>
      </c>
      <c r="E1641" s="7" t="s">
        <v>8717</v>
      </c>
      <c r="F1641" s="7" t="s">
        <v>5785</v>
      </c>
      <c r="G1641" s="7"/>
      <c r="H1641" s="46" t="s">
        <v>249</v>
      </c>
      <c r="I1641" s="7" t="s">
        <v>160</v>
      </c>
      <c r="J1641" s="7" t="s">
        <v>148</v>
      </c>
      <c r="K1641" s="7"/>
      <c r="L1641" s="7"/>
      <c r="M1641" s="7"/>
    </row>
    <row r="1642" ht="15.75" customHeight="1">
      <c r="A1642" s="7" t="s">
        <v>8718</v>
      </c>
      <c r="B1642" s="45" t="s">
        <v>8719</v>
      </c>
      <c r="C1642" s="7" t="s">
        <v>8720</v>
      </c>
      <c r="D1642" s="7" t="s">
        <v>8721</v>
      </c>
      <c r="E1642" s="7" t="s">
        <v>8722</v>
      </c>
      <c r="F1642" s="7" t="s">
        <v>8723</v>
      </c>
      <c r="G1642" s="7"/>
      <c r="H1642" s="46" t="s">
        <v>249</v>
      </c>
      <c r="I1642" s="7" t="s">
        <v>160</v>
      </c>
      <c r="J1642" s="7" t="s">
        <v>148</v>
      </c>
      <c r="K1642" s="7"/>
      <c r="L1642" s="7"/>
      <c r="M1642" s="7"/>
    </row>
    <row r="1643" ht="15.75" customHeight="1">
      <c r="A1643" s="7" t="s">
        <v>8724</v>
      </c>
      <c r="B1643" s="45" t="s">
        <v>8725</v>
      </c>
      <c r="C1643" s="7" t="s">
        <v>8726</v>
      </c>
      <c r="D1643" s="7" t="s">
        <v>8727</v>
      </c>
      <c r="E1643" s="7" t="s">
        <v>8728</v>
      </c>
      <c r="F1643" s="7" t="s">
        <v>3380</v>
      </c>
      <c r="G1643" s="7"/>
      <c r="H1643" s="46" t="s">
        <v>249</v>
      </c>
      <c r="I1643" s="7" t="s">
        <v>160</v>
      </c>
      <c r="J1643" s="7" t="s">
        <v>148</v>
      </c>
      <c r="K1643" s="7"/>
      <c r="L1643" s="7"/>
      <c r="M1643" s="7"/>
    </row>
    <row r="1644" ht="15.75" customHeight="1">
      <c r="A1644" s="7" t="s">
        <v>8729</v>
      </c>
      <c r="B1644" s="45" t="s">
        <v>8730</v>
      </c>
      <c r="C1644" s="7" t="s">
        <v>8731</v>
      </c>
      <c r="D1644" s="7" t="s">
        <v>8732</v>
      </c>
      <c r="E1644" s="7" t="s">
        <v>8733</v>
      </c>
      <c r="F1644" s="7" t="s">
        <v>8734</v>
      </c>
      <c r="G1644" s="7"/>
      <c r="H1644" s="46" t="s">
        <v>249</v>
      </c>
      <c r="I1644" s="7" t="s">
        <v>160</v>
      </c>
      <c r="J1644" s="7" t="s">
        <v>148</v>
      </c>
      <c r="K1644" s="7"/>
      <c r="L1644" s="7"/>
      <c r="M1644" s="7"/>
    </row>
    <row r="1645" ht="15.75" customHeight="1">
      <c r="A1645" s="7" t="s">
        <v>8735</v>
      </c>
      <c r="B1645" s="45" t="s">
        <v>8736</v>
      </c>
      <c r="C1645" s="7" t="s">
        <v>8737</v>
      </c>
      <c r="D1645" s="7" t="s">
        <v>8738</v>
      </c>
      <c r="E1645" s="7" t="s">
        <v>8739</v>
      </c>
      <c r="F1645" s="7" t="s">
        <v>8740</v>
      </c>
      <c r="G1645" s="7"/>
      <c r="H1645" s="46" t="s">
        <v>249</v>
      </c>
      <c r="I1645" s="7" t="s">
        <v>160</v>
      </c>
      <c r="J1645" s="7" t="s">
        <v>148</v>
      </c>
      <c r="K1645" s="7"/>
      <c r="L1645" s="7"/>
      <c r="M1645" s="7"/>
    </row>
    <row r="1646" ht="15.75" customHeight="1">
      <c r="A1646" s="7" t="s">
        <v>8741</v>
      </c>
      <c r="B1646" s="45" t="s">
        <v>8742</v>
      </c>
      <c r="C1646" s="7" t="s">
        <v>8743</v>
      </c>
      <c r="D1646" s="7" t="s">
        <v>8744</v>
      </c>
      <c r="E1646" s="7" t="s">
        <v>8745</v>
      </c>
      <c r="F1646" s="7" t="s">
        <v>8746</v>
      </c>
      <c r="G1646" s="7"/>
      <c r="H1646" s="46" t="s">
        <v>249</v>
      </c>
      <c r="I1646" s="7" t="s">
        <v>160</v>
      </c>
      <c r="J1646" s="7" t="s">
        <v>148</v>
      </c>
      <c r="K1646" s="7"/>
      <c r="L1646" s="7"/>
      <c r="M1646" s="7"/>
    </row>
    <row r="1647" ht="15.75" customHeight="1">
      <c r="A1647" s="7" t="s">
        <v>8747</v>
      </c>
      <c r="B1647" s="45" t="s">
        <v>8748</v>
      </c>
      <c r="C1647" s="7" t="s">
        <v>8749</v>
      </c>
      <c r="D1647" s="7" t="s">
        <v>8750</v>
      </c>
      <c r="E1647" s="7" t="s">
        <v>8751</v>
      </c>
      <c r="F1647" s="7" t="s">
        <v>8752</v>
      </c>
      <c r="G1647" s="7"/>
      <c r="H1647" s="46" t="s">
        <v>249</v>
      </c>
      <c r="I1647" s="7" t="s">
        <v>160</v>
      </c>
      <c r="J1647" s="7" t="s">
        <v>148</v>
      </c>
      <c r="K1647" s="7"/>
      <c r="L1647" s="7"/>
      <c r="M1647" s="7"/>
    </row>
    <row r="1648" ht="15.75" customHeight="1">
      <c r="A1648" s="7" t="s">
        <v>8753</v>
      </c>
      <c r="B1648" s="45" t="s">
        <v>8754</v>
      </c>
      <c r="C1648" s="7" t="s">
        <v>8755</v>
      </c>
      <c r="D1648" s="7" t="s">
        <v>8756</v>
      </c>
      <c r="E1648" s="7" t="s">
        <v>8757</v>
      </c>
      <c r="F1648" s="7" t="s">
        <v>8758</v>
      </c>
      <c r="G1648" s="7"/>
      <c r="H1648" s="46" t="s">
        <v>249</v>
      </c>
      <c r="I1648" s="7" t="s">
        <v>160</v>
      </c>
      <c r="J1648" s="7" t="s">
        <v>148</v>
      </c>
      <c r="K1648" s="7"/>
      <c r="L1648" s="7"/>
      <c r="M1648" s="7"/>
    </row>
    <row r="1649" ht="15.75" customHeight="1">
      <c r="A1649" s="7" t="s">
        <v>8759</v>
      </c>
      <c r="B1649" s="45" t="s">
        <v>8760</v>
      </c>
      <c r="C1649" s="7" t="s">
        <v>8761</v>
      </c>
      <c r="D1649" s="7" t="s">
        <v>8762</v>
      </c>
      <c r="E1649" s="7" t="s">
        <v>8763</v>
      </c>
      <c r="F1649" s="7" t="s">
        <v>8764</v>
      </c>
      <c r="G1649" s="7"/>
      <c r="H1649" s="46" t="s">
        <v>249</v>
      </c>
      <c r="I1649" s="7" t="s">
        <v>160</v>
      </c>
      <c r="J1649" s="7" t="s">
        <v>148</v>
      </c>
      <c r="K1649" s="7"/>
      <c r="L1649" s="7"/>
      <c r="M1649" s="7"/>
    </row>
    <row r="1650" ht="15.75" customHeight="1">
      <c r="A1650" s="7" t="s">
        <v>8765</v>
      </c>
      <c r="B1650" s="45" t="s">
        <v>8766</v>
      </c>
      <c r="C1650" s="7" t="s">
        <v>8767</v>
      </c>
      <c r="D1650" s="7" t="s">
        <v>8768</v>
      </c>
      <c r="E1650" s="7" t="s">
        <v>8769</v>
      </c>
      <c r="F1650" s="7" t="s">
        <v>8770</v>
      </c>
      <c r="G1650" s="7"/>
      <c r="H1650" s="46" t="s">
        <v>249</v>
      </c>
      <c r="I1650" s="7" t="s">
        <v>160</v>
      </c>
      <c r="J1650" s="7" t="s">
        <v>148</v>
      </c>
      <c r="K1650" s="7"/>
      <c r="L1650" s="7"/>
      <c r="M1650" s="7"/>
    </row>
    <row r="1651" ht="15.75" customHeight="1">
      <c r="A1651" s="7" t="s">
        <v>8771</v>
      </c>
      <c r="B1651" s="45" t="s">
        <v>8772</v>
      </c>
      <c r="C1651" s="7" t="s">
        <v>7068</v>
      </c>
      <c r="D1651" s="7" t="s">
        <v>8773</v>
      </c>
      <c r="E1651" s="7" t="s">
        <v>8774</v>
      </c>
      <c r="F1651" s="7" t="s">
        <v>8775</v>
      </c>
      <c r="G1651" s="7"/>
      <c r="H1651" s="46" t="s">
        <v>249</v>
      </c>
      <c r="I1651" s="7" t="s">
        <v>160</v>
      </c>
      <c r="J1651" s="7" t="s">
        <v>148</v>
      </c>
      <c r="K1651" s="7"/>
      <c r="L1651" s="7"/>
      <c r="M1651" s="7"/>
    </row>
    <row r="1652" ht="15.75" customHeight="1">
      <c r="A1652" s="7" t="s">
        <v>8776</v>
      </c>
      <c r="B1652" s="45" t="s">
        <v>8777</v>
      </c>
      <c r="C1652" s="7" t="s">
        <v>1899</v>
      </c>
      <c r="D1652" s="7" t="s">
        <v>8778</v>
      </c>
      <c r="E1652" s="7" t="s">
        <v>1901</v>
      </c>
      <c r="F1652" s="7" t="s">
        <v>1902</v>
      </c>
      <c r="G1652" s="7"/>
      <c r="H1652" s="46" t="s">
        <v>249</v>
      </c>
      <c r="I1652" s="7" t="s">
        <v>160</v>
      </c>
      <c r="J1652" s="7" t="s">
        <v>148</v>
      </c>
      <c r="K1652" s="7"/>
      <c r="L1652" s="7"/>
      <c r="M1652" s="7"/>
    </row>
    <row r="1653" ht="15.75" customHeight="1">
      <c r="A1653" s="7" t="s">
        <v>8779</v>
      </c>
      <c r="B1653" s="45" t="s">
        <v>8780</v>
      </c>
      <c r="C1653" s="7" t="s">
        <v>1899</v>
      </c>
      <c r="D1653" s="7" t="s">
        <v>8781</v>
      </c>
      <c r="E1653" s="7" t="s">
        <v>1901</v>
      </c>
      <c r="F1653" s="7" t="s">
        <v>1902</v>
      </c>
      <c r="G1653" s="7"/>
      <c r="H1653" s="46" t="s">
        <v>249</v>
      </c>
      <c r="I1653" s="7" t="s">
        <v>160</v>
      </c>
      <c r="J1653" s="7" t="s">
        <v>148</v>
      </c>
      <c r="K1653" s="7"/>
      <c r="L1653" s="7"/>
      <c r="M1653" s="7"/>
    </row>
    <row r="1654" ht="15.75" customHeight="1">
      <c r="A1654" s="7" t="s">
        <v>8782</v>
      </c>
      <c r="B1654" s="45" t="s">
        <v>8783</v>
      </c>
      <c r="C1654" s="7" t="s">
        <v>1899</v>
      </c>
      <c r="D1654" s="7" t="s">
        <v>8784</v>
      </c>
      <c r="E1654" s="7" t="s">
        <v>1901</v>
      </c>
      <c r="F1654" s="7" t="s">
        <v>1902</v>
      </c>
      <c r="G1654" s="7"/>
      <c r="H1654" s="46" t="s">
        <v>249</v>
      </c>
      <c r="I1654" s="7" t="s">
        <v>160</v>
      </c>
      <c r="J1654" s="7" t="s">
        <v>148</v>
      </c>
      <c r="K1654" s="7"/>
      <c r="L1654" s="7"/>
      <c r="M1654" s="7"/>
    </row>
    <row r="1655" ht="15.75" customHeight="1">
      <c r="A1655" s="7" t="s">
        <v>8785</v>
      </c>
      <c r="B1655" s="45" t="s">
        <v>8786</v>
      </c>
      <c r="C1655" s="7" t="s">
        <v>1899</v>
      </c>
      <c r="D1655" s="7" t="s">
        <v>8787</v>
      </c>
      <c r="E1655" s="7" t="s">
        <v>1901</v>
      </c>
      <c r="F1655" s="7" t="s">
        <v>1902</v>
      </c>
      <c r="G1655" s="7"/>
      <c r="H1655" s="46" t="s">
        <v>249</v>
      </c>
      <c r="I1655" s="7" t="s">
        <v>160</v>
      </c>
      <c r="J1655" s="7" t="s">
        <v>148</v>
      </c>
      <c r="K1655" s="7"/>
      <c r="L1655" s="7"/>
      <c r="M1655" s="7"/>
    </row>
    <row r="1656" ht="15.75" customHeight="1">
      <c r="A1656" s="7" t="s">
        <v>8788</v>
      </c>
      <c r="B1656" s="45" t="s">
        <v>8789</v>
      </c>
      <c r="C1656" s="7" t="s">
        <v>1899</v>
      </c>
      <c r="D1656" s="7" t="s">
        <v>8790</v>
      </c>
      <c r="E1656" s="7" t="s">
        <v>1901</v>
      </c>
      <c r="F1656" s="7" t="s">
        <v>1902</v>
      </c>
      <c r="G1656" s="7"/>
      <c r="H1656" s="46" t="s">
        <v>249</v>
      </c>
      <c r="I1656" s="7" t="s">
        <v>160</v>
      </c>
      <c r="J1656" s="7" t="s">
        <v>148</v>
      </c>
      <c r="K1656" s="7"/>
      <c r="L1656" s="7"/>
      <c r="M1656" s="7"/>
    </row>
    <row r="1657" ht="15.75" customHeight="1">
      <c r="A1657" s="7" t="s">
        <v>8791</v>
      </c>
      <c r="B1657" s="45" t="s">
        <v>8792</v>
      </c>
      <c r="C1657" s="7" t="s">
        <v>8793</v>
      </c>
      <c r="D1657" s="7" t="s">
        <v>8794</v>
      </c>
      <c r="E1657" s="7" t="s">
        <v>8795</v>
      </c>
      <c r="F1657" s="7" t="s">
        <v>8796</v>
      </c>
      <c r="G1657" s="7"/>
      <c r="H1657" s="46" t="s">
        <v>249</v>
      </c>
      <c r="I1657" s="7" t="s">
        <v>160</v>
      </c>
      <c r="J1657" s="7" t="s">
        <v>148</v>
      </c>
      <c r="K1657" s="7"/>
      <c r="L1657" s="7"/>
      <c r="M1657" s="7"/>
    </row>
    <row r="1658" ht="15.75" customHeight="1">
      <c r="A1658" s="7" t="s">
        <v>8797</v>
      </c>
      <c r="B1658" s="45" t="s">
        <v>8798</v>
      </c>
      <c r="C1658" s="7" t="s">
        <v>1943</v>
      </c>
      <c r="D1658" s="7" t="s">
        <v>8799</v>
      </c>
      <c r="E1658" s="7" t="s">
        <v>8800</v>
      </c>
      <c r="F1658" s="7" t="s">
        <v>1946</v>
      </c>
      <c r="G1658" s="7"/>
      <c r="H1658" s="46" t="s">
        <v>249</v>
      </c>
      <c r="I1658" s="7" t="s">
        <v>160</v>
      </c>
      <c r="J1658" s="7" t="s">
        <v>148</v>
      </c>
      <c r="K1658" s="7"/>
      <c r="L1658" s="7"/>
      <c r="M1658" s="7"/>
    </row>
    <row r="1659" ht="15.75" customHeight="1">
      <c r="A1659" s="7" t="s">
        <v>8801</v>
      </c>
      <c r="B1659" s="45" t="s">
        <v>8802</v>
      </c>
      <c r="C1659" s="7" t="s">
        <v>8803</v>
      </c>
      <c r="D1659" s="7" t="s">
        <v>8804</v>
      </c>
      <c r="E1659" s="7" t="s">
        <v>8805</v>
      </c>
      <c r="F1659" s="7" t="s">
        <v>8806</v>
      </c>
      <c r="G1659" s="7"/>
      <c r="H1659" s="46" t="s">
        <v>249</v>
      </c>
      <c r="I1659" s="7" t="s">
        <v>160</v>
      </c>
      <c r="J1659" s="7" t="s">
        <v>148</v>
      </c>
      <c r="K1659" s="7"/>
      <c r="L1659" s="7"/>
      <c r="M1659" s="7"/>
    </row>
    <row r="1660" ht="15.75" customHeight="1">
      <c r="A1660" s="7" t="s">
        <v>8807</v>
      </c>
      <c r="B1660" s="45" t="s">
        <v>8808</v>
      </c>
      <c r="C1660" s="7" t="s">
        <v>8809</v>
      </c>
      <c r="D1660" s="7" t="s">
        <v>8810</v>
      </c>
      <c r="E1660" s="7" t="s">
        <v>8811</v>
      </c>
      <c r="F1660" s="7" t="s">
        <v>8812</v>
      </c>
      <c r="G1660" s="7"/>
      <c r="H1660" s="46" t="s">
        <v>249</v>
      </c>
      <c r="I1660" s="7" t="s">
        <v>160</v>
      </c>
      <c r="J1660" s="7" t="s">
        <v>148</v>
      </c>
      <c r="K1660" s="7"/>
      <c r="L1660" s="7"/>
      <c r="M1660" s="7"/>
    </row>
    <row r="1661" ht="15.75" customHeight="1">
      <c r="A1661" s="7" t="s">
        <v>8813</v>
      </c>
      <c r="B1661" s="45" t="s">
        <v>8814</v>
      </c>
      <c r="C1661" s="7" t="s">
        <v>8815</v>
      </c>
      <c r="D1661" s="7" t="s">
        <v>8816</v>
      </c>
      <c r="E1661" s="7" t="s">
        <v>8817</v>
      </c>
      <c r="F1661" s="7" t="s">
        <v>8818</v>
      </c>
      <c r="G1661" s="7"/>
      <c r="H1661" s="46" t="s">
        <v>249</v>
      </c>
      <c r="I1661" s="7" t="s">
        <v>160</v>
      </c>
      <c r="J1661" s="7" t="s">
        <v>148</v>
      </c>
      <c r="K1661" s="7"/>
      <c r="L1661" s="7"/>
      <c r="M1661" s="7"/>
    </row>
    <row r="1662" ht="15.75" customHeight="1">
      <c r="A1662" s="7" t="s">
        <v>8819</v>
      </c>
      <c r="B1662" s="45" t="s">
        <v>8820</v>
      </c>
      <c r="C1662" s="7" t="s">
        <v>8821</v>
      </c>
      <c r="D1662" s="7" t="s">
        <v>8822</v>
      </c>
      <c r="E1662" s="7" t="s">
        <v>8823</v>
      </c>
      <c r="F1662" s="7" t="s">
        <v>8824</v>
      </c>
      <c r="G1662" s="7"/>
      <c r="H1662" s="46" t="s">
        <v>249</v>
      </c>
      <c r="I1662" s="7" t="s">
        <v>160</v>
      </c>
      <c r="J1662" s="7" t="s">
        <v>148</v>
      </c>
      <c r="K1662" s="7"/>
      <c r="L1662" s="7"/>
      <c r="M1662" s="7"/>
    </row>
    <row r="1663" ht="15.75" customHeight="1">
      <c r="A1663" s="7" t="s">
        <v>8825</v>
      </c>
      <c r="B1663" s="45" t="s">
        <v>8826</v>
      </c>
      <c r="C1663" s="7" t="s">
        <v>8827</v>
      </c>
      <c r="D1663" s="7" t="s">
        <v>8828</v>
      </c>
      <c r="E1663" s="7" t="s">
        <v>8829</v>
      </c>
      <c r="F1663" s="7" t="s">
        <v>8830</v>
      </c>
      <c r="G1663" s="7"/>
      <c r="H1663" s="46" t="s">
        <v>249</v>
      </c>
      <c r="I1663" s="7" t="s">
        <v>160</v>
      </c>
      <c r="J1663" s="7" t="s">
        <v>148</v>
      </c>
      <c r="K1663" s="7"/>
      <c r="L1663" s="7"/>
      <c r="M1663" s="7"/>
    </row>
    <row r="1664" ht="15.75" customHeight="1">
      <c r="A1664" s="7" t="s">
        <v>8831</v>
      </c>
      <c r="B1664" s="45" t="s">
        <v>8832</v>
      </c>
      <c r="C1664" s="7" t="s">
        <v>8833</v>
      </c>
      <c r="D1664" s="7" t="s">
        <v>8834</v>
      </c>
      <c r="E1664" s="7" t="s">
        <v>8835</v>
      </c>
      <c r="F1664" s="7" t="s">
        <v>8836</v>
      </c>
      <c r="G1664" s="7"/>
      <c r="H1664" s="46" t="s">
        <v>249</v>
      </c>
      <c r="I1664" s="7" t="s">
        <v>160</v>
      </c>
      <c r="J1664" s="7" t="s">
        <v>148</v>
      </c>
      <c r="K1664" s="7"/>
      <c r="L1664" s="7"/>
      <c r="M1664" s="7"/>
    </row>
    <row r="1665" ht="15.75" customHeight="1">
      <c r="A1665" s="7" t="s">
        <v>8837</v>
      </c>
      <c r="B1665" s="45" t="s">
        <v>8838</v>
      </c>
      <c r="C1665" s="7" t="s">
        <v>8839</v>
      </c>
      <c r="D1665" s="7" t="s">
        <v>8840</v>
      </c>
      <c r="E1665" s="7" t="s">
        <v>8841</v>
      </c>
      <c r="F1665" s="7" t="s">
        <v>8842</v>
      </c>
      <c r="G1665" s="7" t="s">
        <v>8843</v>
      </c>
      <c r="H1665" s="46" t="s">
        <v>249</v>
      </c>
      <c r="I1665" s="7" t="s">
        <v>160</v>
      </c>
      <c r="J1665" s="7" t="s">
        <v>148</v>
      </c>
      <c r="K1665" s="7"/>
      <c r="L1665" s="7"/>
      <c r="M1665" s="7"/>
    </row>
    <row r="1666" ht="15.75" customHeight="1">
      <c r="A1666" s="7" t="s">
        <v>8844</v>
      </c>
      <c r="B1666" s="45" t="s">
        <v>8845</v>
      </c>
      <c r="C1666" s="7" t="s">
        <v>1899</v>
      </c>
      <c r="D1666" s="7" t="s">
        <v>8846</v>
      </c>
      <c r="E1666" s="7" t="s">
        <v>1901</v>
      </c>
      <c r="F1666" s="7" t="s">
        <v>1902</v>
      </c>
      <c r="G1666" s="7"/>
      <c r="H1666" s="46" t="s">
        <v>249</v>
      </c>
      <c r="I1666" s="7" t="s">
        <v>160</v>
      </c>
      <c r="J1666" s="7" t="s">
        <v>148</v>
      </c>
      <c r="K1666" s="7"/>
      <c r="L1666" s="7"/>
      <c r="M1666" s="7"/>
    </row>
    <row r="1667" ht="15.75" customHeight="1">
      <c r="A1667" s="7" t="s">
        <v>8847</v>
      </c>
      <c r="B1667" s="45" t="s">
        <v>8848</v>
      </c>
      <c r="C1667" s="7" t="s">
        <v>8849</v>
      </c>
      <c r="D1667" s="7" t="s">
        <v>8850</v>
      </c>
      <c r="E1667" s="7" t="s">
        <v>8851</v>
      </c>
      <c r="F1667" s="7" t="s">
        <v>8852</v>
      </c>
      <c r="G1667" s="7"/>
      <c r="H1667" s="46" t="s">
        <v>249</v>
      </c>
      <c r="I1667" s="7" t="s">
        <v>160</v>
      </c>
      <c r="J1667" s="7" t="s">
        <v>148</v>
      </c>
      <c r="K1667" s="7"/>
      <c r="L1667" s="7"/>
      <c r="M1667" s="7"/>
    </row>
    <row r="1668" ht="15.75" customHeight="1">
      <c r="A1668" s="7" t="s">
        <v>8853</v>
      </c>
      <c r="B1668" s="45" t="s">
        <v>8854</v>
      </c>
      <c r="C1668" s="7" t="s">
        <v>8855</v>
      </c>
      <c r="D1668" s="7" t="s">
        <v>8856</v>
      </c>
      <c r="E1668" s="7" t="s">
        <v>8857</v>
      </c>
      <c r="F1668" s="7" t="s">
        <v>8858</v>
      </c>
      <c r="G1668" s="7"/>
      <c r="H1668" s="46" t="s">
        <v>249</v>
      </c>
      <c r="I1668" s="7" t="s">
        <v>160</v>
      </c>
      <c r="J1668" s="7" t="s">
        <v>148</v>
      </c>
      <c r="K1668" s="7"/>
      <c r="L1668" s="7"/>
      <c r="M1668" s="7"/>
    </row>
    <row r="1669" ht="15.75" customHeight="1">
      <c r="A1669" s="7" t="s">
        <v>8859</v>
      </c>
      <c r="B1669" s="45" t="s">
        <v>8860</v>
      </c>
      <c r="C1669" s="7" t="s">
        <v>8861</v>
      </c>
      <c r="D1669" s="7" t="s">
        <v>8862</v>
      </c>
      <c r="E1669" s="7" t="s">
        <v>8863</v>
      </c>
      <c r="F1669" s="7" t="s">
        <v>8864</v>
      </c>
      <c r="G1669" s="7"/>
      <c r="H1669" s="46" t="s">
        <v>249</v>
      </c>
      <c r="I1669" s="7" t="s">
        <v>160</v>
      </c>
      <c r="J1669" s="7" t="s">
        <v>148</v>
      </c>
      <c r="K1669" s="7"/>
      <c r="L1669" s="7"/>
      <c r="M1669" s="7"/>
    </row>
    <row r="1670" ht="15.75" customHeight="1">
      <c r="A1670" s="7" t="s">
        <v>8865</v>
      </c>
      <c r="B1670" s="45" t="s">
        <v>8866</v>
      </c>
      <c r="C1670" s="7" t="s">
        <v>8867</v>
      </c>
      <c r="D1670" s="7" t="s">
        <v>8868</v>
      </c>
      <c r="E1670" s="7" t="s">
        <v>8869</v>
      </c>
      <c r="F1670" s="7" t="s">
        <v>8870</v>
      </c>
      <c r="G1670" s="7"/>
      <c r="H1670" s="46" t="s">
        <v>249</v>
      </c>
      <c r="I1670" s="7" t="s">
        <v>160</v>
      </c>
      <c r="J1670" s="7" t="s">
        <v>148</v>
      </c>
      <c r="K1670" s="7"/>
      <c r="L1670" s="7"/>
      <c r="M1670" s="7"/>
    </row>
    <row r="1671" ht="15.75" customHeight="1">
      <c r="A1671" s="7" t="s">
        <v>8871</v>
      </c>
      <c r="B1671" s="45" t="s">
        <v>8872</v>
      </c>
      <c r="C1671" s="7" t="s">
        <v>8873</v>
      </c>
      <c r="D1671" s="7" t="s">
        <v>8874</v>
      </c>
      <c r="E1671" s="7" t="s">
        <v>8875</v>
      </c>
      <c r="F1671" s="7" t="s">
        <v>8876</v>
      </c>
      <c r="G1671" s="7" t="s">
        <v>8876</v>
      </c>
      <c r="H1671" s="46" t="s">
        <v>249</v>
      </c>
      <c r="I1671" s="7" t="s">
        <v>160</v>
      </c>
      <c r="J1671" s="7" t="s">
        <v>148</v>
      </c>
      <c r="K1671" s="7"/>
      <c r="L1671" s="7"/>
      <c r="M1671" s="7"/>
    </row>
    <row r="1672" ht="15.75" customHeight="1">
      <c r="A1672" s="7" t="s">
        <v>8877</v>
      </c>
      <c r="B1672" s="45" t="s">
        <v>8878</v>
      </c>
      <c r="C1672" s="7" t="s">
        <v>8879</v>
      </c>
      <c r="D1672" s="7" t="s">
        <v>8880</v>
      </c>
      <c r="E1672" s="7" t="s">
        <v>8881</v>
      </c>
      <c r="F1672" s="7" t="s">
        <v>8882</v>
      </c>
      <c r="G1672" s="7"/>
      <c r="H1672" s="46" t="s">
        <v>249</v>
      </c>
      <c r="I1672" s="7" t="s">
        <v>160</v>
      </c>
      <c r="J1672" s="7" t="s">
        <v>148</v>
      </c>
      <c r="K1672" s="7"/>
      <c r="L1672" s="7"/>
      <c r="M1672" s="7"/>
    </row>
    <row r="1673" ht="15.75" customHeight="1">
      <c r="A1673" s="7" t="s">
        <v>8883</v>
      </c>
      <c r="B1673" s="45" t="s">
        <v>8884</v>
      </c>
      <c r="C1673" s="7" t="s">
        <v>8885</v>
      </c>
      <c r="D1673" s="7" t="s">
        <v>8886</v>
      </c>
      <c r="E1673" s="7" t="s">
        <v>8887</v>
      </c>
      <c r="F1673" s="7" t="s">
        <v>8888</v>
      </c>
      <c r="G1673" s="7"/>
      <c r="H1673" s="46" t="s">
        <v>249</v>
      </c>
      <c r="I1673" s="7" t="s">
        <v>160</v>
      </c>
      <c r="J1673" s="7" t="s">
        <v>148</v>
      </c>
      <c r="K1673" s="7"/>
      <c r="L1673" s="7"/>
      <c r="M1673" s="7"/>
    </row>
    <row r="1674" ht="15.75" customHeight="1">
      <c r="A1674" s="7" t="s">
        <v>8889</v>
      </c>
      <c r="B1674" s="45" t="s">
        <v>8890</v>
      </c>
      <c r="C1674" s="7" t="s">
        <v>8891</v>
      </c>
      <c r="D1674" s="7" t="s">
        <v>8892</v>
      </c>
      <c r="E1674" s="7" t="s">
        <v>8893</v>
      </c>
      <c r="F1674" s="7" t="s">
        <v>8888</v>
      </c>
      <c r="G1674" s="7"/>
      <c r="H1674" s="46" t="s">
        <v>249</v>
      </c>
      <c r="I1674" s="7" t="s">
        <v>160</v>
      </c>
      <c r="J1674" s="7" t="s">
        <v>148</v>
      </c>
      <c r="K1674" s="7"/>
      <c r="L1674" s="7"/>
      <c r="M1674" s="7"/>
    </row>
    <row r="1675" ht="15.75" customHeight="1">
      <c r="A1675" s="7" t="s">
        <v>8894</v>
      </c>
      <c r="B1675" s="45" t="s">
        <v>8895</v>
      </c>
      <c r="C1675" s="7" t="s">
        <v>8885</v>
      </c>
      <c r="D1675" s="7" t="s">
        <v>8896</v>
      </c>
      <c r="E1675" s="7" t="s">
        <v>8897</v>
      </c>
      <c r="F1675" s="7" t="s">
        <v>8888</v>
      </c>
      <c r="G1675" s="7"/>
      <c r="H1675" s="46" t="s">
        <v>249</v>
      </c>
      <c r="I1675" s="7" t="s">
        <v>160</v>
      </c>
      <c r="J1675" s="7" t="s">
        <v>148</v>
      </c>
      <c r="K1675" s="7"/>
      <c r="L1675" s="7"/>
      <c r="M1675" s="7"/>
    </row>
    <row r="1676" ht="15.75" customHeight="1">
      <c r="A1676" s="7" t="s">
        <v>8898</v>
      </c>
      <c r="B1676" s="45" t="s">
        <v>8899</v>
      </c>
      <c r="C1676" s="7" t="s">
        <v>8891</v>
      </c>
      <c r="D1676" s="7" t="s">
        <v>8900</v>
      </c>
      <c r="E1676" s="7" t="s">
        <v>8901</v>
      </c>
      <c r="F1676" s="7" t="s">
        <v>8888</v>
      </c>
      <c r="G1676" s="7"/>
      <c r="H1676" s="46" t="s">
        <v>249</v>
      </c>
      <c r="I1676" s="7" t="s">
        <v>160</v>
      </c>
      <c r="J1676" s="7" t="s">
        <v>148</v>
      </c>
      <c r="K1676" s="7"/>
      <c r="L1676" s="7"/>
      <c r="M1676" s="7"/>
    </row>
    <row r="1677" ht="15.75" customHeight="1">
      <c r="A1677" s="7" t="s">
        <v>8902</v>
      </c>
      <c r="B1677" s="45" t="s">
        <v>8903</v>
      </c>
      <c r="C1677" s="7" t="s">
        <v>6657</v>
      </c>
      <c r="D1677" s="7" t="s">
        <v>8904</v>
      </c>
      <c r="E1677" s="7" t="s">
        <v>8905</v>
      </c>
      <c r="F1677" s="7" t="s">
        <v>8906</v>
      </c>
      <c r="G1677" s="7"/>
      <c r="H1677" s="46" t="s">
        <v>249</v>
      </c>
      <c r="I1677" s="7" t="s">
        <v>160</v>
      </c>
      <c r="J1677" s="7" t="s">
        <v>148</v>
      </c>
      <c r="K1677" s="7"/>
      <c r="L1677" s="7"/>
      <c r="M1677" s="7"/>
    </row>
    <row r="1678" ht="15.75" customHeight="1">
      <c r="A1678" s="7" t="s">
        <v>8907</v>
      </c>
      <c r="B1678" s="45" t="s">
        <v>8908</v>
      </c>
      <c r="C1678" s="7" t="s">
        <v>8909</v>
      </c>
      <c r="D1678" s="7" t="s">
        <v>8910</v>
      </c>
      <c r="E1678" s="7" t="s">
        <v>8911</v>
      </c>
      <c r="F1678" s="7" t="s">
        <v>8912</v>
      </c>
      <c r="G1678" s="7"/>
      <c r="H1678" s="46" t="s">
        <v>249</v>
      </c>
      <c r="I1678" s="7" t="s">
        <v>160</v>
      </c>
      <c r="J1678" s="7" t="s">
        <v>148</v>
      </c>
      <c r="K1678" s="7"/>
      <c r="L1678" s="7"/>
      <c r="M1678" s="7"/>
    </row>
    <row r="1679" ht="15.75" customHeight="1">
      <c r="A1679" s="7" t="s">
        <v>8913</v>
      </c>
      <c r="B1679" s="45" t="s">
        <v>8914</v>
      </c>
      <c r="C1679" s="7" t="s">
        <v>8915</v>
      </c>
      <c r="D1679" s="7" t="s">
        <v>8916</v>
      </c>
      <c r="E1679" s="7" t="s">
        <v>8917</v>
      </c>
      <c r="F1679" s="7" t="s">
        <v>8918</v>
      </c>
      <c r="G1679" s="7"/>
      <c r="H1679" s="46" t="s">
        <v>249</v>
      </c>
      <c r="I1679" s="7" t="s">
        <v>160</v>
      </c>
      <c r="J1679" s="7" t="s">
        <v>148</v>
      </c>
      <c r="K1679" s="7"/>
      <c r="L1679" s="7"/>
      <c r="M1679" s="7"/>
    </row>
    <row r="1680" ht="15.75" customHeight="1">
      <c r="A1680" s="7" t="s">
        <v>8919</v>
      </c>
      <c r="B1680" s="45" t="s">
        <v>8920</v>
      </c>
      <c r="C1680" s="7" t="s">
        <v>8921</v>
      </c>
      <c r="D1680" s="7" t="s">
        <v>8922</v>
      </c>
      <c r="E1680" s="7" t="s">
        <v>8923</v>
      </c>
      <c r="F1680" s="7" t="s">
        <v>8924</v>
      </c>
      <c r="G1680" s="7" t="s">
        <v>8925</v>
      </c>
      <c r="H1680" s="46" t="s">
        <v>249</v>
      </c>
      <c r="I1680" s="7" t="s">
        <v>160</v>
      </c>
      <c r="J1680" s="7" t="s">
        <v>148</v>
      </c>
      <c r="K1680" s="7"/>
      <c r="L1680" s="7"/>
      <c r="M1680" s="7"/>
    </row>
    <row r="1681" ht="15.75" customHeight="1">
      <c r="A1681" s="7" t="s">
        <v>8926</v>
      </c>
      <c r="B1681" s="45" t="s">
        <v>8927</v>
      </c>
      <c r="C1681" s="7" t="s">
        <v>8928</v>
      </c>
      <c r="D1681" s="7" t="s">
        <v>8929</v>
      </c>
      <c r="E1681" s="7" t="s">
        <v>8930</v>
      </c>
      <c r="F1681" s="7" t="s">
        <v>8931</v>
      </c>
      <c r="G1681" s="7"/>
      <c r="H1681" s="46" t="s">
        <v>249</v>
      </c>
      <c r="I1681" s="7" t="s">
        <v>160</v>
      </c>
      <c r="J1681" s="7" t="s">
        <v>148</v>
      </c>
      <c r="K1681" s="7"/>
      <c r="L1681" s="7"/>
      <c r="M1681" s="7"/>
    </row>
    <row r="1682" ht="15.75" customHeight="1">
      <c r="A1682" s="7" t="s">
        <v>8932</v>
      </c>
      <c r="B1682" s="45" t="s">
        <v>8933</v>
      </c>
      <c r="C1682" s="7" t="s">
        <v>8934</v>
      </c>
      <c r="D1682" s="7" t="s">
        <v>8935</v>
      </c>
      <c r="E1682" s="7" t="s">
        <v>8936</v>
      </c>
      <c r="F1682" s="7" t="s">
        <v>8937</v>
      </c>
      <c r="G1682" s="7"/>
      <c r="H1682" s="46" t="s">
        <v>249</v>
      </c>
      <c r="I1682" s="7" t="s">
        <v>160</v>
      </c>
      <c r="J1682" s="7" t="s">
        <v>148</v>
      </c>
      <c r="K1682" s="7"/>
      <c r="L1682" s="7"/>
      <c r="M1682" s="7"/>
    </row>
    <row r="1683" ht="15.75" customHeight="1">
      <c r="A1683" s="7" t="s">
        <v>8938</v>
      </c>
      <c r="B1683" s="45" t="s">
        <v>8939</v>
      </c>
      <c r="C1683" s="7" t="s">
        <v>8940</v>
      </c>
      <c r="D1683" s="7" t="s">
        <v>8941</v>
      </c>
      <c r="E1683" s="7" t="s">
        <v>8942</v>
      </c>
      <c r="F1683" s="7" t="s">
        <v>8937</v>
      </c>
      <c r="G1683" s="7"/>
      <c r="H1683" s="46" t="s">
        <v>249</v>
      </c>
      <c r="I1683" s="7" t="s">
        <v>160</v>
      </c>
      <c r="J1683" s="7" t="s">
        <v>148</v>
      </c>
      <c r="K1683" s="7"/>
      <c r="L1683" s="7"/>
      <c r="M1683" s="7"/>
    </row>
    <row r="1684" ht="15.75" customHeight="1">
      <c r="A1684" s="7" t="s">
        <v>8943</v>
      </c>
      <c r="B1684" s="45" t="s">
        <v>8944</v>
      </c>
      <c r="C1684" s="7" t="s">
        <v>8945</v>
      </c>
      <c r="D1684" s="7" t="s">
        <v>8946</v>
      </c>
      <c r="E1684" s="7" t="s">
        <v>8947</v>
      </c>
      <c r="F1684" s="7" t="s">
        <v>8937</v>
      </c>
      <c r="G1684" s="7"/>
      <c r="H1684" s="46" t="s">
        <v>249</v>
      </c>
      <c r="I1684" s="7" t="s">
        <v>160</v>
      </c>
      <c r="J1684" s="7" t="s">
        <v>148</v>
      </c>
      <c r="K1684" s="7"/>
      <c r="L1684" s="7"/>
      <c r="M1684" s="7"/>
    </row>
    <row r="1685" ht="15.75" customHeight="1">
      <c r="A1685" s="7" t="s">
        <v>8948</v>
      </c>
      <c r="B1685" s="45" t="s">
        <v>8949</v>
      </c>
      <c r="C1685" s="7" t="s">
        <v>8950</v>
      </c>
      <c r="D1685" s="7" t="s">
        <v>8951</v>
      </c>
      <c r="E1685" s="7" t="s">
        <v>8952</v>
      </c>
      <c r="F1685" s="7" t="s">
        <v>8953</v>
      </c>
      <c r="G1685" s="7"/>
      <c r="H1685" s="46" t="s">
        <v>249</v>
      </c>
      <c r="I1685" s="7" t="s">
        <v>160</v>
      </c>
      <c r="J1685" s="7" t="s">
        <v>148</v>
      </c>
      <c r="K1685" s="7"/>
      <c r="L1685" s="7"/>
      <c r="M1685" s="7"/>
    </row>
    <row r="1686" ht="15.75" customHeight="1">
      <c r="A1686" s="7" t="s">
        <v>8954</v>
      </c>
      <c r="B1686" s="45" t="s">
        <v>8955</v>
      </c>
      <c r="C1686" s="7" t="s">
        <v>8956</v>
      </c>
      <c r="D1686" s="7" t="s">
        <v>8957</v>
      </c>
      <c r="E1686" s="7" t="s">
        <v>8958</v>
      </c>
      <c r="F1686" s="7" t="s">
        <v>8959</v>
      </c>
      <c r="G1686" s="7"/>
      <c r="H1686" s="46" t="s">
        <v>249</v>
      </c>
      <c r="I1686" s="7" t="s">
        <v>160</v>
      </c>
      <c r="J1686" s="7" t="s">
        <v>148</v>
      </c>
      <c r="K1686" s="7"/>
      <c r="L1686" s="7"/>
      <c r="M1686" s="7"/>
    </row>
    <row r="1687" ht="15.75" customHeight="1">
      <c r="A1687" s="7" t="s">
        <v>8960</v>
      </c>
      <c r="B1687" s="45" t="s">
        <v>8961</v>
      </c>
      <c r="C1687" s="7" t="s">
        <v>8956</v>
      </c>
      <c r="D1687" s="7" t="s">
        <v>8962</v>
      </c>
      <c r="E1687" s="7" t="s">
        <v>8963</v>
      </c>
      <c r="F1687" s="7" t="s">
        <v>8959</v>
      </c>
      <c r="G1687" s="7"/>
      <c r="H1687" s="46" t="s">
        <v>249</v>
      </c>
      <c r="I1687" s="7" t="s">
        <v>160</v>
      </c>
      <c r="J1687" s="7" t="s">
        <v>148</v>
      </c>
      <c r="K1687" s="7"/>
      <c r="L1687" s="7"/>
      <c r="M1687" s="7"/>
    </row>
    <row r="1688" ht="15.75" customHeight="1">
      <c r="A1688" s="7" t="s">
        <v>8964</v>
      </c>
      <c r="B1688" s="45" t="s">
        <v>8965</v>
      </c>
      <c r="C1688" s="7" t="s">
        <v>8956</v>
      </c>
      <c r="D1688" s="7" t="s">
        <v>8966</v>
      </c>
      <c r="E1688" s="7" t="s">
        <v>8967</v>
      </c>
      <c r="F1688" s="7" t="s">
        <v>8959</v>
      </c>
      <c r="G1688" s="7"/>
      <c r="H1688" s="46" t="s">
        <v>249</v>
      </c>
      <c r="I1688" s="7" t="s">
        <v>160</v>
      </c>
      <c r="J1688" s="7" t="s">
        <v>148</v>
      </c>
      <c r="K1688" s="7"/>
      <c r="L1688" s="7"/>
      <c r="M1688" s="7"/>
    </row>
    <row r="1689" ht="15.75" customHeight="1">
      <c r="A1689" s="7" t="s">
        <v>8968</v>
      </c>
      <c r="B1689" s="45" t="s">
        <v>8969</v>
      </c>
      <c r="C1689" s="7" t="s">
        <v>8970</v>
      </c>
      <c r="D1689" s="7" t="s">
        <v>8971</v>
      </c>
      <c r="E1689" s="7" t="s">
        <v>8972</v>
      </c>
      <c r="F1689" s="7" t="s">
        <v>8959</v>
      </c>
      <c r="G1689" s="7" t="s">
        <v>8973</v>
      </c>
      <c r="H1689" s="46" t="s">
        <v>249</v>
      </c>
      <c r="I1689" s="7" t="s">
        <v>160</v>
      </c>
      <c r="J1689" s="7" t="s">
        <v>148</v>
      </c>
      <c r="K1689" s="7"/>
      <c r="L1689" s="7"/>
      <c r="M1689" s="7"/>
    </row>
    <row r="1690" ht="15.75" customHeight="1">
      <c r="A1690" s="7" t="s">
        <v>8974</v>
      </c>
      <c r="B1690" s="45" t="s">
        <v>8975</v>
      </c>
      <c r="C1690" s="7" t="s">
        <v>8976</v>
      </c>
      <c r="D1690" s="7" t="s">
        <v>8977</v>
      </c>
      <c r="E1690" s="7" t="s">
        <v>8978</v>
      </c>
      <c r="F1690" s="7" t="s">
        <v>8979</v>
      </c>
      <c r="G1690" s="7"/>
      <c r="H1690" s="46" t="s">
        <v>249</v>
      </c>
      <c r="I1690" s="7" t="s">
        <v>160</v>
      </c>
      <c r="J1690" s="7" t="s">
        <v>148</v>
      </c>
      <c r="K1690" s="7"/>
      <c r="L1690" s="7"/>
      <c r="M1690" s="7"/>
    </row>
    <row r="1691" ht="15.75" customHeight="1">
      <c r="A1691" s="7" t="s">
        <v>8980</v>
      </c>
      <c r="B1691" s="45" t="s">
        <v>8981</v>
      </c>
      <c r="C1691" s="7" t="s">
        <v>8982</v>
      </c>
      <c r="D1691" s="7" t="s">
        <v>8983</v>
      </c>
      <c r="E1691" s="7" t="s">
        <v>553</v>
      </c>
      <c r="F1691" s="7" t="s">
        <v>594</v>
      </c>
      <c r="G1691" s="7" t="s">
        <v>8984</v>
      </c>
      <c r="H1691" s="46" t="s">
        <v>249</v>
      </c>
      <c r="I1691" s="7" t="s">
        <v>160</v>
      </c>
      <c r="J1691" s="7" t="s">
        <v>148</v>
      </c>
      <c r="K1691" s="7"/>
      <c r="L1691" s="7"/>
      <c r="M1691" s="7"/>
    </row>
    <row r="1692" ht="15.75" customHeight="1">
      <c r="A1692" s="7" t="s">
        <v>8985</v>
      </c>
      <c r="B1692" s="45" t="s">
        <v>8986</v>
      </c>
      <c r="C1692" s="7" t="s">
        <v>2467</v>
      </c>
      <c r="D1692" s="7" t="s">
        <v>8987</v>
      </c>
      <c r="E1692" s="7" t="s">
        <v>8988</v>
      </c>
      <c r="F1692" s="7" t="s">
        <v>1801</v>
      </c>
      <c r="G1692" s="7"/>
      <c r="H1692" s="46" t="s">
        <v>249</v>
      </c>
      <c r="I1692" s="7" t="s">
        <v>160</v>
      </c>
      <c r="J1692" s="7" t="s">
        <v>148</v>
      </c>
      <c r="K1692" s="7"/>
      <c r="L1692" s="7"/>
      <c r="M1692" s="7"/>
    </row>
    <row r="1693" ht="15.75" customHeight="1">
      <c r="A1693" s="7" t="s">
        <v>8989</v>
      </c>
      <c r="B1693" s="45" t="s">
        <v>8990</v>
      </c>
      <c r="C1693" s="7" t="s">
        <v>2467</v>
      </c>
      <c r="D1693" s="7" t="s">
        <v>8991</v>
      </c>
      <c r="E1693" s="7" t="s">
        <v>1924</v>
      </c>
      <c r="F1693" s="7" t="s">
        <v>1801</v>
      </c>
      <c r="G1693" s="7"/>
      <c r="H1693" s="46" t="s">
        <v>249</v>
      </c>
      <c r="I1693" s="7" t="s">
        <v>160</v>
      </c>
      <c r="J1693" s="7" t="s">
        <v>148</v>
      </c>
      <c r="K1693" s="7"/>
      <c r="L1693" s="7"/>
      <c r="M1693" s="7"/>
    </row>
    <row r="1694" ht="15.75" customHeight="1">
      <c r="A1694" s="7" t="s">
        <v>8992</v>
      </c>
      <c r="B1694" s="45" t="s">
        <v>8993</v>
      </c>
      <c r="C1694" s="7" t="s">
        <v>2467</v>
      </c>
      <c r="D1694" s="7" t="s">
        <v>8994</v>
      </c>
      <c r="E1694" s="7" t="s">
        <v>8995</v>
      </c>
      <c r="F1694" s="7" t="s">
        <v>1801</v>
      </c>
      <c r="G1694" s="7"/>
      <c r="H1694" s="46" t="s">
        <v>249</v>
      </c>
      <c r="I1694" s="7" t="s">
        <v>160</v>
      </c>
      <c r="J1694" s="7" t="s">
        <v>148</v>
      </c>
      <c r="K1694" s="7"/>
      <c r="L1694" s="7"/>
      <c r="M1694" s="7"/>
    </row>
    <row r="1695" ht="15.75" customHeight="1">
      <c r="A1695" s="7" t="s">
        <v>8996</v>
      </c>
      <c r="B1695" s="45" t="s">
        <v>8997</v>
      </c>
      <c r="C1695" s="7" t="s">
        <v>2467</v>
      </c>
      <c r="D1695" s="7" t="s">
        <v>8998</v>
      </c>
      <c r="E1695" s="7" t="s">
        <v>8999</v>
      </c>
      <c r="F1695" s="7" t="s">
        <v>1801</v>
      </c>
      <c r="G1695" s="7"/>
      <c r="H1695" s="46" t="s">
        <v>249</v>
      </c>
      <c r="I1695" s="7" t="s">
        <v>160</v>
      </c>
      <c r="J1695" s="7" t="s">
        <v>148</v>
      </c>
      <c r="K1695" s="7"/>
      <c r="L1695" s="7"/>
      <c r="M1695" s="7"/>
    </row>
    <row r="1696" ht="15.75" customHeight="1">
      <c r="A1696" s="7" t="s">
        <v>9000</v>
      </c>
      <c r="B1696" s="45" t="s">
        <v>9001</v>
      </c>
      <c r="C1696" s="7" t="s">
        <v>2467</v>
      </c>
      <c r="D1696" s="7" t="s">
        <v>9002</v>
      </c>
      <c r="E1696" s="7" t="s">
        <v>9003</v>
      </c>
      <c r="F1696" s="7" t="s">
        <v>1801</v>
      </c>
      <c r="G1696" s="7"/>
      <c r="H1696" s="46" t="s">
        <v>249</v>
      </c>
      <c r="I1696" s="7" t="s">
        <v>160</v>
      </c>
      <c r="J1696" s="7" t="s">
        <v>148</v>
      </c>
      <c r="K1696" s="7"/>
      <c r="L1696" s="7"/>
      <c r="M1696" s="7"/>
    </row>
    <row r="1697" ht="15.75" customHeight="1">
      <c r="A1697" s="7" t="s">
        <v>9004</v>
      </c>
      <c r="B1697" s="45" t="s">
        <v>9005</v>
      </c>
      <c r="C1697" s="7" t="s">
        <v>9006</v>
      </c>
      <c r="D1697" s="7" t="s">
        <v>9007</v>
      </c>
      <c r="E1697" s="7" t="s">
        <v>9008</v>
      </c>
      <c r="F1697" s="7" t="s">
        <v>9009</v>
      </c>
      <c r="G1697" s="7"/>
      <c r="H1697" s="46" t="s">
        <v>249</v>
      </c>
      <c r="I1697" s="7" t="s">
        <v>160</v>
      </c>
      <c r="J1697" s="7" t="s">
        <v>148</v>
      </c>
      <c r="K1697" s="7"/>
      <c r="L1697" s="7"/>
      <c r="M1697" s="7"/>
    </row>
    <row r="1698" ht="15.75" customHeight="1">
      <c r="A1698" s="7" t="s">
        <v>9010</v>
      </c>
      <c r="B1698" s="45" t="s">
        <v>9011</v>
      </c>
      <c r="C1698" s="7" t="s">
        <v>9012</v>
      </c>
      <c r="D1698" s="7" t="s">
        <v>9013</v>
      </c>
      <c r="E1698" s="7" t="s">
        <v>9014</v>
      </c>
      <c r="F1698" s="7" t="s">
        <v>9015</v>
      </c>
      <c r="G1698" s="7" t="s">
        <v>9016</v>
      </c>
      <c r="H1698" s="46" t="s">
        <v>249</v>
      </c>
      <c r="I1698" s="7" t="s">
        <v>160</v>
      </c>
      <c r="J1698" s="7" t="s">
        <v>148</v>
      </c>
      <c r="K1698" s="7"/>
      <c r="L1698" s="7"/>
      <c r="M1698" s="7"/>
    </row>
    <row r="1699" ht="15.75" customHeight="1">
      <c r="A1699" s="7" t="s">
        <v>9017</v>
      </c>
      <c r="B1699" s="45" t="s">
        <v>9018</v>
      </c>
      <c r="C1699" s="7" t="s">
        <v>9019</v>
      </c>
      <c r="D1699" s="7" t="s">
        <v>9020</v>
      </c>
      <c r="E1699" s="7" t="s">
        <v>9021</v>
      </c>
      <c r="F1699" s="7" t="s">
        <v>9022</v>
      </c>
      <c r="G1699" s="7"/>
      <c r="H1699" s="46" t="s">
        <v>249</v>
      </c>
      <c r="I1699" s="7" t="s">
        <v>160</v>
      </c>
      <c r="J1699" s="7" t="s">
        <v>148</v>
      </c>
      <c r="K1699" s="7"/>
      <c r="L1699" s="7"/>
      <c r="M1699" s="7"/>
    </row>
    <row r="1700" ht="15.75" customHeight="1">
      <c r="A1700" s="7" t="s">
        <v>9023</v>
      </c>
      <c r="B1700" s="45" t="s">
        <v>9024</v>
      </c>
      <c r="C1700" s="7" t="s">
        <v>9025</v>
      </c>
      <c r="D1700" s="7" t="s">
        <v>9020</v>
      </c>
      <c r="E1700" s="7" t="s">
        <v>9021</v>
      </c>
      <c r="F1700" s="7" t="s">
        <v>9026</v>
      </c>
      <c r="G1700" s="7"/>
      <c r="H1700" s="46" t="s">
        <v>249</v>
      </c>
      <c r="I1700" s="7" t="s">
        <v>160</v>
      </c>
      <c r="J1700" s="7" t="s">
        <v>148</v>
      </c>
      <c r="K1700" s="7"/>
      <c r="L1700" s="7"/>
      <c r="M1700" s="7"/>
    </row>
    <row r="1701" ht="15.75" customHeight="1">
      <c r="A1701" s="7" t="s">
        <v>9027</v>
      </c>
      <c r="B1701" s="45" t="s">
        <v>9028</v>
      </c>
      <c r="C1701" s="7" t="s">
        <v>2467</v>
      </c>
      <c r="D1701" s="7" t="s">
        <v>9029</v>
      </c>
      <c r="E1701" s="7" t="s">
        <v>3407</v>
      </c>
      <c r="F1701" s="7" t="s">
        <v>1801</v>
      </c>
      <c r="G1701" s="7"/>
      <c r="H1701" s="46" t="s">
        <v>249</v>
      </c>
      <c r="I1701" s="7" t="s">
        <v>160</v>
      </c>
      <c r="J1701" s="7" t="s">
        <v>148</v>
      </c>
      <c r="K1701" s="7"/>
      <c r="L1701" s="7"/>
      <c r="M1701" s="7"/>
    </row>
    <row r="1702" ht="15.75" customHeight="1">
      <c r="A1702" s="7" t="s">
        <v>9030</v>
      </c>
      <c r="B1702" s="45" t="s">
        <v>9031</v>
      </c>
      <c r="C1702" s="7" t="s">
        <v>9032</v>
      </c>
      <c r="D1702" s="7" t="s">
        <v>9033</v>
      </c>
      <c r="E1702" s="7" t="s">
        <v>9034</v>
      </c>
      <c r="F1702" s="7" t="s">
        <v>9035</v>
      </c>
      <c r="G1702" s="7"/>
      <c r="H1702" s="46" t="s">
        <v>249</v>
      </c>
      <c r="I1702" s="7" t="s">
        <v>160</v>
      </c>
      <c r="J1702" s="7" t="s">
        <v>148</v>
      </c>
      <c r="K1702" s="7"/>
      <c r="L1702" s="7"/>
      <c r="M1702" s="7"/>
    </row>
    <row r="1703" ht="15.75" customHeight="1">
      <c r="A1703" s="7" t="s">
        <v>9036</v>
      </c>
      <c r="B1703" s="45" t="s">
        <v>9037</v>
      </c>
      <c r="C1703" s="7" t="s">
        <v>2467</v>
      </c>
      <c r="D1703" s="7" t="s">
        <v>9038</v>
      </c>
      <c r="E1703" s="7" t="s">
        <v>9039</v>
      </c>
      <c r="F1703" s="7" t="s">
        <v>1801</v>
      </c>
      <c r="G1703" s="7"/>
      <c r="H1703" s="46" t="s">
        <v>249</v>
      </c>
      <c r="I1703" s="7" t="s">
        <v>160</v>
      </c>
      <c r="J1703" s="7" t="s">
        <v>148</v>
      </c>
      <c r="K1703" s="7"/>
      <c r="L1703" s="7"/>
      <c r="M1703" s="7"/>
    </row>
    <row r="1704" ht="15.75" customHeight="1">
      <c r="A1704" s="7" t="s">
        <v>9040</v>
      </c>
      <c r="B1704" s="45" t="s">
        <v>9041</v>
      </c>
      <c r="C1704" s="7" t="s">
        <v>2467</v>
      </c>
      <c r="D1704" s="7" t="s">
        <v>9042</v>
      </c>
      <c r="E1704" s="7" t="s">
        <v>2786</v>
      </c>
      <c r="F1704" s="7" t="s">
        <v>1801</v>
      </c>
      <c r="G1704" s="7"/>
      <c r="H1704" s="46" t="s">
        <v>249</v>
      </c>
      <c r="I1704" s="7" t="s">
        <v>160</v>
      </c>
      <c r="J1704" s="7" t="s">
        <v>148</v>
      </c>
      <c r="K1704" s="7"/>
      <c r="L1704" s="7"/>
      <c r="M1704" s="7"/>
    </row>
    <row r="1705" ht="15.75" customHeight="1">
      <c r="A1705" s="7" t="s">
        <v>9043</v>
      </c>
      <c r="B1705" s="45" t="s">
        <v>9044</v>
      </c>
      <c r="C1705" s="7" t="s">
        <v>2467</v>
      </c>
      <c r="D1705" s="7" t="s">
        <v>9045</v>
      </c>
      <c r="E1705" s="7" t="s">
        <v>9046</v>
      </c>
      <c r="F1705" s="7" t="s">
        <v>1801</v>
      </c>
      <c r="G1705" s="7"/>
      <c r="H1705" s="46" t="s">
        <v>249</v>
      </c>
      <c r="I1705" s="7" t="s">
        <v>160</v>
      </c>
      <c r="J1705" s="7" t="s">
        <v>148</v>
      </c>
      <c r="K1705" s="7"/>
      <c r="L1705" s="7"/>
      <c r="M1705" s="7"/>
    </row>
    <row r="1706" ht="15.75" customHeight="1">
      <c r="A1706" s="7" t="s">
        <v>9047</v>
      </c>
      <c r="B1706" s="45" t="s">
        <v>9048</v>
      </c>
      <c r="C1706" s="7" t="s">
        <v>9049</v>
      </c>
      <c r="D1706" s="7" t="s">
        <v>9050</v>
      </c>
      <c r="E1706" s="7" t="s">
        <v>9051</v>
      </c>
      <c r="F1706" s="7" t="s">
        <v>9052</v>
      </c>
      <c r="G1706" s="7"/>
      <c r="H1706" s="46" t="s">
        <v>249</v>
      </c>
      <c r="I1706" s="7" t="s">
        <v>160</v>
      </c>
      <c r="J1706" s="7" t="s">
        <v>148</v>
      </c>
      <c r="K1706" s="7"/>
      <c r="L1706" s="7"/>
      <c r="M1706" s="7"/>
    </row>
    <row r="1707" ht="15.75" customHeight="1">
      <c r="A1707" s="7" t="s">
        <v>9053</v>
      </c>
      <c r="B1707" s="45" t="s">
        <v>9054</v>
      </c>
      <c r="C1707" s="7" t="s">
        <v>9055</v>
      </c>
      <c r="D1707" s="7" t="s">
        <v>9056</v>
      </c>
      <c r="E1707" s="7" t="s">
        <v>9057</v>
      </c>
      <c r="F1707" s="7" t="s">
        <v>9058</v>
      </c>
      <c r="G1707" s="7"/>
      <c r="H1707" s="46" t="s">
        <v>249</v>
      </c>
      <c r="I1707" s="7" t="s">
        <v>160</v>
      </c>
      <c r="J1707" s="7" t="s">
        <v>148</v>
      </c>
      <c r="K1707" s="7"/>
      <c r="L1707" s="7"/>
      <c r="M1707" s="7"/>
    </row>
    <row r="1708" ht="15.75" customHeight="1">
      <c r="A1708" s="7" t="s">
        <v>9059</v>
      </c>
      <c r="B1708" s="45" t="s">
        <v>9060</v>
      </c>
      <c r="C1708" s="7" t="s">
        <v>9049</v>
      </c>
      <c r="D1708" s="7" t="s">
        <v>9061</v>
      </c>
      <c r="E1708" s="7" t="s">
        <v>9062</v>
      </c>
      <c r="F1708" s="7" t="s">
        <v>9063</v>
      </c>
      <c r="G1708" s="7"/>
      <c r="H1708" s="46" t="s">
        <v>249</v>
      </c>
      <c r="I1708" s="7" t="s">
        <v>160</v>
      </c>
      <c r="J1708" s="7" t="s">
        <v>148</v>
      </c>
      <c r="K1708" s="7"/>
      <c r="L1708" s="7"/>
      <c r="M1708" s="7"/>
    </row>
    <row r="1709" ht="15.75" customHeight="1">
      <c r="A1709" s="7" t="s">
        <v>9064</v>
      </c>
      <c r="B1709" s="45" t="s">
        <v>9065</v>
      </c>
      <c r="C1709" s="7" t="s">
        <v>9066</v>
      </c>
      <c r="D1709" s="7" t="s">
        <v>9067</v>
      </c>
      <c r="E1709" s="7" t="s">
        <v>9068</v>
      </c>
      <c r="F1709" s="7" t="s">
        <v>9069</v>
      </c>
      <c r="G1709" s="7"/>
      <c r="H1709" s="46" t="s">
        <v>249</v>
      </c>
      <c r="I1709" s="7" t="s">
        <v>160</v>
      </c>
      <c r="J1709" s="7" t="s">
        <v>148</v>
      </c>
      <c r="K1709" s="7"/>
      <c r="L1709" s="7"/>
      <c r="M1709" s="7"/>
    </row>
    <row r="1710" ht="15.75" customHeight="1">
      <c r="A1710" s="7" t="s">
        <v>9070</v>
      </c>
      <c r="B1710" s="45" t="s">
        <v>9071</v>
      </c>
      <c r="C1710" s="7" t="s">
        <v>9072</v>
      </c>
      <c r="D1710" s="7" t="s">
        <v>9073</v>
      </c>
      <c r="E1710" s="7" t="s">
        <v>9068</v>
      </c>
      <c r="F1710" s="7" t="s">
        <v>9074</v>
      </c>
      <c r="G1710" s="7"/>
      <c r="H1710" s="46" t="s">
        <v>249</v>
      </c>
      <c r="I1710" s="7" t="s">
        <v>160</v>
      </c>
      <c r="J1710" s="7" t="s">
        <v>148</v>
      </c>
      <c r="K1710" s="7"/>
      <c r="L1710" s="7"/>
      <c r="M1710" s="7"/>
    </row>
    <row r="1711" ht="15.75" customHeight="1">
      <c r="A1711" s="7" t="s">
        <v>9075</v>
      </c>
      <c r="B1711" s="45" t="s">
        <v>9076</v>
      </c>
      <c r="C1711" s="7" t="s">
        <v>6579</v>
      </c>
      <c r="D1711" s="7" t="s">
        <v>9077</v>
      </c>
      <c r="E1711" s="7" t="s">
        <v>6581</v>
      </c>
      <c r="F1711" s="7" t="s">
        <v>6576</v>
      </c>
      <c r="G1711" s="7"/>
      <c r="H1711" s="46" t="s">
        <v>249</v>
      </c>
      <c r="I1711" s="7" t="s">
        <v>160</v>
      </c>
      <c r="J1711" s="7" t="s">
        <v>148</v>
      </c>
      <c r="K1711" s="7"/>
      <c r="L1711" s="7"/>
      <c r="M1711" s="7"/>
    </row>
    <row r="1712" ht="15.75" customHeight="1">
      <c r="A1712" s="7" t="s">
        <v>9078</v>
      </c>
      <c r="B1712" s="45" t="s">
        <v>9079</v>
      </c>
      <c r="C1712" s="7" t="s">
        <v>8950</v>
      </c>
      <c r="D1712" s="7" t="s">
        <v>9080</v>
      </c>
      <c r="E1712" s="7" t="s">
        <v>9081</v>
      </c>
      <c r="F1712" s="7" t="s">
        <v>8953</v>
      </c>
      <c r="G1712" s="7"/>
      <c r="H1712" s="46" t="s">
        <v>249</v>
      </c>
      <c r="I1712" s="7" t="s">
        <v>160</v>
      </c>
      <c r="J1712" s="7" t="s">
        <v>148</v>
      </c>
      <c r="K1712" s="7"/>
      <c r="L1712" s="7"/>
      <c r="M1712" s="7"/>
    </row>
    <row r="1713" ht="15.75" customHeight="1">
      <c r="A1713" s="7" t="s">
        <v>9082</v>
      </c>
      <c r="B1713" s="45" t="s">
        <v>9083</v>
      </c>
      <c r="C1713" s="7" t="s">
        <v>8950</v>
      </c>
      <c r="D1713" s="7" t="s">
        <v>9084</v>
      </c>
      <c r="E1713" s="7" t="s">
        <v>9085</v>
      </c>
      <c r="F1713" s="7" t="s">
        <v>8953</v>
      </c>
      <c r="G1713" s="7"/>
      <c r="H1713" s="46" t="s">
        <v>249</v>
      </c>
      <c r="I1713" s="7" t="s">
        <v>160</v>
      </c>
      <c r="J1713" s="7" t="s">
        <v>148</v>
      </c>
      <c r="K1713" s="7"/>
      <c r="L1713" s="7"/>
      <c r="M1713" s="7"/>
    </row>
    <row r="1714" ht="15.75" customHeight="1">
      <c r="A1714" s="7" t="s">
        <v>9086</v>
      </c>
      <c r="B1714" s="45" t="s">
        <v>9087</v>
      </c>
      <c r="C1714" s="7" t="s">
        <v>8950</v>
      </c>
      <c r="D1714" s="7" t="s">
        <v>9088</v>
      </c>
      <c r="E1714" s="7" t="s">
        <v>9089</v>
      </c>
      <c r="F1714" s="7" t="s">
        <v>8953</v>
      </c>
      <c r="G1714" s="7"/>
      <c r="H1714" s="46" t="s">
        <v>249</v>
      </c>
      <c r="I1714" s="7" t="s">
        <v>160</v>
      </c>
      <c r="J1714" s="7" t="s">
        <v>148</v>
      </c>
      <c r="K1714" s="7"/>
      <c r="L1714" s="7"/>
      <c r="M1714" s="7"/>
    </row>
    <row r="1715" ht="15.75" customHeight="1">
      <c r="A1715" s="7" t="s">
        <v>9090</v>
      </c>
      <c r="B1715" s="45" t="s">
        <v>9091</v>
      </c>
      <c r="C1715" s="7" t="s">
        <v>8950</v>
      </c>
      <c r="D1715" s="7" t="s">
        <v>9092</v>
      </c>
      <c r="E1715" s="7" t="s">
        <v>9093</v>
      </c>
      <c r="F1715" s="7" t="s">
        <v>8953</v>
      </c>
      <c r="G1715" s="7"/>
      <c r="H1715" s="46" t="s">
        <v>249</v>
      </c>
      <c r="I1715" s="7" t="s">
        <v>160</v>
      </c>
      <c r="J1715" s="7" t="s">
        <v>148</v>
      </c>
      <c r="K1715" s="7"/>
      <c r="L1715" s="7"/>
      <c r="M1715" s="7"/>
    </row>
    <row r="1716" ht="15.75" customHeight="1">
      <c r="A1716" s="7" t="s">
        <v>9094</v>
      </c>
      <c r="B1716" s="45" t="s">
        <v>9095</v>
      </c>
      <c r="C1716" s="7" t="s">
        <v>8950</v>
      </c>
      <c r="D1716" s="7" t="s">
        <v>9096</v>
      </c>
      <c r="E1716" s="7" t="s">
        <v>9097</v>
      </c>
      <c r="F1716" s="7" t="s">
        <v>8953</v>
      </c>
      <c r="G1716" s="7"/>
      <c r="H1716" s="46" t="s">
        <v>249</v>
      </c>
      <c r="I1716" s="7" t="s">
        <v>160</v>
      </c>
      <c r="J1716" s="7" t="s">
        <v>148</v>
      </c>
      <c r="K1716" s="7"/>
      <c r="L1716" s="7"/>
      <c r="M1716" s="7"/>
    </row>
    <row r="1717" ht="15.75" customHeight="1">
      <c r="A1717" s="7" t="s">
        <v>9098</v>
      </c>
      <c r="B1717" s="45" t="s">
        <v>9099</v>
      </c>
      <c r="C1717" s="7" t="s">
        <v>9100</v>
      </c>
      <c r="D1717" s="7" t="s">
        <v>9084</v>
      </c>
      <c r="E1717" s="7" t="s">
        <v>9085</v>
      </c>
      <c r="F1717" s="7" t="s">
        <v>8953</v>
      </c>
      <c r="G1717" s="7" t="s">
        <v>9101</v>
      </c>
      <c r="H1717" s="46" t="s">
        <v>249</v>
      </c>
      <c r="I1717" s="7" t="s">
        <v>160</v>
      </c>
      <c r="J1717" s="7" t="s">
        <v>148</v>
      </c>
      <c r="K1717" s="7"/>
      <c r="L1717" s="7"/>
      <c r="M1717" s="7"/>
    </row>
    <row r="1718" ht="15.75" customHeight="1">
      <c r="A1718" s="7" t="s">
        <v>9102</v>
      </c>
      <c r="B1718" s="45" t="s">
        <v>9103</v>
      </c>
      <c r="C1718" s="7" t="s">
        <v>8950</v>
      </c>
      <c r="D1718" s="7" t="s">
        <v>9104</v>
      </c>
      <c r="E1718" s="7" t="s">
        <v>9105</v>
      </c>
      <c r="F1718" s="7" t="s">
        <v>8953</v>
      </c>
      <c r="G1718" s="7"/>
      <c r="H1718" s="46" t="s">
        <v>249</v>
      </c>
      <c r="I1718" s="7" t="s">
        <v>160</v>
      </c>
      <c r="J1718" s="7" t="s">
        <v>148</v>
      </c>
      <c r="K1718" s="7"/>
      <c r="L1718" s="7"/>
      <c r="M1718" s="7"/>
    </row>
    <row r="1719" ht="15.75" customHeight="1">
      <c r="A1719" s="7" t="s">
        <v>9106</v>
      </c>
      <c r="B1719" s="45" t="s">
        <v>9107</v>
      </c>
      <c r="C1719" s="7" t="s">
        <v>8950</v>
      </c>
      <c r="D1719" s="7" t="s">
        <v>9108</v>
      </c>
      <c r="E1719" s="7" t="s">
        <v>9109</v>
      </c>
      <c r="F1719" s="7" t="s">
        <v>8953</v>
      </c>
      <c r="G1719" s="7"/>
      <c r="H1719" s="46" t="s">
        <v>249</v>
      </c>
      <c r="I1719" s="7" t="s">
        <v>160</v>
      </c>
      <c r="J1719" s="7" t="s">
        <v>148</v>
      </c>
      <c r="K1719" s="7"/>
      <c r="L1719" s="7"/>
      <c r="M1719" s="7"/>
    </row>
    <row r="1720" ht="15.75" customHeight="1">
      <c r="A1720" s="7" t="s">
        <v>9110</v>
      </c>
      <c r="B1720" s="45" t="s">
        <v>9111</v>
      </c>
      <c r="C1720" s="7" t="s">
        <v>8950</v>
      </c>
      <c r="D1720" s="7" t="s">
        <v>9112</v>
      </c>
      <c r="E1720" s="7" t="s">
        <v>9113</v>
      </c>
      <c r="F1720" s="7" t="s">
        <v>8953</v>
      </c>
      <c r="G1720" s="7"/>
      <c r="H1720" s="46" t="s">
        <v>249</v>
      </c>
      <c r="I1720" s="7" t="s">
        <v>160</v>
      </c>
      <c r="J1720" s="7" t="s">
        <v>148</v>
      </c>
      <c r="K1720" s="7"/>
      <c r="L1720" s="7"/>
      <c r="M1720" s="7"/>
    </row>
    <row r="1721" ht="15.75" customHeight="1">
      <c r="A1721" s="7" t="s">
        <v>9114</v>
      </c>
      <c r="B1721" s="45" t="s">
        <v>9115</v>
      </c>
      <c r="C1721" s="7" t="s">
        <v>8950</v>
      </c>
      <c r="D1721" s="7" t="s">
        <v>9116</v>
      </c>
      <c r="E1721" s="7" t="s">
        <v>9117</v>
      </c>
      <c r="F1721" s="7" t="s">
        <v>8953</v>
      </c>
      <c r="G1721" s="7"/>
      <c r="H1721" s="46" t="s">
        <v>249</v>
      </c>
      <c r="I1721" s="7" t="s">
        <v>160</v>
      </c>
      <c r="J1721" s="7" t="s">
        <v>148</v>
      </c>
      <c r="K1721" s="7"/>
      <c r="L1721" s="7"/>
      <c r="M1721" s="7"/>
    </row>
    <row r="1722" ht="15.75" customHeight="1">
      <c r="A1722" s="7" t="s">
        <v>9118</v>
      </c>
      <c r="B1722" s="45" t="s">
        <v>9119</v>
      </c>
      <c r="C1722" s="7" t="s">
        <v>8950</v>
      </c>
      <c r="D1722" s="7" t="s">
        <v>9120</v>
      </c>
      <c r="E1722" s="7" t="s">
        <v>9121</v>
      </c>
      <c r="F1722" s="7" t="s">
        <v>8953</v>
      </c>
      <c r="G1722" s="7"/>
      <c r="H1722" s="46" t="s">
        <v>249</v>
      </c>
      <c r="I1722" s="7" t="s">
        <v>160</v>
      </c>
      <c r="J1722" s="7" t="s">
        <v>148</v>
      </c>
      <c r="K1722" s="7"/>
      <c r="L1722" s="7"/>
      <c r="M1722" s="7"/>
    </row>
    <row r="1723" ht="15.75" customHeight="1">
      <c r="A1723" s="7" t="s">
        <v>9122</v>
      </c>
      <c r="B1723" s="45" t="s">
        <v>9123</v>
      </c>
      <c r="C1723" s="7" t="s">
        <v>9124</v>
      </c>
      <c r="D1723" s="7" t="s">
        <v>9125</v>
      </c>
      <c r="E1723" s="7" t="s">
        <v>9126</v>
      </c>
      <c r="F1723" s="7" t="s">
        <v>9127</v>
      </c>
      <c r="G1723" s="7" t="s">
        <v>9128</v>
      </c>
      <c r="H1723" s="46" t="s">
        <v>249</v>
      </c>
      <c r="I1723" s="7" t="s">
        <v>160</v>
      </c>
      <c r="J1723" s="7" t="s">
        <v>148</v>
      </c>
      <c r="K1723" s="7"/>
      <c r="L1723" s="7"/>
      <c r="M1723" s="7"/>
    </row>
    <row r="1724" ht="15.75" customHeight="1">
      <c r="A1724" s="7" t="s">
        <v>9129</v>
      </c>
      <c r="B1724" s="45" t="s">
        <v>9130</v>
      </c>
      <c r="C1724" s="7" t="s">
        <v>7861</v>
      </c>
      <c r="D1724" s="7" t="s">
        <v>9131</v>
      </c>
      <c r="E1724" s="7" t="s">
        <v>9132</v>
      </c>
      <c r="F1724" s="7" t="s">
        <v>7864</v>
      </c>
      <c r="G1724" s="7"/>
      <c r="H1724" s="46" t="s">
        <v>249</v>
      </c>
      <c r="I1724" s="7" t="s">
        <v>160</v>
      </c>
      <c r="J1724" s="7" t="s">
        <v>148</v>
      </c>
      <c r="K1724" s="7"/>
      <c r="L1724" s="7"/>
      <c r="M1724" s="7"/>
    </row>
    <row r="1725" ht="15.75" customHeight="1">
      <c r="A1725" s="7" t="s">
        <v>9133</v>
      </c>
      <c r="B1725" s="45" t="s">
        <v>9134</v>
      </c>
      <c r="C1725" s="7" t="s">
        <v>1287</v>
      </c>
      <c r="D1725" s="7" t="s">
        <v>9135</v>
      </c>
      <c r="E1725" s="7" t="s">
        <v>9136</v>
      </c>
      <c r="F1725" s="7" t="s">
        <v>9137</v>
      </c>
      <c r="G1725" s="7"/>
      <c r="H1725" s="46" t="s">
        <v>249</v>
      </c>
      <c r="I1725" s="7" t="s">
        <v>160</v>
      </c>
      <c r="J1725" s="7" t="s">
        <v>148</v>
      </c>
      <c r="K1725" s="7"/>
      <c r="L1725" s="7"/>
      <c r="M1725" s="7"/>
    </row>
    <row r="1726" ht="15.75" customHeight="1">
      <c r="A1726" s="7" t="s">
        <v>9138</v>
      </c>
      <c r="B1726" s="45" t="s">
        <v>9139</v>
      </c>
      <c r="C1726" s="7" t="s">
        <v>2467</v>
      </c>
      <c r="D1726" s="7" t="s">
        <v>9140</v>
      </c>
      <c r="E1726" s="7" t="s">
        <v>9039</v>
      </c>
      <c r="F1726" s="7" t="s">
        <v>1801</v>
      </c>
      <c r="G1726" s="7"/>
      <c r="H1726" s="46" t="s">
        <v>249</v>
      </c>
      <c r="I1726" s="7" t="s">
        <v>160</v>
      </c>
      <c r="J1726" s="7" t="s">
        <v>148</v>
      </c>
      <c r="K1726" s="7"/>
      <c r="L1726" s="7"/>
      <c r="M1726" s="7"/>
    </row>
    <row r="1727" ht="15.75" customHeight="1">
      <c r="A1727" s="7" t="s">
        <v>9141</v>
      </c>
      <c r="B1727" s="45" t="s">
        <v>9142</v>
      </c>
      <c r="C1727" s="7" t="s">
        <v>2467</v>
      </c>
      <c r="D1727" s="7" t="s">
        <v>9143</v>
      </c>
      <c r="E1727" s="7" t="s">
        <v>1924</v>
      </c>
      <c r="F1727" s="7" t="s">
        <v>1801</v>
      </c>
      <c r="G1727" s="7"/>
      <c r="H1727" s="46" t="s">
        <v>249</v>
      </c>
      <c r="I1727" s="7" t="s">
        <v>160</v>
      </c>
      <c r="J1727" s="7" t="s">
        <v>148</v>
      </c>
      <c r="K1727" s="7"/>
      <c r="L1727" s="7"/>
      <c r="M1727" s="7"/>
    </row>
    <row r="1728" ht="15.75" customHeight="1">
      <c r="A1728" s="7" t="s">
        <v>9144</v>
      </c>
      <c r="B1728" s="45" t="s">
        <v>9145</v>
      </c>
      <c r="C1728" s="7" t="s">
        <v>2467</v>
      </c>
      <c r="D1728" s="7" t="s">
        <v>9146</v>
      </c>
      <c r="E1728" s="7" t="s">
        <v>3407</v>
      </c>
      <c r="F1728" s="7" t="s">
        <v>1801</v>
      </c>
      <c r="G1728" s="7"/>
      <c r="H1728" s="46" t="s">
        <v>249</v>
      </c>
      <c r="I1728" s="7" t="s">
        <v>160</v>
      </c>
      <c r="J1728" s="7" t="s">
        <v>148</v>
      </c>
      <c r="K1728" s="7"/>
      <c r="L1728" s="7"/>
      <c r="M1728" s="7"/>
    </row>
    <row r="1729" ht="15.75" customHeight="1">
      <c r="A1729" s="7" t="s">
        <v>9147</v>
      </c>
      <c r="B1729" s="45" t="s">
        <v>9148</v>
      </c>
      <c r="C1729" s="7" t="s">
        <v>2467</v>
      </c>
      <c r="D1729" s="7" t="s">
        <v>9149</v>
      </c>
      <c r="E1729" s="7" t="s">
        <v>3838</v>
      </c>
      <c r="F1729" s="7" t="s">
        <v>1801</v>
      </c>
      <c r="G1729" s="7"/>
      <c r="H1729" s="46" t="s">
        <v>249</v>
      </c>
      <c r="I1729" s="7" t="s">
        <v>160</v>
      </c>
      <c r="J1729" s="7" t="s">
        <v>148</v>
      </c>
      <c r="K1729" s="7"/>
      <c r="L1729" s="7"/>
      <c r="M1729" s="7"/>
    </row>
    <row r="1730" ht="15.75" customHeight="1">
      <c r="A1730" s="7" t="s">
        <v>9150</v>
      </c>
      <c r="B1730" s="45" t="s">
        <v>9151</v>
      </c>
      <c r="C1730" s="7" t="s">
        <v>2467</v>
      </c>
      <c r="D1730" s="7" t="s">
        <v>9152</v>
      </c>
      <c r="E1730" s="7" t="s">
        <v>9153</v>
      </c>
      <c r="F1730" s="7" t="s">
        <v>1801</v>
      </c>
      <c r="G1730" s="7"/>
      <c r="H1730" s="46" t="s">
        <v>249</v>
      </c>
      <c r="I1730" s="7" t="s">
        <v>160</v>
      </c>
      <c r="J1730" s="7" t="s">
        <v>148</v>
      </c>
      <c r="K1730" s="7"/>
      <c r="L1730" s="7"/>
      <c r="M1730" s="7"/>
    </row>
    <row r="1731" ht="15.75" customHeight="1">
      <c r="A1731" s="7" t="s">
        <v>9154</v>
      </c>
      <c r="B1731" s="45" t="s">
        <v>9155</v>
      </c>
      <c r="C1731" s="7" t="s">
        <v>9156</v>
      </c>
      <c r="D1731" s="7" t="s">
        <v>9157</v>
      </c>
      <c r="E1731" s="7" t="s">
        <v>9158</v>
      </c>
      <c r="F1731" s="7" t="s">
        <v>9159</v>
      </c>
      <c r="G1731" s="7" t="s">
        <v>9160</v>
      </c>
      <c r="H1731" s="46" t="s">
        <v>249</v>
      </c>
      <c r="I1731" s="7" t="s">
        <v>160</v>
      </c>
      <c r="J1731" s="7" t="s">
        <v>148</v>
      </c>
      <c r="K1731" s="7"/>
      <c r="L1731" s="7"/>
      <c r="M1731" s="7"/>
    </row>
    <row r="1732" ht="15.75" customHeight="1">
      <c r="A1732" s="7" t="s">
        <v>9161</v>
      </c>
      <c r="B1732" s="45" t="s">
        <v>9162</v>
      </c>
      <c r="C1732" s="7" t="s">
        <v>9163</v>
      </c>
      <c r="D1732" s="7" t="s">
        <v>9164</v>
      </c>
      <c r="E1732" s="7" t="s">
        <v>9165</v>
      </c>
      <c r="F1732" s="7" t="s">
        <v>9166</v>
      </c>
      <c r="G1732" s="7"/>
      <c r="H1732" s="46" t="s">
        <v>249</v>
      </c>
      <c r="I1732" s="7" t="s">
        <v>160</v>
      </c>
      <c r="J1732" s="7" t="s">
        <v>148</v>
      </c>
      <c r="K1732" s="7"/>
      <c r="L1732" s="7"/>
      <c r="M1732" s="7"/>
    </row>
    <row r="1733" ht="15.75" customHeight="1">
      <c r="A1733" s="7" t="s">
        <v>9167</v>
      </c>
      <c r="B1733" s="45" t="s">
        <v>9168</v>
      </c>
      <c r="C1733" s="7" t="s">
        <v>2467</v>
      </c>
      <c r="D1733" s="7" t="s">
        <v>9169</v>
      </c>
      <c r="E1733" s="7" t="s">
        <v>9170</v>
      </c>
      <c r="F1733" s="7" t="s">
        <v>1801</v>
      </c>
      <c r="G1733" s="7"/>
      <c r="H1733" s="46" t="s">
        <v>249</v>
      </c>
      <c r="I1733" s="7" t="s">
        <v>160</v>
      </c>
      <c r="J1733" s="7" t="s">
        <v>148</v>
      </c>
      <c r="K1733" s="7"/>
      <c r="L1733" s="7"/>
      <c r="M1733" s="7"/>
    </row>
    <row r="1734" ht="15.75" customHeight="1">
      <c r="A1734" s="7" t="s">
        <v>9171</v>
      </c>
      <c r="B1734" s="45" t="s">
        <v>9172</v>
      </c>
      <c r="C1734" s="7" t="s">
        <v>2467</v>
      </c>
      <c r="D1734" s="7" t="s">
        <v>9173</v>
      </c>
      <c r="E1734" s="7" t="s">
        <v>9174</v>
      </c>
      <c r="F1734" s="7" t="s">
        <v>1801</v>
      </c>
      <c r="G1734" s="7"/>
      <c r="H1734" s="46" t="s">
        <v>249</v>
      </c>
      <c r="I1734" s="7" t="s">
        <v>160</v>
      </c>
      <c r="J1734" s="7" t="s">
        <v>148</v>
      </c>
      <c r="K1734" s="7"/>
      <c r="L1734" s="7"/>
      <c r="M1734" s="7"/>
    </row>
    <row r="1735" ht="15.75" customHeight="1">
      <c r="A1735" s="7" t="s">
        <v>9175</v>
      </c>
      <c r="B1735" s="45" t="s">
        <v>9176</v>
      </c>
      <c r="C1735" s="7" t="s">
        <v>9177</v>
      </c>
      <c r="D1735" s="7" t="s">
        <v>9178</v>
      </c>
      <c r="E1735" s="7" t="s">
        <v>9179</v>
      </c>
      <c r="F1735" s="7" t="s">
        <v>9180</v>
      </c>
      <c r="G1735" s="7"/>
      <c r="H1735" s="46" t="s">
        <v>249</v>
      </c>
      <c r="I1735" s="7" t="s">
        <v>160</v>
      </c>
      <c r="J1735" s="7" t="s">
        <v>148</v>
      </c>
      <c r="K1735" s="7"/>
      <c r="L1735" s="7"/>
      <c r="M1735" s="7"/>
    </row>
    <row r="1736" ht="15.75" customHeight="1">
      <c r="A1736" s="7" t="s">
        <v>9181</v>
      </c>
      <c r="B1736" s="45" t="s">
        <v>9182</v>
      </c>
      <c r="C1736" s="7" t="s">
        <v>9183</v>
      </c>
      <c r="D1736" s="7" t="s">
        <v>9184</v>
      </c>
      <c r="E1736" s="7" t="s">
        <v>9185</v>
      </c>
      <c r="F1736" s="7" t="s">
        <v>9186</v>
      </c>
      <c r="G1736" s="7"/>
      <c r="H1736" s="46" t="s">
        <v>249</v>
      </c>
      <c r="I1736" s="7" t="s">
        <v>160</v>
      </c>
      <c r="J1736" s="7" t="s">
        <v>148</v>
      </c>
      <c r="K1736" s="7"/>
      <c r="L1736" s="7"/>
      <c r="M1736" s="7"/>
    </row>
    <row r="1737" ht="15.75" customHeight="1">
      <c r="A1737" s="7" t="s">
        <v>9187</v>
      </c>
      <c r="B1737" s="45" t="s">
        <v>9188</v>
      </c>
      <c r="C1737" s="7" t="s">
        <v>9189</v>
      </c>
      <c r="D1737" s="7" t="s">
        <v>9190</v>
      </c>
      <c r="E1737" s="7" t="s">
        <v>9191</v>
      </c>
      <c r="F1737" s="7" t="s">
        <v>9192</v>
      </c>
      <c r="G1737" s="7"/>
      <c r="H1737" s="46" t="s">
        <v>249</v>
      </c>
      <c r="I1737" s="7" t="s">
        <v>160</v>
      </c>
      <c r="J1737" s="7" t="s">
        <v>148</v>
      </c>
      <c r="K1737" s="7"/>
      <c r="L1737" s="7"/>
      <c r="M1737" s="7"/>
    </row>
    <row r="1738" ht="15.75" customHeight="1">
      <c r="A1738" s="7" t="s">
        <v>9193</v>
      </c>
      <c r="B1738" s="45" t="s">
        <v>9194</v>
      </c>
      <c r="C1738" s="7" t="s">
        <v>9183</v>
      </c>
      <c r="D1738" s="7" t="s">
        <v>9195</v>
      </c>
      <c r="E1738" s="7" t="s">
        <v>9191</v>
      </c>
      <c r="F1738" s="7" t="s">
        <v>9196</v>
      </c>
      <c r="G1738" s="7"/>
      <c r="H1738" s="46" t="s">
        <v>249</v>
      </c>
      <c r="I1738" s="7" t="s">
        <v>160</v>
      </c>
      <c r="J1738" s="7" t="s">
        <v>148</v>
      </c>
      <c r="K1738" s="7"/>
      <c r="L1738" s="7"/>
      <c r="M1738" s="7"/>
    </row>
    <row r="1739" ht="15.75" customHeight="1">
      <c r="A1739" s="7" t="s">
        <v>9197</v>
      </c>
      <c r="B1739" s="45" t="s">
        <v>9198</v>
      </c>
      <c r="C1739" s="7" t="s">
        <v>9199</v>
      </c>
      <c r="D1739" s="7" t="s">
        <v>9200</v>
      </c>
      <c r="E1739" s="7" t="s">
        <v>9201</v>
      </c>
      <c r="F1739" s="7" t="s">
        <v>9202</v>
      </c>
      <c r="G1739" s="7" t="s">
        <v>9203</v>
      </c>
      <c r="H1739" s="46" t="s">
        <v>249</v>
      </c>
      <c r="I1739" s="7" t="s">
        <v>160</v>
      </c>
      <c r="J1739" s="7" t="s">
        <v>148</v>
      </c>
      <c r="K1739" s="7"/>
      <c r="L1739" s="7"/>
      <c r="M1739" s="7"/>
    </row>
    <row r="1740" ht="15.75" customHeight="1">
      <c r="A1740" s="7" t="s">
        <v>9204</v>
      </c>
      <c r="B1740" s="45" t="s">
        <v>9205</v>
      </c>
      <c r="C1740" s="7" t="s">
        <v>9206</v>
      </c>
      <c r="D1740" s="7" t="s">
        <v>9207</v>
      </c>
      <c r="E1740" s="7" t="s">
        <v>9208</v>
      </c>
      <c r="F1740" s="7" t="s">
        <v>9209</v>
      </c>
      <c r="G1740" s="7"/>
      <c r="H1740" s="46" t="s">
        <v>249</v>
      </c>
      <c r="I1740" s="7" t="s">
        <v>160</v>
      </c>
      <c r="J1740" s="7" t="s">
        <v>148</v>
      </c>
      <c r="K1740" s="7"/>
      <c r="L1740" s="7"/>
      <c r="M1740" s="7"/>
    </row>
    <row r="1741" ht="15.75" customHeight="1">
      <c r="A1741" s="7" t="s">
        <v>9210</v>
      </c>
      <c r="B1741" s="45" t="s">
        <v>9211</v>
      </c>
      <c r="C1741" s="7" t="s">
        <v>9212</v>
      </c>
      <c r="D1741" s="7" t="s">
        <v>9213</v>
      </c>
      <c r="E1741" s="7" t="s">
        <v>9214</v>
      </c>
      <c r="F1741" s="7" t="s">
        <v>9215</v>
      </c>
      <c r="G1741" s="7"/>
      <c r="H1741" s="46" t="s">
        <v>249</v>
      </c>
      <c r="I1741" s="7" t="s">
        <v>160</v>
      </c>
      <c r="J1741" s="7" t="s">
        <v>148</v>
      </c>
      <c r="K1741" s="7"/>
      <c r="L1741" s="7"/>
      <c r="M1741" s="7"/>
    </row>
    <row r="1742" ht="15.75" customHeight="1">
      <c r="A1742" s="7" t="s">
        <v>9216</v>
      </c>
      <c r="B1742" s="45" t="s">
        <v>9217</v>
      </c>
      <c r="C1742" s="7" t="s">
        <v>9212</v>
      </c>
      <c r="D1742" s="7" t="s">
        <v>9218</v>
      </c>
      <c r="E1742" s="7" t="s">
        <v>9219</v>
      </c>
      <c r="F1742" s="7" t="s">
        <v>9220</v>
      </c>
      <c r="G1742" s="7"/>
      <c r="H1742" s="46" t="s">
        <v>249</v>
      </c>
      <c r="I1742" s="7" t="s">
        <v>160</v>
      </c>
      <c r="J1742" s="7" t="s">
        <v>148</v>
      </c>
      <c r="K1742" s="7"/>
      <c r="L1742" s="7"/>
      <c r="M1742" s="7"/>
    </row>
    <row r="1743" ht="15.75" customHeight="1">
      <c r="A1743" s="7" t="s">
        <v>9221</v>
      </c>
      <c r="B1743" s="45" t="s">
        <v>9222</v>
      </c>
      <c r="C1743" s="7" t="s">
        <v>9223</v>
      </c>
      <c r="D1743" s="7" t="s">
        <v>9224</v>
      </c>
      <c r="E1743" s="7" t="s">
        <v>9214</v>
      </c>
      <c r="F1743" s="7" t="s">
        <v>9215</v>
      </c>
      <c r="G1743" s="7"/>
      <c r="H1743" s="46" t="s">
        <v>249</v>
      </c>
      <c r="I1743" s="7" t="s">
        <v>160</v>
      </c>
      <c r="J1743" s="7" t="s">
        <v>148</v>
      </c>
      <c r="K1743" s="7"/>
      <c r="L1743" s="7"/>
      <c r="M1743" s="7"/>
    </row>
    <row r="1744" ht="15.75" customHeight="1">
      <c r="A1744" s="7" t="s">
        <v>9225</v>
      </c>
      <c r="B1744" s="45" t="s">
        <v>9226</v>
      </c>
      <c r="C1744" s="7" t="s">
        <v>9212</v>
      </c>
      <c r="D1744" s="7" t="s">
        <v>9227</v>
      </c>
      <c r="E1744" s="7" t="s">
        <v>9214</v>
      </c>
      <c r="F1744" s="7" t="s">
        <v>9215</v>
      </c>
      <c r="G1744" s="7"/>
      <c r="H1744" s="46" t="s">
        <v>249</v>
      </c>
      <c r="I1744" s="7" t="s">
        <v>160</v>
      </c>
      <c r="J1744" s="7" t="s">
        <v>148</v>
      </c>
      <c r="K1744" s="7"/>
      <c r="L1744" s="7"/>
      <c r="M1744" s="7"/>
    </row>
    <row r="1745" ht="15.75" customHeight="1">
      <c r="A1745" s="7" t="s">
        <v>9228</v>
      </c>
      <c r="B1745" s="45" t="s">
        <v>9229</v>
      </c>
      <c r="C1745" s="7" t="s">
        <v>9230</v>
      </c>
      <c r="D1745" s="7" t="s">
        <v>9231</v>
      </c>
      <c r="E1745" s="7" t="s">
        <v>9232</v>
      </c>
      <c r="F1745" s="7" t="s">
        <v>9233</v>
      </c>
      <c r="G1745" s="7"/>
      <c r="H1745" s="46" t="s">
        <v>249</v>
      </c>
      <c r="I1745" s="7" t="s">
        <v>160</v>
      </c>
      <c r="J1745" s="7" t="s">
        <v>148</v>
      </c>
      <c r="K1745" s="7"/>
      <c r="L1745" s="7"/>
      <c r="M1745" s="7"/>
    </row>
    <row r="1746" ht="15.75" customHeight="1">
      <c r="A1746" s="7" t="s">
        <v>9234</v>
      </c>
      <c r="B1746" s="45" t="s">
        <v>9235</v>
      </c>
      <c r="C1746" s="7" t="s">
        <v>9236</v>
      </c>
      <c r="D1746" s="7" t="s">
        <v>9237</v>
      </c>
      <c r="E1746" s="7" t="s">
        <v>9238</v>
      </c>
      <c r="F1746" s="7" t="s">
        <v>9239</v>
      </c>
      <c r="G1746" s="7"/>
      <c r="H1746" s="46" t="s">
        <v>249</v>
      </c>
      <c r="I1746" s="7" t="s">
        <v>160</v>
      </c>
      <c r="J1746" s="7" t="s">
        <v>148</v>
      </c>
      <c r="K1746" s="7"/>
      <c r="L1746" s="7"/>
      <c r="M1746" s="7"/>
    </row>
    <row r="1747" ht="15.75" customHeight="1">
      <c r="A1747" s="7" t="s">
        <v>9240</v>
      </c>
      <c r="B1747" s="45" t="s">
        <v>9241</v>
      </c>
      <c r="C1747" s="7" t="s">
        <v>9242</v>
      </c>
      <c r="D1747" s="7" t="s">
        <v>9243</v>
      </c>
      <c r="E1747" s="7" t="s">
        <v>9244</v>
      </c>
      <c r="F1747" s="7" t="s">
        <v>9245</v>
      </c>
      <c r="G1747" s="7"/>
      <c r="H1747" s="46" t="s">
        <v>249</v>
      </c>
      <c r="I1747" s="7" t="s">
        <v>160</v>
      </c>
      <c r="J1747" s="7" t="s">
        <v>148</v>
      </c>
      <c r="K1747" s="7"/>
      <c r="L1747" s="7"/>
      <c r="M1747" s="7"/>
    </row>
    <row r="1748" ht="15.75" customHeight="1">
      <c r="A1748" s="7" t="s">
        <v>9246</v>
      </c>
      <c r="B1748" s="45" t="s">
        <v>9247</v>
      </c>
      <c r="C1748" s="7" t="s">
        <v>9248</v>
      </c>
      <c r="D1748" s="7" t="s">
        <v>9249</v>
      </c>
      <c r="E1748" s="7" t="s">
        <v>3676</v>
      </c>
      <c r="F1748" s="7" t="s">
        <v>9250</v>
      </c>
      <c r="G1748" s="7"/>
      <c r="H1748" s="46" t="s">
        <v>249</v>
      </c>
      <c r="I1748" s="7" t="s">
        <v>160</v>
      </c>
      <c r="J1748" s="7" t="s">
        <v>148</v>
      </c>
      <c r="K1748" s="7"/>
      <c r="L1748" s="7"/>
      <c r="M1748" s="7"/>
    </row>
    <row r="1749" ht="15.75" customHeight="1">
      <c r="A1749" s="7" t="s">
        <v>9251</v>
      </c>
      <c r="B1749" s="45" t="s">
        <v>9252</v>
      </c>
      <c r="C1749" s="7" t="s">
        <v>9253</v>
      </c>
      <c r="D1749" s="7" t="s">
        <v>9254</v>
      </c>
      <c r="E1749" s="7" t="s">
        <v>9255</v>
      </c>
      <c r="F1749" s="7" t="s">
        <v>9256</v>
      </c>
      <c r="G1749" s="7"/>
      <c r="H1749" s="46" t="s">
        <v>249</v>
      </c>
      <c r="I1749" s="7" t="s">
        <v>160</v>
      </c>
      <c r="J1749" s="7" t="s">
        <v>148</v>
      </c>
      <c r="K1749" s="7"/>
      <c r="L1749" s="7"/>
      <c r="M1749" s="7"/>
    </row>
    <row r="1750" ht="15.75" customHeight="1">
      <c r="A1750" s="7" t="s">
        <v>9257</v>
      </c>
      <c r="B1750" s="45" t="s">
        <v>9258</v>
      </c>
      <c r="C1750" s="7" t="s">
        <v>9259</v>
      </c>
      <c r="D1750" s="7" t="s">
        <v>9260</v>
      </c>
      <c r="E1750" s="7" t="s">
        <v>9255</v>
      </c>
      <c r="F1750" s="7" t="s">
        <v>9256</v>
      </c>
      <c r="G1750" s="7"/>
      <c r="H1750" s="46" t="s">
        <v>249</v>
      </c>
      <c r="I1750" s="7" t="s">
        <v>160</v>
      </c>
      <c r="J1750" s="7" t="s">
        <v>148</v>
      </c>
      <c r="K1750" s="7"/>
      <c r="L1750" s="7"/>
      <c r="M1750" s="7"/>
    </row>
    <row r="1751" ht="15.75" customHeight="1">
      <c r="A1751" s="7" t="s">
        <v>9261</v>
      </c>
      <c r="B1751" s="45" t="s">
        <v>9262</v>
      </c>
      <c r="C1751" s="7" t="s">
        <v>9263</v>
      </c>
      <c r="D1751" s="7" t="s">
        <v>9264</v>
      </c>
      <c r="E1751" s="7" t="s">
        <v>9265</v>
      </c>
      <c r="F1751" s="7" t="s">
        <v>9266</v>
      </c>
      <c r="G1751" s="7"/>
      <c r="H1751" s="46" t="s">
        <v>249</v>
      </c>
      <c r="I1751" s="7" t="s">
        <v>160</v>
      </c>
      <c r="J1751" s="7" t="s">
        <v>148</v>
      </c>
      <c r="K1751" s="7"/>
      <c r="L1751" s="7"/>
      <c r="M1751" s="7"/>
    </row>
    <row r="1752" ht="15.75" customHeight="1">
      <c r="A1752" s="7" t="s">
        <v>9267</v>
      </c>
      <c r="B1752" s="45" t="s">
        <v>9268</v>
      </c>
      <c r="C1752" s="7" t="s">
        <v>9269</v>
      </c>
      <c r="D1752" s="7" t="s">
        <v>9270</v>
      </c>
      <c r="E1752" s="7" t="s">
        <v>9271</v>
      </c>
      <c r="F1752" s="7" t="s">
        <v>9272</v>
      </c>
      <c r="G1752" s="7"/>
      <c r="H1752" s="46" t="s">
        <v>249</v>
      </c>
      <c r="I1752" s="7" t="s">
        <v>160</v>
      </c>
      <c r="J1752" s="7" t="s">
        <v>148</v>
      </c>
      <c r="K1752" s="7"/>
      <c r="L1752" s="7"/>
      <c r="M1752" s="7"/>
    </row>
    <row r="1753" ht="15.75" customHeight="1">
      <c r="A1753" s="7" t="s">
        <v>9273</v>
      </c>
      <c r="B1753" s="45" t="s">
        <v>9274</v>
      </c>
      <c r="C1753" s="7" t="s">
        <v>9275</v>
      </c>
      <c r="D1753" s="7" t="s">
        <v>9276</v>
      </c>
      <c r="E1753" s="7" t="s">
        <v>9277</v>
      </c>
      <c r="F1753" s="7" t="s">
        <v>9278</v>
      </c>
      <c r="G1753" s="7"/>
      <c r="H1753" s="46" t="s">
        <v>249</v>
      </c>
      <c r="I1753" s="7" t="s">
        <v>160</v>
      </c>
      <c r="J1753" s="7" t="s">
        <v>148</v>
      </c>
      <c r="K1753" s="7"/>
      <c r="L1753" s="7"/>
      <c r="M1753" s="7"/>
    </row>
    <row r="1754" ht="15.75" customHeight="1">
      <c r="A1754" s="7" t="s">
        <v>9279</v>
      </c>
      <c r="B1754" s="45" t="s">
        <v>9280</v>
      </c>
      <c r="C1754" s="7" t="s">
        <v>9281</v>
      </c>
      <c r="D1754" s="7" t="s">
        <v>9282</v>
      </c>
      <c r="E1754" s="7" t="s">
        <v>9283</v>
      </c>
      <c r="F1754" s="7" t="s">
        <v>9284</v>
      </c>
      <c r="G1754" s="7"/>
      <c r="H1754" s="46" t="s">
        <v>249</v>
      </c>
      <c r="I1754" s="7" t="s">
        <v>160</v>
      </c>
      <c r="J1754" s="7" t="s">
        <v>148</v>
      </c>
      <c r="K1754" s="7"/>
      <c r="L1754" s="7"/>
      <c r="M1754" s="7"/>
    </row>
    <row r="1755" ht="15.75" customHeight="1">
      <c r="A1755" s="7" t="s">
        <v>9285</v>
      </c>
      <c r="B1755" s="45" t="s">
        <v>9286</v>
      </c>
      <c r="C1755" s="7" t="s">
        <v>9287</v>
      </c>
      <c r="D1755" s="7" t="s">
        <v>9288</v>
      </c>
      <c r="E1755" s="7" t="s">
        <v>9289</v>
      </c>
      <c r="F1755" s="7" t="s">
        <v>9290</v>
      </c>
      <c r="G1755" s="7"/>
      <c r="H1755" s="46" t="s">
        <v>249</v>
      </c>
      <c r="I1755" s="7" t="s">
        <v>160</v>
      </c>
      <c r="J1755" s="7" t="s">
        <v>148</v>
      </c>
      <c r="K1755" s="7"/>
      <c r="L1755" s="7"/>
      <c r="M1755" s="7"/>
    </row>
    <row r="1756" ht="15.75" customHeight="1">
      <c r="A1756" s="7" t="s">
        <v>9291</v>
      </c>
      <c r="B1756" s="45" t="s">
        <v>9292</v>
      </c>
      <c r="C1756" s="7" t="s">
        <v>9293</v>
      </c>
      <c r="D1756" s="7" t="s">
        <v>9294</v>
      </c>
      <c r="E1756" s="7" t="s">
        <v>9295</v>
      </c>
      <c r="F1756" s="7" t="s">
        <v>9296</v>
      </c>
      <c r="G1756" s="7"/>
      <c r="H1756" s="46" t="s">
        <v>249</v>
      </c>
      <c r="I1756" s="7" t="s">
        <v>160</v>
      </c>
      <c r="J1756" s="7" t="s">
        <v>148</v>
      </c>
      <c r="K1756" s="7"/>
      <c r="L1756" s="7"/>
      <c r="M1756" s="7"/>
    </row>
    <row r="1757" ht="15.75" customHeight="1">
      <c r="A1757" s="7" t="s">
        <v>9297</v>
      </c>
      <c r="B1757" s="45" t="s">
        <v>9298</v>
      </c>
      <c r="C1757" s="7" t="s">
        <v>9299</v>
      </c>
      <c r="D1757" s="7" t="s">
        <v>9300</v>
      </c>
      <c r="E1757" s="7" t="s">
        <v>9301</v>
      </c>
      <c r="F1757" s="7" t="s">
        <v>9302</v>
      </c>
      <c r="G1757" s="7"/>
      <c r="H1757" s="46" t="s">
        <v>249</v>
      </c>
      <c r="I1757" s="7" t="s">
        <v>160</v>
      </c>
      <c r="J1757" s="7" t="s">
        <v>148</v>
      </c>
      <c r="K1757" s="7"/>
      <c r="L1757" s="7"/>
      <c r="M1757" s="7"/>
    </row>
    <row r="1758" ht="15.75" customHeight="1">
      <c r="A1758" s="7" t="s">
        <v>9303</v>
      </c>
      <c r="B1758" s="45" t="s">
        <v>9304</v>
      </c>
      <c r="C1758" s="7" t="s">
        <v>9305</v>
      </c>
      <c r="D1758" s="7" t="s">
        <v>9306</v>
      </c>
      <c r="E1758" s="7" t="s">
        <v>9307</v>
      </c>
      <c r="F1758" s="7" t="s">
        <v>9308</v>
      </c>
      <c r="G1758" s="7"/>
      <c r="H1758" s="46" t="s">
        <v>249</v>
      </c>
      <c r="I1758" s="7" t="s">
        <v>160</v>
      </c>
      <c r="J1758" s="7" t="s">
        <v>148</v>
      </c>
      <c r="K1758" s="7"/>
      <c r="L1758" s="7"/>
      <c r="M1758" s="7"/>
    </row>
    <row r="1759" ht="15.75" customHeight="1">
      <c r="A1759" s="7" t="s">
        <v>9309</v>
      </c>
      <c r="B1759" s="45" t="s">
        <v>9310</v>
      </c>
      <c r="C1759" s="7" t="s">
        <v>7489</v>
      </c>
      <c r="D1759" s="7" t="s">
        <v>9311</v>
      </c>
      <c r="E1759" s="7" t="s">
        <v>9312</v>
      </c>
      <c r="F1759" s="7" t="s">
        <v>7492</v>
      </c>
      <c r="G1759" s="7"/>
      <c r="H1759" s="46" t="s">
        <v>249</v>
      </c>
      <c r="I1759" s="7" t="s">
        <v>160</v>
      </c>
      <c r="J1759" s="7" t="s">
        <v>148</v>
      </c>
      <c r="K1759" s="7"/>
      <c r="L1759" s="7"/>
      <c r="M1759" s="7"/>
    </row>
    <row r="1760" ht="15.75" customHeight="1">
      <c r="A1760" s="7" t="s">
        <v>9313</v>
      </c>
      <c r="B1760" s="45" t="s">
        <v>9314</v>
      </c>
      <c r="C1760" s="7" t="s">
        <v>9315</v>
      </c>
      <c r="D1760" s="7" t="s">
        <v>9316</v>
      </c>
      <c r="E1760" s="7" t="s">
        <v>9317</v>
      </c>
      <c r="F1760" s="7" t="s">
        <v>9318</v>
      </c>
      <c r="G1760" s="7"/>
      <c r="H1760" s="46" t="s">
        <v>249</v>
      </c>
      <c r="I1760" s="7" t="s">
        <v>160</v>
      </c>
      <c r="J1760" s="7" t="s">
        <v>148</v>
      </c>
      <c r="K1760" s="7"/>
      <c r="L1760" s="7"/>
      <c r="M1760" s="7"/>
    </row>
    <row r="1761" ht="15.75" customHeight="1">
      <c r="A1761" s="7" t="s">
        <v>9319</v>
      </c>
      <c r="B1761" s="45" t="s">
        <v>9320</v>
      </c>
      <c r="C1761" s="7" t="s">
        <v>9321</v>
      </c>
      <c r="D1761" s="7" t="s">
        <v>9322</v>
      </c>
      <c r="E1761" s="7" t="s">
        <v>9323</v>
      </c>
      <c r="F1761" s="7" t="s">
        <v>9324</v>
      </c>
      <c r="G1761" s="7"/>
      <c r="H1761" s="46" t="s">
        <v>249</v>
      </c>
      <c r="I1761" s="7" t="s">
        <v>160</v>
      </c>
      <c r="J1761" s="7" t="s">
        <v>148</v>
      </c>
      <c r="K1761" s="7"/>
      <c r="L1761" s="7"/>
      <c r="M1761" s="7"/>
    </row>
    <row r="1762" ht="15.75" customHeight="1">
      <c r="A1762" s="7" t="s">
        <v>9325</v>
      </c>
      <c r="B1762" s="45" t="s">
        <v>9326</v>
      </c>
      <c r="C1762" s="7" t="s">
        <v>9327</v>
      </c>
      <c r="D1762" s="7" t="s">
        <v>9328</v>
      </c>
      <c r="E1762" s="7" t="s">
        <v>9329</v>
      </c>
      <c r="F1762" s="7" t="s">
        <v>9330</v>
      </c>
      <c r="G1762" s="7" t="s">
        <v>9331</v>
      </c>
      <c r="H1762" s="46" t="s">
        <v>249</v>
      </c>
      <c r="I1762" s="7" t="s">
        <v>160</v>
      </c>
      <c r="J1762" s="7" t="s">
        <v>148</v>
      </c>
      <c r="K1762" s="7"/>
      <c r="L1762" s="7"/>
      <c r="M1762" s="7"/>
    </row>
    <row r="1763" ht="15.75" customHeight="1">
      <c r="A1763" s="7" t="s">
        <v>9332</v>
      </c>
      <c r="B1763" s="45" t="s">
        <v>9333</v>
      </c>
      <c r="C1763" s="7" t="s">
        <v>8950</v>
      </c>
      <c r="D1763" s="7" t="s">
        <v>9334</v>
      </c>
      <c r="E1763" s="7" t="s">
        <v>9335</v>
      </c>
      <c r="F1763" s="7" t="s">
        <v>8953</v>
      </c>
      <c r="G1763" s="7"/>
      <c r="H1763" s="46" t="s">
        <v>249</v>
      </c>
      <c r="I1763" s="7" t="s">
        <v>160</v>
      </c>
      <c r="J1763" s="7" t="s">
        <v>148</v>
      </c>
      <c r="K1763" s="7"/>
      <c r="L1763" s="7"/>
      <c r="M1763" s="7"/>
    </row>
    <row r="1764" ht="15.75" customHeight="1">
      <c r="A1764" s="7" t="s">
        <v>9336</v>
      </c>
      <c r="B1764" s="45" t="s">
        <v>9337</v>
      </c>
      <c r="C1764" s="7" t="s">
        <v>9338</v>
      </c>
      <c r="D1764" s="7" t="s">
        <v>9339</v>
      </c>
      <c r="E1764" s="7" t="s">
        <v>9340</v>
      </c>
      <c r="F1764" s="7" t="s">
        <v>9341</v>
      </c>
      <c r="G1764" s="7"/>
      <c r="H1764" s="46" t="s">
        <v>249</v>
      </c>
      <c r="I1764" s="7" t="s">
        <v>160</v>
      </c>
      <c r="J1764" s="7" t="s">
        <v>148</v>
      </c>
      <c r="K1764" s="7"/>
      <c r="L1764" s="7"/>
      <c r="M1764" s="7"/>
    </row>
    <row r="1765" ht="15.75" customHeight="1">
      <c r="A1765" s="7" t="s">
        <v>9342</v>
      </c>
      <c r="B1765" s="45" t="s">
        <v>9343</v>
      </c>
      <c r="C1765" s="7" t="s">
        <v>9338</v>
      </c>
      <c r="D1765" s="7" t="s">
        <v>9344</v>
      </c>
      <c r="E1765" s="7" t="s">
        <v>9345</v>
      </c>
      <c r="F1765" s="7" t="s">
        <v>9341</v>
      </c>
      <c r="G1765" s="7"/>
      <c r="H1765" s="46" t="s">
        <v>249</v>
      </c>
      <c r="I1765" s="7" t="s">
        <v>160</v>
      </c>
      <c r="J1765" s="7" t="s">
        <v>148</v>
      </c>
      <c r="K1765" s="7"/>
      <c r="L1765" s="7"/>
      <c r="M1765" s="7"/>
    </row>
    <row r="1766" ht="15.75" customHeight="1">
      <c r="A1766" s="7" t="s">
        <v>9346</v>
      </c>
      <c r="B1766" s="45" t="s">
        <v>9347</v>
      </c>
      <c r="C1766" s="7" t="s">
        <v>9348</v>
      </c>
      <c r="D1766" s="7" t="s">
        <v>9349</v>
      </c>
      <c r="E1766" s="7" t="s">
        <v>9350</v>
      </c>
      <c r="F1766" s="7" t="s">
        <v>9351</v>
      </c>
      <c r="G1766" s="7"/>
      <c r="H1766" s="46" t="s">
        <v>249</v>
      </c>
      <c r="I1766" s="7" t="s">
        <v>160</v>
      </c>
      <c r="J1766" s="7" t="s">
        <v>148</v>
      </c>
      <c r="K1766" s="7"/>
      <c r="L1766" s="7"/>
      <c r="M1766" s="7"/>
    </row>
    <row r="1767" ht="15.75" customHeight="1">
      <c r="A1767" s="7" t="s">
        <v>9352</v>
      </c>
      <c r="B1767" s="45" t="s">
        <v>9353</v>
      </c>
      <c r="C1767" s="7" t="s">
        <v>9338</v>
      </c>
      <c r="D1767" s="7" t="s">
        <v>9354</v>
      </c>
      <c r="E1767" s="7" t="s">
        <v>9355</v>
      </c>
      <c r="F1767" s="7" t="s">
        <v>9341</v>
      </c>
      <c r="G1767" s="7"/>
      <c r="H1767" s="46" t="s">
        <v>249</v>
      </c>
      <c r="I1767" s="7" t="s">
        <v>160</v>
      </c>
      <c r="J1767" s="7" t="s">
        <v>148</v>
      </c>
      <c r="K1767" s="7"/>
      <c r="L1767" s="7"/>
      <c r="M1767" s="7"/>
    </row>
    <row r="1768" ht="15.75" customHeight="1">
      <c r="A1768" s="7" t="s">
        <v>9356</v>
      </c>
      <c r="B1768" s="45" t="s">
        <v>9357</v>
      </c>
      <c r="C1768" s="7" t="s">
        <v>9358</v>
      </c>
      <c r="D1768" s="7" t="s">
        <v>9359</v>
      </c>
      <c r="E1768" s="7" t="s">
        <v>9360</v>
      </c>
      <c r="F1768" s="7" t="s">
        <v>9361</v>
      </c>
      <c r="G1768" s="7"/>
      <c r="H1768" s="46" t="s">
        <v>249</v>
      </c>
      <c r="I1768" s="7" t="s">
        <v>160</v>
      </c>
      <c r="J1768" s="7" t="s">
        <v>148</v>
      </c>
      <c r="K1768" s="7"/>
      <c r="L1768" s="7"/>
      <c r="M1768" s="7"/>
    </row>
    <row r="1769" ht="15.75" customHeight="1">
      <c r="A1769" s="7" t="s">
        <v>9362</v>
      </c>
      <c r="B1769" s="45" t="s">
        <v>9363</v>
      </c>
      <c r="C1769" s="7" t="s">
        <v>9364</v>
      </c>
      <c r="D1769" s="7" t="s">
        <v>9365</v>
      </c>
      <c r="E1769" s="7" t="s">
        <v>9366</v>
      </c>
      <c r="F1769" s="7" t="s">
        <v>9367</v>
      </c>
      <c r="G1769" s="7"/>
      <c r="H1769" s="46" t="s">
        <v>249</v>
      </c>
      <c r="I1769" s="7" t="s">
        <v>160</v>
      </c>
      <c r="J1769" s="7" t="s">
        <v>148</v>
      </c>
      <c r="K1769" s="7"/>
      <c r="L1769" s="7"/>
      <c r="M1769" s="7"/>
    </row>
    <row r="1770" ht="15.75" customHeight="1">
      <c r="A1770" s="7" t="s">
        <v>9368</v>
      </c>
      <c r="B1770" s="45" t="s">
        <v>9369</v>
      </c>
      <c r="C1770" s="7" t="s">
        <v>9370</v>
      </c>
      <c r="D1770" s="7" t="s">
        <v>9371</v>
      </c>
      <c r="E1770" s="7" t="s">
        <v>9372</v>
      </c>
      <c r="F1770" s="7" t="s">
        <v>9373</v>
      </c>
      <c r="G1770" s="7"/>
      <c r="H1770" s="46" t="s">
        <v>249</v>
      </c>
      <c r="I1770" s="7" t="s">
        <v>160</v>
      </c>
      <c r="J1770" s="7" t="s">
        <v>148</v>
      </c>
      <c r="K1770" s="7"/>
      <c r="L1770" s="7"/>
      <c r="M1770" s="7"/>
    </row>
    <row r="1771" ht="15.75" customHeight="1">
      <c r="A1771" s="7" t="s">
        <v>9374</v>
      </c>
      <c r="B1771" s="45" t="s">
        <v>9375</v>
      </c>
      <c r="C1771" s="7" t="s">
        <v>9376</v>
      </c>
      <c r="D1771" s="7" t="s">
        <v>9377</v>
      </c>
      <c r="E1771" s="7" t="s">
        <v>9378</v>
      </c>
      <c r="F1771" s="7" t="s">
        <v>9379</v>
      </c>
      <c r="G1771" s="7"/>
      <c r="H1771" s="46" t="s">
        <v>249</v>
      </c>
      <c r="I1771" s="7" t="s">
        <v>160</v>
      </c>
      <c r="J1771" s="7" t="s">
        <v>148</v>
      </c>
      <c r="K1771" s="7"/>
      <c r="L1771" s="7"/>
      <c r="M1771" s="7"/>
    </row>
    <row r="1772" ht="15.75" customHeight="1">
      <c r="A1772" s="7" t="s">
        <v>9380</v>
      </c>
      <c r="B1772" s="45" t="s">
        <v>9381</v>
      </c>
      <c r="C1772" s="7" t="s">
        <v>4416</v>
      </c>
      <c r="D1772" s="7" t="s">
        <v>9382</v>
      </c>
      <c r="E1772" s="7" t="s">
        <v>9383</v>
      </c>
      <c r="F1772" s="7" t="s">
        <v>9384</v>
      </c>
      <c r="G1772" s="7" t="s">
        <v>9385</v>
      </c>
      <c r="H1772" s="46" t="s">
        <v>249</v>
      </c>
      <c r="I1772" s="7" t="s">
        <v>160</v>
      </c>
      <c r="J1772" s="7" t="s">
        <v>148</v>
      </c>
      <c r="K1772" s="7"/>
      <c r="L1772" s="7"/>
      <c r="M1772" s="7"/>
    </row>
    <row r="1773" ht="15.75" customHeight="1">
      <c r="A1773" s="7" t="s">
        <v>9386</v>
      </c>
      <c r="B1773" s="45" t="s">
        <v>9387</v>
      </c>
      <c r="C1773" s="7" t="s">
        <v>9388</v>
      </c>
      <c r="D1773" s="7" t="s">
        <v>9389</v>
      </c>
      <c r="E1773" s="7" t="s">
        <v>9390</v>
      </c>
      <c r="F1773" s="7" t="s">
        <v>9391</v>
      </c>
      <c r="G1773" s="7"/>
      <c r="H1773" s="46" t="s">
        <v>249</v>
      </c>
      <c r="I1773" s="7" t="s">
        <v>160</v>
      </c>
      <c r="J1773" s="7" t="s">
        <v>148</v>
      </c>
      <c r="K1773" s="7"/>
      <c r="L1773" s="7"/>
      <c r="M1773" s="7"/>
    </row>
    <row r="1774" ht="15.75" customHeight="1">
      <c r="A1774" s="7" t="s">
        <v>9392</v>
      </c>
      <c r="B1774" s="45" t="s">
        <v>9393</v>
      </c>
      <c r="C1774" s="7" t="s">
        <v>9394</v>
      </c>
      <c r="D1774" s="7" t="s">
        <v>9395</v>
      </c>
      <c r="E1774" s="7" t="s">
        <v>9396</v>
      </c>
      <c r="F1774" s="7" t="s">
        <v>9397</v>
      </c>
      <c r="G1774" s="7"/>
      <c r="H1774" s="46" t="s">
        <v>249</v>
      </c>
      <c r="I1774" s="7" t="s">
        <v>160</v>
      </c>
      <c r="J1774" s="7" t="s">
        <v>148</v>
      </c>
      <c r="K1774" s="7"/>
      <c r="L1774" s="7"/>
      <c r="M1774" s="7"/>
    </row>
    <row r="1775" ht="15.75" customHeight="1">
      <c r="A1775" s="7" t="s">
        <v>9398</v>
      </c>
      <c r="B1775" s="45" t="s">
        <v>9399</v>
      </c>
      <c r="C1775" s="7" t="s">
        <v>9400</v>
      </c>
      <c r="D1775" s="7" t="s">
        <v>9401</v>
      </c>
      <c r="E1775" s="7" t="s">
        <v>9402</v>
      </c>
      <c r="F1775" s="7" t="s">
        <v>9403</v>
      </c>
      <c r="G1775" s="7" t="s">
        <v>9404</v>
      </c>
      <c r="H1775" s="46" t="s">
        <v>249</v>
      </c>
      <c r="I1775" s="7" t="s">
        <v>160</v>
      </c>
      <c r="J1775" s="7" t="s">
        <v>148</v>
      </c>
      <c r="K1775" s="7"/>
      <c r="L1775" s="7"/>
      <c r="M1775" s="7"/>
    </row>
    <row r="1776" ht="15.75" customHeight="1">
      <c r="A1776" s="7" t="s">
        <v>9405</v>
      </c>
      <c r="B1776" s="45" t="s">
        <v>9406</v>
      </c>
      <c r="C1776" s="7" t="s">
        <v>9407</v>
      </c>
      <c r="D1776" s="7" t="s">
        <v>9408</v>
      </c>
      <c r="E1776" s="7" t="s">
        <v>9409</v>
      </c>
      <c r="F1776" s="7" t="s">
        <v>9410</v>
      </c>
      <c r="G1776" s="7"/>
      <c r="H1776" s="46" t="s">
        <v>249</v>
      </c>
      <c r="I1776" s="7" t="s">
        <v>160</v>
      </c>
      <c r="J1776" s="7" t="s">
        <v>148</v>
      </c>
      <c r="K1776" s="7"/>
      <c r="L1776" s="7"/>
      <c r="M1776" s="7"/>
    </row>
    <row r="1777" ht="15.75" customHeight="1">
      <c r="A1777" s="7" t="s">
        <v>9411</v>
      </c>
      <c r="B1777" s="45" t="s">
        <v>9412</v>
      </c>
      <c r="C1777" s="7" t="s">
        <v>9413</v>
      </c>
      <c r="D1777" s="7" t="s">
        <v>9414</v>
      </c>
      <c r="E1777" s="7" t="s">
        <v>9415</v>
      </c>
      <c r="F1777" s="7" t="s">
        <v>9416</v>
      </c>
      <c r="G1777" s="7"/>
      <c r="H1777" s="46" t="s">
        <v>249</v>
      </c>
      <c r="I1777" s="7" t="s">
        <v>160</v>
      </c>
      <c r="J1777" s="7" t="s">
        <v>148</v>
      </c>
      <c r="K1777" s="7"/>
      <c r="L1777" s="7"/>
      <c r="M1777" s="7"/>
    </row>
    <row r="1778" ht="15.75" customHeight="1">
      <c r="A1778" s="7" t="s">
        <v>9417</v>
      </c>
      <c r="B1778" s="45" t="s">
        <v>9418</v>
      </c>
      <c r="C1778" s="7" t="s">
        <v>9419</v>
      </c>
      <c r="D1778" s="7" t="s">
        <v>9420</v>
      </c>
      <c r="E1778" s="7" t="s">
        <v>9421</v>
      </c>
      <c r="F1778" s="7" t="s">
        <v>9422</v>
      </c>
      <c r="G1778" s="7"/>
      <c r="H1778" s="46" t="s">
        <v>249</v>
      </c>
      <c r="I1778" s="7" t="s">
        <v>160</v>
      </c>
      <c r="J1778" s="7" t="s">
        <v>148</v>
      </c>
      <c r="K1778" s="7"/>
      <c r="L1778" s="7"/>
      <c r="M1778" s="7"/>
    </row>
    <row r="1779" ht="15.75" customHeight="1">
      <c r="A1779" s="7" t="s">
        <v>9423</v>
      </c>
      <c r="B1779" s="45" t="s">
        <v>9424</v>
      </c>
      <c r="C1779" s="7" t="s">
        <v>9425</v>
      </c>
      <c r="D1779" s="7" t="s">
        <v>9426</v>
      </c>
      <c r="E1779" s="7" t="s">
        <v>1544</v>
      </c>
      <c r="F1779" s="7" t="s">
        <v>1545</v>
      </c>
      <c r="G1779" s="7"/>
      <c r="H1779" s="46" t="s">
        <v>249</v>
      </c>
      <c r="I1779" s="7" t="s">
        <v>160</v>
      </c>
      <c r="J1779" s="7" t="s">
        <v>148</v>
      </c>
      <c r="K1779" s="7"/>
      <c r="L1779" s="7"/>
      <c r="M1779" s="7"/>
    </row>
    <row r="1780" ht="15.75" customHeight="1">
      <c r="A1780" s="7" t="s">
        <v>9427</v>
      </c>
      <c r="B1780" s="45" t="s">
        <v>9428</v>
      </c>
      <c r="C1780" s="7" t="s">
        <v>9212</v>
      </c>
      <c r="D1780" s="7" t="s">
        <v>9429</v>
      </c>
      <c r="E1780" s="7" t="s">
        <v>9214</v>
      </c>
      <c r="F1780" s="7" t="s">
        <v>9215</v>
      </c>
      <c r="G1780" s="7"/>
      <c r="H1780" s="46" t="s">
        <v>249</v>
      </c>
      <c r="I1780" s="7" t="s">
        <v>160</v>
      </c>
      <c r="J1780" s="7" t="s">
        <v>148</v>
      </c>
      <c r="K1780" s="7"/>
      <c r="L1780" s="7"/>
      <c r="M1780" s="7"/>
    </row>
    <row r="1781" ht="15.75" customHeight="1">
      <c r="A1781" s="7" t="s">
        <v>9430</v>
      </c>
      <c r="B1781" s="45" t="s">
        <v>9431</v>
      </c>
      <c r="C1781" s="7" t="s">
        <v>9432</v>
      </c>
      <c r="D1781" s="7" t="s">
        <v>9433</v>
      </c>
      <c r="E1781" s="7" t="s">
        <v>9434</v>
      </c>
      <c r="F1781" s="7" t="s">
        <v>9435</v>
      </c>
      <c r="G1781" s="7"/>
      <c r="H1781" s="46" t="s">
        <v>249</v>
      </c>
      <c r="I1781" s="7" t="s">
        <v>160</v>
      </c>
      <c r="J1781" s="7" t="s">
        <v>148</v>
      </c>
      <c r="K1781" s="7"/>
      <c r="L1781" s="7"/>
      <c r="M1781" s="7"/>
    </row>
    <row r="1782" ht="15.75" customHeight="1">
      <c r="A1782" s="7" t="s">
        <v>9436</v>
      </c>
      <c r="B1782" s="45" t="s">
        <v>9437</v>
      </c>
      <c r="C1782" s="7" t="s">
        <v>9438</v>
      </c>
      <c r="D1782" s="7" t="s">
        <v>9439</v>
      </c>
      <c r="E1782" s="7" t="s">
        <v>9440</v>
      </c>
      <c r="F1782" s="7" t="s">
        <v>9441</v>
      </c>
      <c r="G1782" s="7"/>
      <c r="H1782" s="46" t="s">
        <v>249</v>
      </c>
      <c r="I1782" s="7" t="s">
        <v>160</v>
      </c>
      <c r="J1782" s="7" t="s">
        <v>148</v>
      </c>
      <c r="K1782" s="7"/>
      <c r="L1782" s="7"/>
      <c r="M1782" s="7"/>
    </row>
    <row r="1783" ht="15.75" customHeight="1">
      <c r="A1783" s="7" t="s">
        <v>9442</v>
      </c>
      <c r="B1783" s="45" t="s">
        <v>9443</v>
      </c>
      <c r="C1783" s="7" t="s">
        <v>9444</v>
      </c>
      <c r="D1783" s="7" t="s">
        <v>9445</v>
      </c>
      <c r="E1783" s="7" t="s">
        <v>9446</v>
      </c>
      <c r="F1783" s="7" t="s">
        <v>9447</v>
      </c>
      <c r="G1783" s="7" t="s">
        <v>9448</v>
      </c>
      <c r="H1783" s="46" t="s">
        <v>249</v>
      </c>
      <c r="I1783" s="7" t="s">
        <v>160</v>
      </c>
      <c r="J1783" s="7" t="s">
        <v>148</v>
      </c>
      <c r="K1783" s="7"/>
      <c r="L1783" s="7"/>
      <c r="M1783" s="7"/>
    </row>
    <row r="1784" ht="15.75" customHeight="1">
      <c r="A1784" s="7" t="s">
        <v>9449</v>
      </c>
      <c r="B1784" s="45" t="s">
        <v>9450</v>
      </c>
      <c r="C1784" s="7" t="s">
        <v>9451</v>
      </c>
      <c r="D1784" s="7" t="s">
        <v>9452</v>
      </c>
      <c r="E1784" s="7" t="s">
        <v>9453</v>
      </c>
      <c r="F1784" s="7" t="s">
        <v>9454</v>
      </c>
      <c r="G1784" s="7"/>
      <c r="H1784" s="46" t="s">
        <v>249</v>
      </c>
      <c r="I1784" s="7" t="s">
        <v>160</v>
      </c>
      <c r="J1784" s="7" t="s">
        <v>148</v>
      </c>
      <c r="K1784" s="7"/>
      <c r="L1784" s="7"/>
      <c r="M1784" s="7"/>
    </row>
    <row r="1785" ht="15.75" customHeight="1">
      <c r="A1785" s="7" t="s">
        <v>9455</v>
      </c>
      <c r="B1785" s="45" t="s">
        <v>9456</v>
      </c>
      <c r="C1785" s="7" t="s">
        <v>9457</v>
      </c>
      <c r="D1785" s="7" t="s">
        <v>9458</v>
      </c>
      <c r="E1785" s="7" t="s">
        <v>9459</v>
      </c>
      <c r="F1785" s="7" t="s">
        <v>9460</v>
      </c>
      <c r="G1785" s="7"/>
      <c r="H1785" s="46" t="s">
        <v>249</v>
      </c>
      <c r="I1785" s="7" t="s">
        <v>160</v>
      </c>
      <c r="J1785" s="7" t="s">
        <v>148</v>
      </c>
      <c r="K1785" s="7"/>
      <c r="L1785" s="7"/>
      <c r="M1785" s="7"/>
    </row>
    <row r="1786" ht="15.75" customHeight="1">
      <c r="A1786" s="7" t="s">
        <v>9461</v>
      </c>
      <c r="B1786" s="45" t="s">
        <v>9462</v>
      </c>
      <c r="C1786" s="7" t="s">
        <v>9463</v>
      </c>
      <c r="D1786" s="7" t="s">
        <v>9464</v>
      </c>
      <c r="E1786" s="7" t="s">
        <v>9465</v>
      </c>
      <c r="F1786" s="7" t="s">
        <v>9466</v>
      </c>
      <c r="G1786" s="7"/>
      <c r="H1786" s="46" t="s">
        <v>249</v>
      </c>
      <c r="I1786" s="7" t="s">
        <v>160</v>
      </c>
      <c r="J1786" s="7" t="s">
        <v>148</v>
      </c>
      <c r="K1786" s="7"/>
      <c r="L1786" s="7"/>
      <c r="M1786" s="7"/>
    </row>
    <row r="1787" ht="15.75" customHeight="1">
      <c r="A1787" s="7" t="s">
        <v>9467</v>
      </c>
      <c r="B1787" s="45" t="s">
        <v>9468</v>
      </c>
      <c r="C1787" s="7" t="s">
        <v>9469</v>
      </c>
      <c r="D1787" s="7" t="s">
        <v>9470</v>
      </c>
      <c r="E1787" s="7" t="s">
        <v>9471</v>
      </c>
      <c r="F1787" s="7" t="s">
        <v>9472</v>
      </c>
      <c r="G1787" s="7"/>
      <c r="H1787" s="46" t="s">
        <v>249</v>
      </c>
      <c r="I1787" s="7" t="s">
        <v>160</v>
      </c>
      <c r="J1787" s="7" t="s">
        <v>148</v>
      </c>
      <c r="K1787" s="7"/>
      <c r="L1787" s="7"/>
      <c r="M1787" s="7"/>
    </row>
    <row r="1788" ht="15.75" customHeight="1">
      <c r="A1788" s="7" t="s">
        <v>9473</v>
      </c>
      <c r="B1788" s="45" t="s">
        <v>9474</v>
      </c>
      <c r="C1788" s="7" t="s">
        <v>9475</v>
      </c>
      <c r="D1788" s="7" t="s">
        <v>9476</v>
      </c>
      <c r="E1788" s="7" t="s">
        <v>9477</v>
      </c>
      <c r="F1788" s="7" t="s">
        <v>9478</v>
      </c>
      <c r="G1788" s="7"/>
      <c r="H1788" s="46" t="s">
        <v>249</v>
      </c>
      <c r="I1788" s="7" t="s">
        <v>160</v>
      </c>
      <c r="J1788" s="7" t="s">
        <v>148</v>
      </c>
      <c r="K1788" s="7"/>
      <c r="L1788" s="7"/>
      <c r="M1788" s="7"/>
    </row>
    <row r="1789" ht="15.75" customHeight="1">
      <c r="A1789" s="7" t="s">
        <v>9479</v>
      </c>
      <c r="B1789" s="45" t="s">
        <v>9480</v>
      </c>
      <c r="C1789" s="7" t="s">
        <v>9481</v>
      </c>
      <c r="D1789" s="7" t="s">
        <v>9482</v>
      </c>
      <c r="E1789" s="7" t="s">
        <v>9483</v>
      </c>
      <c r="F1789" s="7" t="s">
        <v>9484</v>
      </c>
      <c r="G1789" s="7" t="s">
        <v>9485</v>
      </c>
      <c r="H1789" s="46" t="s">
        <v>249</v>
      </c>
      <c r="I1789" s="7" t="s">
        <v>160</v>
      </c>
      <c r="J1789" s="7" t="s">
        <v>148</v>
      </c>
      <c r="K1789" s="7"/>
      <c r="L1789" s="7"/>
      <c r="M1789" s="7"/>
    </row>
    <row r="1790" ht="15.75" customHeight="1">
      <c r="A1790" s="7" t="s">
        <v>9486</v>
      </c>
      <c r="B1790" s="45" t="s">
        <v>9487</v>
      </c>
      <c r="C1790" s="7" t="s">
        <v>9488</v>
      </c>
      <c r="D1790" s="7" t="s">
        <v>9489</v>
      </c>
      <c r="E1790" s="7" t="s">
        <v>9490</v>
      </c>
      <c r="F1790" s="7" t="s">
        <v>9491</v>
      </c>
      <c r="G1790" s="7"/>
      <c r="H1790" s="46" t="s">
        <v>249</v>
      </c>
      <c r="I1790" s="7" t="s">
        <v>160</v>
      </c>
      <c r="J1790" s="7" t="s">
        <v>148</v>
      </c>
      <c r="K1790" s="7"/>
      <c r="L1790" s="7"/>
      <c r="M1790" s="7"/>
    </row>
    <row r="1791" ht="15.75" customHeight="1">
      <c r="A1791" s="7" t="s">
        <v>9492</v>
      </c>
      <c r="B1791" s="45" t="s">
        <v>9493</v>
      </c>
      <c r="C1791" s="7" t="s">
        <v>9494</v>
      </c>
      <c r="D1791" s="7" t="s">
        <v>9495</v>
      </c>
      <c r="E1791" s="7" t="s">
        <v>3701</v>
      </c>
      <c r="F1791" s="7" t="s">
        <v>3702</v>
      </c>
      <c r="G1791" s="7"/>
      <c r="H1791" s="46" t="s">
        <v>249</v>
      </c>
      <c r="I1791" s="7" t="s">
        <v>160</v>
      </c>
      <c r="J1791" s="7" t="s">
        <v>148</v>
      </c>
      <c r="K1791" s="7"/>
      <c r="L1791" s="7"/>
      <c r="M1791" s="7"/>
    </row>
    <row r="1792" ht="15.75" customHeight="1">
      <c r="A1792" s="7" t="s">
        <v>9496</v>
      </c>
      <c r="B1792" s="45" t="s">
        <v>9497</v>
      </c>
      <c r="C1792" s="7" t="s">
        <v>9498</v>
      </c>
      <c r="D1792" s="7" t="s">
        <v>9499</v>
      </c>
      <c r="E1792" s="7" t="s">
        <v>9500</v>
      </c>
      <c r="F1792" s="7" t="s">
        <v>9501</v>
      </c>
      <c r="G1792" s="7"/>
      <c r="H1792" s="46" t="s">
        <v>249</v>
      </c>
      <c r="I1792" s="7" t="s">
        <v>160</v>
      </c>
      <c r="J1792" s="7" t="s">
        <v>148</v>
      </c>
      <c r="K1792" s="7"/>
      <c r="L1792" s="7"/>
      <c r="M1792" s="7"/>
    </row>
    <row r="1793" ht="15.75" customHeight="1">
      <c r="A1793" s="7" t="s">
        <v>9502</v>
      </c>
      <c r="B1793" s="45" t="s">
        <v>9503</v>
      </c>
      <c r="C1793" s="7" t="s">
        <v>9504</v>
      </c>
      <c r="D1793" s="7" t="s">
        <v>9505</v>
      </c>
      <c r="E1793" s="7" t="s">
        <v>9506</v>
      </c>
      <c r="F1793" s="7" t="s">
        <v>9507</v>
      </c>
      <c r="G1793" s="7"/>
      <c r="H1793" s="46" t="s">
        <v>249</v>
      </c>
      <c r="I1793" s="7" t="s">
        <v>160</v>
      </c>
      <c r="J1793" s="7" t="s">
        <v>148</v>
      </c>
      <c r="K1793" s="7"/>
      <c r="L1793" s="7"/>
      <c r="M1793" s="7"/>
    </row>
    <row r="1794" ht="15.75" customHeight="1">
      <c r="A1794" s="7" t="s">
        <v>9508</v>
      </c>
      <c r="B1794" s="45" t="s">
        <v>9509</v>
      </c>
      <c r="C1794" s="7" t="s">
        <v>9504</v>
      </c>
      <c r="D1794" s="7" t="s">
        <v>9510</v>
      </c>
      <c r="E1794" s="7" t="s">
        <v>9506</v>
      </c>
      <c r="F1794" s="7" t="s">
        <v>9507</v>
      </c>
      <c r="G1794" s="7"/>
      <c r="H1794" s="46" t="s">
        <v>249</v>
      </c>
      <c r="I1794" s="7" t="s">
        <v>160</v>
      </c>
      <c r="J1794" s="7" t="s">
        <v>148</v>
      </c>
      <c r="K1794" s="7"/>
      <c r="L1794" s="7"/>
      <c r="M1794" s="7"/>
    </row>
    <row r="1795" ht="15.75" customHeight="1">
      <c r="A1795" s="7" t="s">
        <v>9511</v>
      </c>
      <c r="B1795" s="45" t="s">
        <v>9512</v>
      </c>
      <c r="C1795" s="7" t="s">
        <v>9513</v>
      </c>
      <c r="D1795" s="7" t="s">
        <v>9514</v>
      </c>
      <c r="E1795" s="7" t="s">
        <v>9515</v>
      </c>
      <c r="F1795" s="7" t="s">
        <v>9516</v>
      </c>
      <c r="G1795" s="7"/>
      <c r="H1795" s="46" t="s">
        <v>249</v>
      </c>
      <c r="I1795" s="7" t="s">
        <v>160</v>
      </c>
      <c r="J1795" s="7" t="s">
        <v>148</v>
      </c>
      <c r="K1795" s="7"/>
      <c r="L1795" s="7"/>
      <c r="M1795" s="7"/>
    </row>
    <row r="1796" ht="15.75" customHeight="1">
      <c r="A1796" s="7" t="s">
        <v>9517</v>
      </c>
      <c r="B1796" s="45" t="s">
        <v>9518</v>
      </c>
      <c r="C1796" s="7" t="s">
        <v>9519</v>
      </c>
      <c r="D1796" s="7" t="s">
        <v>9520</v>
      </c>
      <c r="E1796" s="7" t="s">
        <v>9521</v>
      </c>
      <c r="F1796" s="7" t="s">
        <v>9522</v>
      </c>
      <c r="G1796" s="7"/>
      <c r="H1796" s="46" t="s">
        <v>249</v>
      </c>
      <c r="I1796" s="7" t="s">
        <v>160</v>
      </c>
      <c r="J1796" s="7" t="s">
        <v>148</v>
      </c>
      <c r="K1796" s="7"/>
      <c r="L1796" s="7"/>
      <c r="M1796" s="7"/>
    </row>
    <row r="1797" ht="15.75" customHeight="1">
      <c r="A1797" s="7" t="s">
        <v>9523</v>
      </c>
      <c r="B1797" s="45" t="s">
        <v>9524</v>
      </c>
      <c r="C1797" s="7" t="s">
        <v>9525</v>
      </c>
      <c r="D1797" s="7" t="s">
        <v>9526</v>
      </c>
      <c r="E1797" s="7" t="s">
        <v>9527</v>
      </c>
      <c r="F1797" s="7" t="s">
        <v>9528</v>
      </c>
      <c r="G1797" s="7"/>
      <c r="H1797" s="46" t="s">
        <v>249</v>
      </c>
      <c r="I1797" s="7" t="s">
        <v>160</v>
      </c>
      <c r="J1797" s="7" t="s">
        <v>148</v>
      </c>
      <c r="K1797" s="7"/>
      <c r="L1797" s="7"/>
      <c r="M1797" s="7"/>
    </row>
    <row r="1798" ht="15.75" customHeight="1">
      <c r="A1798" s="7" t="s">
        <v>9529</v>
      </c>
      <c r="B1798" s="45" t="s">
        <v>9530</v>
      </c>
      <c r="C1798" s="7" t="s">
        <v>9531</v>
      </c>
      <c r="D1798" s="7" t="s">
        <v>9532</v>
      </c>
      <c r="E1798" s="7" t="s">
        <v>9533</v>
      </c>
      <c r="F1798" s="7" t="s">
        <v>9534</v>
      </c>
      <c r="G1798" s="7"/>
      <c r="H1798" s="46" t="s">
        <v>249</v>
      </c>
      <c r="I1798" s="7" t="s">
        <v>160</v>
      </c>
      <c r="J1798" s="7" t="s">
        <v>148</v>
      </c>
      <c r="K1798" s="7"/>
      <c r="L1798" s="7"/>
      <c r="M1798" s="7"/>
    </row>
    <row r="1799" ht="15.75" customHeight="1">
      <c r="A1799" s="7" t="s">
        <v>9535</v>
      </c>
      <c r="B1799" s="45" t="s">
        <v>9536</v>
      </c>
      <c r="C1799" s="7" t="s">
        <v>9537</v>
      </c>
      <c r="D1799" s="7" t="s">
        <v>9538</v>
      </c>
      <c r="E1799" s="7" t="s">
        <v>9539</v>
      </c>
      <c r="F1799" s="7" t="s">
        <v>9540</v>
      </c>
      <c r="G1799" s="7"/>
      <c r="H1799" s="46" t="s">
        <v>249</v>
      </c>
      <c r="I1799" s="7" t="s">
        <v>160</v>
      </c>
      <c r="J1799" s="7" t="s">
        <v>148</v>
      </c>
      <c r="K1799" s="7"/>
      <c r="L1799" s="7"/>
      <c r="M1799" s="7"/>
    </row>
    <row r="1800" ht="15.75" customHeight="1">
      <c r="A1800" s="7" t="s">
        <v>9541</v>
      </c>
      <c r="B1800" s="45" t="s">
        <v>9542</v>
      </c>
      <c r="C1800" s="7" t="s">
        <v>9543</v>
      </c>
      <c r="D1800" s="7" t="s">
        <v>9544</v>
      </c>
      <c r="E1800" s="7" t="s">
        <v>9545</v>
      </c>
      <c r="F1800" s="7" t="s">
        <v>9546</v>
      </c>
      <c r="G1800" s="7"/>
      <c r="H1800" s="46" t="s">
        <v>249</v>
      </c>
      <c r="I1800" s="7" t="s">
        <v>160</v>
      </c>
      <c r="J1800" s="7" t="s">
        <v>148</v>
      </c>
      <c r="K1800" s="7"/>
      <c r="L1800" s="7"/>
      <c r="M1800" s="7"/>
    </row>
    <row r="1801" ht="15.75" customHeight="1">
      <c r="A1801" s="7" t="s">
        <v>9547</v>
      </c>
      <c r="B1801" s="45" t="s">
        <v>9548</v>
      </c>
      <c r="C1801" s="7" t="s">
        <v>9543</v>
      </c>
      <c r="D1801" s="7" t="s">
        <v>9549</v>
      </c>
      <c r="E1801" s="7" t="s">
        <v>9545</v>
      </c>
      <c r="F1801" s="7" t="s">
        <v>9546</v>
      </c>
      <c r="G1801" s="7"/>
      <c r="H1801" s="46" t="s">
        <v>249</v>
      </c>
      <c r="I1801" s="7" t="s">
        <v>160</v>
      </c>
      <c r="J1801" s="7" t="s">
        <v>148</v>
      </c>
      <c r="K1801" s="7"/>
      <c r="L1801" s="7"/>
      <c r="M1801" s="7"/>
    </row>
    <row r="1802" ht="15.75" customHeight="1">
      <c r="A1802" s="7" t="s">
        <v>9550</v>
      </c>
      <c r="B1802" s="45" t="s">
        <v>9551</v>
      </c>
      <c r="C1802" s="7" t="s">
        <v>9552</v>
      </c>
      <c r="D1802" s="7" t="s">
        <v>9553</v>
      </c>
      <c r="E1802" s="7" t="s">
        <v>9545</v>
      </c>
      <c r="F1802" s="7" t="s">
        <v>9554</v>
      </c>
      <c r="G1802" s="7"/>
      <c r="H1802" s="46" t="s">
        <v>249</v>
      </c>
      <c r="I1802" s="7" t="s">
        <v>160</v>
      </c>
      <c r="J1802" s="7" t="s">
        <v>148</v>
      </c>
      <c r="K1802" s="7"/>
      <c r="L1802" s="7"/>
      <c r="M1802" s="7"/>
    </row>
    <row r="1803" ht="15.75" customHeight="1">
      <c r="A1803" s="7" t="s">
        <v>9555</v>
      </c>
      <c r="B1803" s="45" t="s">
        <v>9556</v>
      </c>
      <c r="C1803" s="7" t="s">
        <v>9557</v>
      </c>
      <c r="D1803" s="7" t="s">
        <v>9558</v>
      </c>
      <c r="E1803" s="7" t="s">
        <v>9559</v>
      </c>
      <c r="F1803" s="7" t="s">
        <v>9560</v>
      </c>
      <c r="G1803" s="7"/>
      <c r="H1803" s="46" t="s">
        <v>249</v>
      </c>
      <c r="I1803" s="7" t="s">
        <v>160</v>
      </c>
      <c r="J1803" s="7" t="s">
        <v>148</v>
      </c>
      <c r="K1803" s="7"/>
      <c r="L1803" s="7"/>
      <c r="M1803" s="7"/>
    </row>
    <row r="1804" ht="15.75" customHeight="1">
      <c r="A1804" s="7" t="s">
        <v>9561</v>
      </c>
      <c r="B1804" s="45" t="s">
        <v>9562</v>
      </c>
      <c r="C1804" s="7" t="s">
        <v>9563</v>
      </c>
      <c r="D1804" s="7" t="s">
        <v>9564</v>
      </c>
      <c r="E1804" s="7" t="s">
        <v>9565</v>
      </c>
      <c r="F1804" s="7" t="s">
        <v>9566</v>
      </c>
      <c r="G1804" s="7"/>
      <c r="H1804" s="46" t="s">
        <v>249</v>
      </c>
      <c r="I1804" s="7" t="s">
        <v>160</v>
      </c>
      <c r="J1804" s="7" t="s">
        <v>148</v>
      </c>
      <c r="K1804" s="7"/>
      <c r="L1804" s="7"/>
      <c r="M1804" s="7"/>
    </row>
    <row r="1805" ht="15.75" customHeight="1">
      <c r="A1805" s="7" t="s">
        <v>9567</v>
      </c>
      <c r="B1805" s="45" t="s">
        <v>9568</v>
      </c>
      <c r="C1805" s="7" t="s">
        <v>9569</v>
      </c>
      <c r="D1805" s="7" t="s">
        <v>9570</v>
      </c>
      <c r="E1805" s="7" t="s">
        <v>9571</v>
      </c>
      <c r="F1805" s="7" t="s">
        <v>9572</v>
      </c>
      <c r="G1805" s="7"/>
      <c r="H1805" s="46" t="s">
        <v>249</v>
      </c>
      <c r="I1805" s="7" t="s">
        <v>160</v>
      </c>
      <c r="J1805" s="7" t="s">
        <v>148</v>
      </c>
      <c r="K1805" s="7"/>
      <c r="L1805" s="7"/>
      <c r="M1805" s="7"/>
    </row>
    <row r="1806" ht="15.75" customHeight="1">
      <c r="A1806" s="7" t="s">
        <v>9573</v>
      </c>
      <c r="B1806" s="45" t="s">
        <v>9574</v>
      </c>
      <c r="C1806" s="7" t="s">
        <v>9575</v>
      </c>
      <c r="D1806" s="7" t="s">
        <v>9576</v>
      </c>
      <c r="E1806" s="7" t="s">
        <v>9577</v>
      </c>
      <c r="F1806" s="7" t="s">
        <v>9578</v>
      </c>
      <c r="G1806" s="7"/>
      <c r="H1806" s="46" t="s">
        <v>249</v>
      </c>
      <c r="I1806" s="7" t="s">
        <v>160</v>
      </c>
      <c r="J1806" s="7" t="s">
        <v>148</v>
      </c>
      <c r="K1806" s="7"/>
      <c r="L1806" s="7"/>
      <c r="M1806" s="7"/>
    </row>
    <row r="1807" ht="15.75" customHeight="1">
      <c r="A1807" s="7" t="s">
        <v>9579</v>
      </c>
      <c r="B1807" s="45" t="s">
        <v>9580</v>
      </c>
      <c r="C1807" s="7" t="s">
        <v>9581</v>
      </c>
      <c r="D1807" s="7" t="s">
        <v>9582</v>
      </c>
      <c r="E1807" s="7" t="s">
        <v>9583</v>
      </c>
      <c r="F1807" s="7" t="s">
        <v>9584</v>
      </c>
      <c r="G1807" s="7"/>
      <c r="H1807" s="46" t="s">
        <v>249</v>
      </c>
      <c r="I1807" s="7" t="s">
        <v>160</v>
      </c>
      <c r="J1807" s="7" t="s">
        <v>148</v>
      </c>
      <c r="K1807" s="7"/>
      <c r="L1807" s="7"/>
      <c r="M1807" s="7"/>
    </row>
    <row r="1808" ht="15.75" customHeight="1">
      <c r="A1808" s="7" t="s">
        <v>9585</v>
      </c>
      <c r="B1808" s="45" t="s">
        <v>9586</v>
      </c>
      <c r="C1808" s="7" t="s">
        <v>9587</v>
      </c>
      <c r="D1808" s="7" t="s">
        <v>9588</v>
      </c>
      <c r="E1808" s="7" t="s">
        <v>9589</v>
      </c>
      <c r="F1808" s="7" t="s">
        <v>9590</v>
      </c>
      <c r="G1808" s="7"/>
      <c r="H1808" s="46" t="s">
        <v>249</v>
      </c>
      <c r="I1808" s="7" t="s">
        <v>160</v>
      </c>
      <c r="J1808" s="7" t="s">
        <v>148</v>
      </c>
      <c r="K1808" s="7"/>
      <c r="L1808" s="7"/>
      <c r="M1808" s="7"/>
    </row>
    <row r="1809" ht="15.75" customHeight="1">
      <c r="A1809" s="7" t="s">
        <v>9591</v>
      </c>
      <c r="B1809" s="45" t="s">
        <v>9592</v>
      </c>
      <c r="C1809" s="7" t="s">
        <v>9593</v>
      </c>
      <c r="D1809" s="7" t="s">
        <v>9594</v>
      </c>
      <c r="E1809" s="7" t="s">
        <v>9595</v>
      </c>
      <c r="F1809" s="7" t="s">
        <v>9596</v>
      </c>
      <c r="G1809" s="7"/>
      <c r="H1809" s="46" t="s">
        <v>249</v>
      </c>
      <c r="I1809" s="7" t="s">
        <v>160</v>
      </c>
      <c r="J1809" s="7" t="s">
        <v>148</v>
      </c>
      <c r="K1809" s="7"/>
      <c r="L1809" s="7"/>
      <c r="M1809" s="7"/>
    </row>
    <row r="1810" ht="15.75" customHeight="1">
      <c r="A1810" s="7" t="s">
        <v>9597</v>
      </c>
      <c r="B1810" s="45" t="s">
        <v>9598</v>
      </c>
      <c r="C1810" s="7" t="s">
        <v>9599</v>
      </c>
      <c r="D1810" s="7" t="s">
        <v>9600</v>
      </c>
      <c r="E1810" s="7" t="s">
        <v>9601</v>
      </c>
      <c r="F1810" s="7" t="s">
        <v>9602</v>
      </c>
      <c r="G1810" s="7"/>
      <c r="H1810" s="46" t="s">
        <v>249</v>
      </c>
      <c r="I1810" s="7" t="s">
        <v>160</v>
      </c>
      <c r="J1810" s="7" t="s">
        <v>148</v>
      </c>
      <c r="K1810" s="7"/>
      <c r="L1810" s="7"/>
      <c r="M1810" s="7"/>
    </row>
    <row r="1811" ht="15.75" customHeight="1">
      <c r="A1811" s="7" t="s">
        <v>9603</v>
      </c>
      <c r="B1811" s="45" t="s">
        <v>9604</v>
      </c>
      <c r="C1811" s="7" t="s">
        <v>9605</v>
      </c>
      <c r="D1811" s="7" t="s">
        <v>9606</v>
      </c>
      <c r="E1811" s="7" t="s">
        <v>9607</v>
      </c>
      <c r="F1811" s="7" t="s">
        <v>9608</v>
      </c>
      <c r="G1811" s="7"/>
      <c r="H1811" s="46" t="s">
        <v>249</v>
      </c>
      <c r="I1811" s="7" t="s">
        <v>160</v>
      </c>
      <c r="J1811" s="7" t="s">
        <v>148</v>
      </c>
      <c r="K1811" s="7"/>
      <c r="L1811" s="7"/>
      <c r="M1811" s="7"/>
    </row>
    <row r="1812" ht="15.75" customHeight="1">
      <c r="A1812" s="7" t="s">
        <v>9609</v>
      </c>
      <c r="B1812" s="45" t="s">
        <v>9610</v>
      </c>
      <c r="C1812" s="7" t="s">
        <v>9611</v>
      </c>
      <c r="D1812" s="7" t="s">
        <v>9612</v>
      </c>
      <c r="E1812" s="7" t="s">
        <v>9613</v>
      </c>
      <c r="F1812" s="7" t="s">
        <v>9614</v>
      </c>
      <c r="G1812" s="7"/>
      <c r="H1812" s="46" t="s">
        <v>249</v>
      </c>
      <c r="I1812" s="7" t="s">
        <v>160</v>
      </c>
      <c r="J1812" s="7" t="s">
        <v>148</v>
      </c>
      <c r="K1812" s="7"/>
      <c r="L1812" s="7"/>
      <c r="M1812" s="7"/>
    </row>
    <row r="1813" ht="15.75" customHeight="1">
      <c r="A1813" s="7" t="s">
        <v>9615</v>
      </c>
      <c r="B1813" s="45" t="s">
        <v>9616</v>
      </c>
      <c r="C1813" s="7" t="s">
        <v>9617</v>
      </c>
      <c r="D1813" s="7" t="s">
        <v>9618</v>
      </c>
      <c r="E1813" s="7" t="s">
        <v>8339</v>
      </c>
      <c r="F1813" s="7" t="s">
        <v>8340</v>
      </c>
      <c r="G1813" s="7"/>
      <c r="H1813" s="46" t="s">
        <v>249</v>
      </c>
      <c r="I1813" s="7" t="s">
        <v>160</v>
      </c>
      <c r="J1813" s="7" t="s">
        <v>148</v>
      </c>
      <c r="K1813" s="7"/>
      <c r="L1813" s="7"/>
      <c r="M1813" s="7"/>
    </row>
    <row r="1814" ht="15.75" customHeight="1">
      <c r="A1814" s="7" t="s">
        <v>9619</v>
      </c>
      <c r="B1814" s="45" t="s">
        <v>9620</v>
      </c>
      <c r="C1814" s="7" t="s">
        <v>9617</v>
      </c>
      <c r="D1814" s="7" t="s">
        <v>9621</v>
      </c>
      <c r="E1814" s="7" t="s">
        <v>9622</v>
      </c>
      <c r="F1814" s="7" t="s">
        <v>8340</v>
      </c>
      <c r="G1814" s="7"/>
      <c r="H1814" s="46" t="s">
        <v>249</v>
      </c>
      <c r="I1814" s="7" t="s">
        <v>160</v>
      </c>
      <c r="J1814" s="7" t="s">
        <v>148</v>
      </c>
      <c r="K1814" s="7"/>
      <c r="L1814" s="7"/>
      <c r="M1814" s="7"/>
    </row>
    <row r="1815" ht="15.75" customHeight="1">
      <c r="A1815" s="7" t="s">
        <v>9623</v>
      </c>
      <c r="B1815" s="45" t="s">
        <v>9624</v>
      </c>
      <c r="C1815" s="7" t="s">
        <v>9625</v>
      </c>
      <c r="D1815" s="7" t="s">
        <v>9626</v>
      </c>
      <c r="E1815" s="7" t="s">
        <v>9627</v>
      </c>
      <c r="F1815" s="7" t="s">
        <v>9628</v>
      </c>
      <c r="G1815" s="7"/>
      <c r="H1815" s="46" t="s">
        <v>249</v>
      </c>
      <c r="I1815" s="7" t="s">
        <v>160</v>
      </c>
      <c r="J1815" s="7" t="s">
        <v>148</v>
      </c>
      <c r="K1815" s="7"/>
      <c r="L1815" s="7"/>
      <c r="M1815" s="7"/>
    </row>
    <row r="1816" ht="15.75" customHeight="1">
      <c r="A1816" s="7" t="s">
        <v>9629</v>
      </c>
      <c r="B1816" s="45" t="s">
        <v>9630</v>
      </c>
      <c r="C1816" s="7" t="s">
        <v>9631</v>
      </c>
      <c r="D1816" s="7" t="s">
        <v>9632</v>
      </c>
      <c r="E1816" s="7" t="s">
        <v>9633</v>
      </c>
      <c r="F1816" s="7" t="s">
        <v>4863</v>
      </c>
      <c r="G1816" s="7"/>
      <c r="H1816" s="46" t="s">
        <v>249</v>
      </c>
      <c r="I1816" s="7" t="s">
        <v>160</v>
      </c>
      <c r="J1816" s="7" t="s">
        <v>148</v>
      </c>
      <c r="K1816" s="7"/>
      <c r="L1816" s="7"/>
      <c r="M1816" s="7"/>
    </row>
    <row r="1817" ht="15.75" customHeight="1">
      <c r="A1817" s="7" t="s">
        <v>9634</v>
      </c>
      <c r="B1817" s="45" t="s">
        <v>9635</v>
      </c>
      <c r="C1817" s="7" t="s">
        <v>9636</v>
      </c>
      <c r="D1817" s="7" t="s">
        <v>9637</v>
      </c>
      <c r="E1817" s="7" t="s">
        <v>9638</v>
      </c>
      <c r="F1817" s="7" t="s">
        <v>9639</v>
      </c>
      <c r="G1817" s="7"/>
      <c r="H1817" s="46" t="s">
        <v>249</v>
      </c>
      <c r="I1817" s="7" t="s">
        <v>160</v>
      </c>
      <c r="J1817" s="7" t="s">
        <v>148</v>
      </c>
      <c r="K1817" s="7"/>
      <c r="L1817" s="7"/>
      <c r="M1817" s="7"/>
    </row>
    <row r="1818" ht="15.75" customHeight="1">
      <c r="A1818" s="7" t="s">
        <v>9640</v>
      </c>
      <c r="B1818" s="45" t="s">
        <v>9641</v>
      </c>
      <c r="C1818" s="7" t="s">
        <v>9642</v>
      </c>
      <c r="D1818" s="7" t="s">
        <v>9643</v>
      </c>
      <c r="E1818" s="7" t="s">
        <v>9644</v>
      </c>
      <c r="F1818" s="7" t="s">
        <v>9645</v>
      </c>
      <c r="G1818" s="7"/>
      <c r="H1818" s="46" t="s">
        <v>249</v>
      </c>
      <c r="I1818" s="7" t="s">
        <v>160</v>
      </c>
      <c r="J1818" s="7" t="s">
        <v>148</v>
      </c>
      <c r="K1818" s="7"/>
      <c r="L1818" s="7"/>
      <c r="M1818" s="7"/>
    </row>
    <row r="1819" ht="15.75" customHeight="1">
      <c r="A1819" s="7" t="s">
        <v>9646</v>
      </c>
      <c r="B1819" s="45" t="s">
        <v>9647</v>
      </c>
      <c r="C1819" s="7" t="s">
        <v>9648</v>
      </c>
      <c r="D1819" s="7" t="s">
        <v>9649</v>
      </c>
      <c r="E1819" s="7" t="s">
        <v>9650</v>
      </c>
      <c r="F1819" s="7" t="s">
        <v>9651</v>
      </c>
      <c r="G1819" s="7"/>
      <c r="H1819" s="46" t="s">
        <v>249</v>
      </c>
      <c r="I1819" s="7" t="s">
        <v>160</v>
      </c>
      <c r="J1819" s="7" t="s">
        <v>148</v>
      </c>
      <c r="K1819" s="7"/>
      <c r="L1819" s="7"/>
      <c r="M1819" s="7"/>
    </row>
    <row r="1820" ht="15.75" customHeight="1">
      <c r="A1820" s="7" t="s">
        <v>9652</v>
      </c>
      <c r="B1820" s="45" t="s">
        <v>9653</v>
      </c>
      <c r="C1820" s="7" t="s">
        <v>967</v>
      </c>
      <c r="D1820" s="7" t="s">
        <v>9654</v>
      </c>
      <c r="E1820" s="7" t="s">
        <v>9655</v>
      </c>
      <c r="F1820" s="7" t="s">
        <v>9656</v>
      </c>
      <c r="G1820" s="7"/>
      <c r="H1820" s="46" t="s">
        <v>249</v>
      </c>
      <c r="I1820" s="7" t="s">
        <v>160</v>
      </c>
      <c r="J1820" s="7" t="s">
        <v>148</v>
      </c>
      <c r="K1820" s="7"/>
      <c r="L1820" s="7"/>
      <c r="M1820" s="7"/>
    </row>
    <row r="1821" ht="15.75" customHeight="1">
      <c r="A1821" s="7" t="s">
        <v>9657</v>
      </c>
      <c r="B1821" s="45" t="s">
        <v>9658</v>
      </c>
      <c r="C1821" s="7" t="s">
        <v>9659</v>
      </c>
      <c r="D1821" s="7" t="s">
        <v>9660</v>
      </c>
      <c r="E1821" s="7" t="s">
        <v>9661</v>
      </c>
      <c r="F1821" s="7" t="s">
        <v>9662</v>
      </c>
      <c r="G1821" s="7"/>
      <c r="H1821" s="46" t="s">
        <v>249</v>
      </c>
      <c r="I1821" s="7" t="s">
        <v>160</v>
      </c>
      <c r="J1821" s="7" t="s">
        <v>148</v>
      </c>
      <c r="K1821" s="7"/>
      <c r="L1821" s="7"/>
      <c r="M1821" s="7"/>
    </row>
    <row r="1822" ht="15.75" customHeight="1">
      <c r="A1822" s="7" t="s">
        <v>9663</v>
      </c>
      <c r="B1822" s="45" t="s">
        <v>9664</v>
      </c>
      <c r="C1822" s="7" t="s">
        <v>9665</v>
      </c>
      <c r="D1822" s="7" t="s">
        <v>9660</v>
      </c>
      <c r="E1822" s="7" t="s">
        <v>9661</v>
      </c>
      <c r="F1822" s="7" t="s">
        <v>9662</v>
      </c>
      <c r="G1822" s="7"/>
      <c r="H1822" s="46" t="s">
        <v>249</v>
      </c>
      <c r="I1822" s="7" t="s">
        <v>160</v>
      </c>
      <c r="J1822" s="7" t="s">
        <v>148</v>
      </c>
      <c r="K1822" s="7"/>
      <c r="L1822" s="7"/>
      <c r="M1822" s="7"/>
    </row>
    <row r="1823" ht="15.75" customHeight="1">
      <c r="A1823" s="7" t="s">
        <v>9666</v>
      </c>
      <c r="B1823" s="45" t="s">
        <v>9667</v>
      </c>
      <c r="C1823" s="7" t="s">
        <v>9668</v>
      </c>
      <c r="D1823" s="7" t="s">
        <v>9669</v>
      </c>
      <c r="E1823" s="7" t="s">
        <v>9670</v>
      </c>
      <c r="F1823" s="7" t="s">
        <v>9671</v>
      </c>
      <c r="G1823" s="7" t="s">
        <v>9672</v>
      </c>
      <c r="H1823" s="46" t="s">
        <v>249</v>
      </c>
      <c r="I1823" s="7" t="s">
        <v>160</v>
      </c>
      <c r="J1823" s="7" t="s">
        <v>148</v>
      </c>
      <c r="K1823" s="7"/>
      <c r="L1823" s="7"/>
      <c r="M1823" s="7"/>
    </row>
    <row r="1824" ht="15.75" customHeight="1">
      <c r="A1824" s="7" t="s">
        <v>9673</v>
      </c>
      <c r="B1824" s="45" t="s">
        <v>9674</v>
      </c>
      <c r="C1824" s="7" t="s">
        <v>9675</v>
      </c>
      <c r="D1824" s="7" t="s">
        <v>9676</v>
      </c>
      <c r="E1824" s="7" t="s">
        <v>9677</v>
      </c>
      <c r="F1824" s="7" t="s">
        <v>9678</v>
      </c>
      <c r="G1824" s="7"/>
      <c r="H1824" s="46" t="s">
        <v>249</v>
      </c>
      <c r="I1824" s="7" t="s">
        <v>160</v>
      </c>
      <c r="J1824" s="7" t="s">
        <v>148</v>
      </c>
      <c r="K1824" s="7"/>
      <c r="L1824" s="7"/>
      <c r="M1824" s="7"/>
    </row>
    <row r="1825" ht="15.75" customHeight="1">
      <c r="A1825" s="7" t="s">
        <v>9679</v>
      </c>
      <c r="B1825" s="45" t="s">
        <v>9680</v>
      </c>
      <c r="C1825" s="7" t="s">
        <v>9681</v>
      </c>
      <c r="D1825" s="7" t="s">
        <v>9682</v>
      </c>
      <c r="E1825" s="7" t="s">
        <v>9683</v>
      </c>
      <c r="F1825" s="7" t="s">
        <v>9684</v>
      </c>
      <c r="G1825" s="7"/>
      <c r="H1825" s="46" t="s">
        <v>249</v>
      </c>
      <c r="I1825" s="7" t="s">
        <v>160</v>
      </c>
      <c r="J1825" s="7" t="s">
        <v>148</v>
      </c>
      <c r="K1825" s="7"/>
      <c r="L1825" s="7"/>
      <c r="M1825" s="7"/>
    </row>
    <row r="1826" ht="15.75" customHeight="1">
      <c r="A1826" s="7" t="s">
        <v>9685</v>
      </c>
      <c r="B1826" s="45" t="s">
        <v>9686</v>
      </c>
      <c r="C1826" s="7" t="s">
        <v>2585</v>
      </c>
      <c r="D1826" s="7" t="s">
        <v>9687</v>
      </c>
      <c r="E1826" s="7" t="s">
        <v>9688</v>
      </c>
      <c r="F1826" s="7" t="s">
        <v>3219</v>
      </c>
      <c r="G1826" s="7"/>
      <c r="H1826" s="46" t="s">
        <v>249</v>
      </c>
      <c r="I1826" s="7" t="s">
        <v>160</v>
      </c>
      <c r="J1826" s="7" t="s">
        <v>148</v>
      </c>
      <c r="K1826" s="7"/>
      <c r="L1826" s="7"/>
      <c r="M1826" s="7"/>
    </row>
    <row r="1827" ht="15.75" customHeight="1">
      <c r="A1827" s="7" t="s">
        <v>9689</v>
      </c>
      <c r="B1827" s="45" t="s">
        <v>9690</v>
      </c>
      <c r="C1827" s="7" t="s">
        <v>9691</v>
      </c>
      <c r="D1827" s="7" t="s">
        <v>9692</v>
      </c>
      <c r="E1827" s="7" t="s">
        <v>9693</v>
      </c>
      <c r="F1827" s="7" t="s">
        <v>9694</v>
      </c>
      <c r="G1827" s="7"/>
      <c r="H1827" s="46" t="s">
        <v>249</v>
      </c>
      <c r="I1827" s="7" t="s">
        <v>160</v>
      </c>
      <c r="J1827" s="7" t="s">
        <v>148</v>
      </c>
      <c r="K1827" s="7"/>
      <c r="L1827" s="7"/>
      <c r="M1827" s="7"/>
    </row>
    <row r="1828" ht="15.75" customHeight="1">
      <c r="A1828" s="7" t="s">
        <v>9695</v>
      </c>
      <c r="B1828" s="45" t="s">
        <v>9696</v>
      </c>
      <c r="C1828" s="7" t="s">
        <v>9697</v>
      </c>
      <c r="D1828" s="7" t="s">
        <v>9698</v>
      </c>
      <c r="E1828" s="7" t="s">
        <v>9699</v>
      </c>
      <c r="F1828" s="7" t="s">
        <v>9700</v>
      </c>
      <c r="G1828" s="7"/>
      <c r="H1828" s="46" t="s">
        <v>249</v>
      </c>
      <c r="I1828" s="7" t="s">
        <v>160</v>
      </c>
      <c r="J1828" s="7" t="s">
        <v>148</v>
      </c>
      <c r="K1828" s="7"/>
      <c r="L1828" s="7"/>
      <c r="M1828" s="7"/>
    </row>
    <row r="1829" ht="15.75" customHeight="1">
      <c r="A1829" s="7" t="s">
        <v>9701</v>
      </c>
      <c r="B1829" s="45" t="s">
        <v>9702</v>
      </c>
      <c r="C1829" s="7" t="s">
        <v>9703</v>
      </c>
      <c r="D1829" s="7" t="s">
        <v>9704</v>
      </c>
      <c r="E1829" s="7" t="s">
        <v>9705</v>
      </c>
      <c r="F1829" s="7" t="s">
        <v>4385</v>
      </c>
      <c r="G1829" s="7"/>
      <c r="H1829" s="46" t="s">
        <v>249</v>
      </c>
      <c r="I1829" s="7" t="s">
        <v>160</v>
      </c>
      <c r="J1829" s="7" t="s">
        <v>148</v>
      </c>
      <c r="K1829" s="7"/>
      <c r="L1829" s="7"/>
      <c r="M1829" s="7"/>
    </row>
    <row r="1830" ht="15.75" customHeight="1">
      <c r="A1830" s="7" t="s">
        <v>9706</v>
      </c>
      <c r="B1830" s="45" t="s">
        <v>9707</v>
      </c>
      <c r="C1830" s="7" t="s">
        <v>9708</v>
      </c>
      <c r="D1830" s="7" t="s">
        <v>9709</v>
      </c>
      <c r="E1830" s="7" t="s">
        <v>9710</v>
      </c>
      <c r="F1830" s="7" t="s">
        <v>9711</v>
      </c>
      <c r="G1830" s="7" t="s">
        <v>9712</v>
      </c>
      <c r="H1830" s="46" t="s">
        <v>249</v>
      </c>
      <c r="I1830" s="7" t="s">
        <v>160</v>
      </c>
      <c r="J1830" s="7" t="s">
        <v>148</v>
      </c>
      <c r="K1830" s="7"/>
      <c r="L1830" s="7"/>
      <c r="M1830" s="7"/>
    </row>
    <row r="1831" ht="15.75" customHeight="1">
      <c r="A1831" s="7" t="s">
        <v>9713</v>
      </c>
      <c r="B1831" s="45" t="s">
        <v>9714</v>
      </c>
      <c r="C1831" s="7" t="s">
        <v>9708</v>
      </c>
      <c r="D1831" s="7" t="s">
        <v>9709</v>
      </c>
      <c r="E1831" s="7" t="s">
        <v>9710</v>
      </c>
      <c r="F1831" s="7" t="s">
        <v>9715</v>
      </c>
      <c r="G1831" s="7"/>
      <c r="H1831" s="46" t="s">
        <v>249</v>
      </c>
      <c r="I1831" s="7" t="s">
        <v>160</v>
      </c>
      <c r="J1831" s="7" t="s">
        <v>148</v>
      </c>
      <c r="K1831" s="7"/>
      <c r="L1831" s="7"/>
      <c r="M1831" s="7"/>
    </row>
    <row r="1832" ht="15.75" customHeight="1">
      <c r="A1832" s="7" t="s">
        <v>9716</v>
      </c>
      <c r="B1832" s="45" t="s">
        <v>9717</v>
      </c>
      <c r="C1832" s="7" t="s">
        <v>9718</v>
      </c>
      <c r="D1832" s="7" t="s">
        <v>9719</v>
      </c>
      <c r="E1832" s="7" t="s">
        <v>9720</v>
      </c>
      <c r="F1832" s="7" t="s">
        <v>9721</v>
      </c>
      <c r="G1832" s="7"/>
      <c r="H1832" s="46" t="s">
        <v>249</v>
      </c>
      <c r="I1832" s="7" t="s">
        <v>160</v>
      </c>
      <c r="J1832" s="7" t="s">
        <v>148</v>
      </c>
      <c r="K1832" s="7"/>
      <c r="L1832" s="7"/>
      <c r="M1832" s="7"/>
    </row>
    <row r="1833" ht="15.75" customHeight="1">
      <c r="A1833" s="7" t="s">
        <v>9722</v>
      </c>
      <c r="B1833" s="45" t="s">
        <v>9723</v>
      </c>
      <c r="C1833" s="7" t="s">
        <v>9724</v>
      </c>
      <c r="D1833" s="7" t="s">
        <v>9725</v>
      </c>
      <c r="E1833" s="7" t="s">
        <v>9726</v>
      </c>
      <c r="F1833" s="7" t="s">
        <v>9727</v>
      </c>
      <c r="G1833" s="7"/>
      <c r="H1833" s="46" t="s">
        <v>249</v>
      </c>
      <c r="I1833" s="7" t="s">
        <v>160</v>
      </c>
      <c r="J1833" s="7" t="s">
        <v>148</v>
      </c>
      <c r="K1833" s="7"/>
      <c r="L1833" s="7"/>
      <c r="M1833" s="7"/>
    </row>
    <row r="1834" ht="15.75" customHeight="1">
      <c r="A1834" s="7" t="s">
        <v>9728</v>
      </c>
      <c r="B1834" s="45" t="s">
        <v>9729</v>
      </c>
      <c r="C1834" s="7" t="s">
        <v>9730</v>
      </c>
      <c r="D1834" s="7" t="s">
        <v>9731</v>
      </c>
      <c r="E1834" s="7" t="s">
        <v>9732</v>
      </c>
      <c r="F1834" s="7" t="s">
        <v>9733</v>
      </c>
      <c r="G1834" s="7"/>
      <c r="H1834" s="46" t="s">
        <v>249</v>
      </c>
      <c r="I1834" s="7" t="s">
        <v>160</v>
      </c>
      <c r="J1834" s="7" t="s">
        <v>148</v>
      </c>
      <c r="K1834" s="7"/>
      <c r="L1834" s="7"/>
      <c r="M1834" s="7"/>
    </row>
    <row r="1835" ht="15.75" customHeight="1">
      <c r="A1835" s="7" t="s">
        <v>9734</v>
      </c>
      <c r="B1835" s="45" t="s">
        <v>9735</v>
      </c>
      <c r="C1835" s="7" t="s">
        <v>9736</v>
      </c>
      <c r="D1835" s="7" t="s">
        <v>9737</v>
      </c>
      <c r="E1835" s="7" t="s">
        <v>9738</v>
      </c>
      <c r="F1835" s="7" t="s">
        <v>9739</v>
      </c>
      <c r="G1835" s="7"/>
      <c r="H1835" s="46" t="s">
        <v>249</v>
      </c>
      <c r="I1835" s="7" t="s">
        <v>160</v>
      </c>
      <c r="J1835" s="7" t="s">
        <v>148</v>
      </c>
      <c r="K1835" s="7"/>
      <c r="L1835" s="7"/>
      <c r="M1835" s="7"/>
    </row>
    <row r="1836" ht="15.75" customHeight="1">
      <c r="A1836" s="7" t="s">
        <v>9740</v>
      </c>
      <c r="B1836" s="45" t="s">
        <v>9741</v>
      </c>
      <c r="C1836" s="7" t="s">
        <v>9742</v>
      </c>
      <c r="D1836" s="7" t="s">
        <v>9743</v>
      </c>
      <c r="E1836" s="7" t="s">
        <v>9744</v>
      </c>
      <c r="F1836" s="7" t="s">
        <v>9745</v>
      </c>
      <c r="G1836" s="7"/>
      <c r="H1836" s="46" t="s">
        <v>249</v>
      </c>
      <c r="I1836" s="7" t="s">
        <v>160</v>
      </c>
      <c r="J1836" s="7" t="s">
        <v>148</v>
      </c>
      <c r="K1836" s="7"/>
      <c r="L1836" s="7"/>
      <c r="M1836" s="7"/>
    </row>
    <row r="1837" ht="15.75" customHeight="1">
      <c r="A1837" s="7" t="s">
        <v>9746</v>
      </c>
      <c r="B1837" s="45" t="s">
        <v>9747</v>
      </c>
      <c r="C1837" s="7" t="s">
        <v>9748</v>
      </c>
      <c r="D1837" s="7" t="s">
        <v>9749</v>
      </c>
      <c r="E1837" s="7" t="s">
        <v>9750</v>
      </c>
      <c r="F1837" s="7" t="s">
        <v>9751</v>
      </c>
      <c r="G1837" s="7"/>
      <c r="H1837" s="46" t="s">
        <v>249</v>
      </c>
      <c r="I1837" s="7" t="s">
        <v>160</v>
      </c>
      <c r="J1837" s="7" t="s">
        <v>148</v>
      </c>
      <c r="K1837" s="7"/>
      <c r="L1837" s="7"/>
      <c r="M1837" s="7"/>
    </row>
    <row r="1838" ht="15.75" customHeight="1">
      <c r="A1838" s="7" t="s">
        <v>9752</v>
      </c>
      <c r="B1838" s="45" t="s">
        <v>9753</v>
      </c>
      <c r="C1838" s="7" t="s">
        <v>9754</v>
      </c>
      <c r="D1838" s="7" t="s">
        <v>9755</v>
      </c>
      <c r="E1838" s="7" t="s">
        <v>9756</v>
      </c>
      <c r="F1838" s="7" t="s">
        <v>9757</v>
      </c>
      <c r="G1838" s="7"/>
      <c r="H1838" s="46" t="s">
        <v>249</v>
      </c>
      <c r="I1838" s="7" t="s">
        <v>160</v>
      </c>
      <c r="J1838" s="7" t="s">
        <v>148</v>
      </c>
      <c r="K1838" s="7"/>
      <c r="L1838" s="7"/>
      <c r="M1838" s="7"/>
    </row>
    <row r="1839" ht="15.75" customHeight="1">
      <c r="A1839" s="7" t="s">
        <v>9758</v>
      </c>
      <c r="B1839" s="45" t="s">
        <v>9759</v>
      </c>
      <c r="C1839" s="7" t="s">
        <v>9760</v>
      </c>
      <c r="D1839" s="7" t="s">
        <v>9755</v>
      </c>
      <c r="E1839" s="7" t="s">
        <v>9756</v>
      </c>
      <c r="F1839" s="7" t="s">
        <v>9757</v>
      </c>
      <c r="G1839" s="7"/>
      <c r="H1839" s="46" t="s">
        <v>249</v>
      </c>
      <c r="I1839" s="7" t="s">
        <v>160</v>
      </c>
      <c r="J1839" s="7" t="s">
        <v>148</v>
      </c>
      <c r="K1839" s="7"/>
      <c r="L1839" s="7"/>
      <c r="M1839" s="7"/>
    </row>
    <row r="1840" ht="15.75" customHeight="1">
      <c r="A1840" s="7" t="s">
        <v>9761</v>
      </c>
      <c r="B1840" s="45" t="s">
        <v>9762</v>
      </c>
      <c r="C1840" s="7" t="s">
        <v>9763</v>
      </c>
      <c r="D1840" s="7" t="s">
        <v>9764</v>
      </c>
      <c r="E1840" s="7" t="s">
        <v>9765</v>
      </c>
      <c r="F1840" s="7" t="s">
        <v>9766</v>
      </c>
      <c r="G1840" s="7"/>
      <c r="H1840" s="46" t="s">
        <v>249</v>
      </c>
      <c r="I1840" s="7" t="s">
        <v>160</v>
      </c>
      <c r="J1840" s="7" t="s">
        <v>148</v>
      </c>
      <c r="K1840" s="7"/>
      <c r="L1840" s="7"/>
      <c r="M1840" s="7"/>
    </row>
    <row r="1841" ht="15.75" customHeight="1">
      <c r="A1841" s="7" t="s">
        <v>9767</v>
      </c>
      <c r="B1841" s="45" t="s">
        <v>9768</v>
      </c>
      <c r="C1841" s="7" t="s">
        <v>9769</v>
      </c>
      <c r="D1841" s="7" t="s">
        <v>9770</v>
      </c>
      <c r="E1841" s="7" t="s">
        <v>9771</v>
      </c>
      <c r="F1841" s="7" t="s">
        <v>9772</v>
      </c>
      <c r="G1841" s="7"/>
      <c r="H1841" s="46" t="s">
        <v>249</v>
      </c>
      <c r="I1841" s="7" t="s">
        <v>160</v>
      </c>
      <c r="J1841" s="7" t="s">
        <v>148</v>
      </c>
      <c r="K1841" s="7"/>
      <c r="L1841" s="7"/>
      <c r="M1841" s="7"/>
    </row>
    <row r="1842" ht="15.75" customHeight="1">
      <c r="A1842" s="7" t="s">
        <v>9773</v>
      </c>
      <c r="B1842" s="45" t="s">
        <v>9774</v>
      </c>
      <c r="C1842" s="7" t="s">
        <v>9775</v>
      </c>
      <c r="D1842" s="7" t="s">
        <v>9776</v>
      </c>
      <c r="E1842" s="7" t="s">
        <v>9777</v>
      </c>
      <c r="F1842" s="7" t="s">
        <v>9778</v>
      </c>
      <c r="G1842" s="7"/>
      <c r="H1842" s="46" t="s">
        <v>249</v>
      </c>
      <c r="I1842" s="7" t="s">
        <v>160</v>
      </c>
      <c r="J1842" s="7" t="s">
        <v>148</v>
      </c>
      <c r="K1842" s="7"/>
      <c r="L1842" s="7"/>
      <c r="M1842" s="7"/>
    </row>
    <row r="1843" ht="15.75" customHeight="1">
      <c r="A1843" s="7" t="s">
        <v>9779</v>
      </c>
      <c r="B1843" s="45" t="s">
        <v>9780</v>
      </c>
      <c r="C1843" s="7" t="s">
        <v>9781</v>
      </c>
      <c r="D1843" s="7" t="s">
        <v>9782</v>
      </c>
      <c r="E1843" s="7" t="s">
        <v>9783</v>
      </c>
      <c r="F1843" s="7" t="s">
        <v>9784</v>
      </c>
      <c r="G1843" s="7"/>
      <c r="H1843" s="46" t="s">
        <v>249</v>
      </c>
      <c r="I1843" s="7" t="s">
        <v>160</v>
      </c>
      <c r="J1843" s="7" t="s">
        <v>148</v>
      </c>
      <c r="K1843" s="7"/>
      <c r="L1843" s="7"/>
      <c r="M1843" s="7"/>
    </row>
    <row r="1844" ht="15.75" customHeight="1">
      <c r="A1844" s="7" t="s">
        <v>9785</v>
      </c>
      <c r="B1844" s="45" t="s">
        <v>9786</v>
      </c>
      <c r="C1844" s="7" t="s">
        <v>9668</v>
      </c>
      <c r="D1844" s="7" t="s">
        <v>9787</v>
      </c>
      <c r="E1844" s="7" t="s">
        <v>9788</v>
      </c>
      <c r="F1844" s="7" t="s">
        <v>9789</v>
      </c>
      <c r="G1844" s="7"/>
      <c r="H1844" s="46" t="s">
        <v>249</v>
      </c>
      <c r="I1844" s="7" t="s">
        <v>160</v>
      </c>
      <c r="J1844" s="7" t="s">
        <v>148</v>
      </c>
      <c r="K1844" s="7"/>
      <c r="L1844" s="7"/>
      <c r="M1844" s="7"/>
    </row>
    <row r="1845" ht="15.75" customHeight="1">
      <c r="A1845" s="7" t="s">
        <v>9790</v>
      </c>
      <c r="B1845" s="45" t="s">
        <v>9791</v>
      </c>
      <c r="C1845" s="7" t="s">
        <v>9792</v>
      </c>
      <c r="D1845" s="7" t="s">
        <v>9793</v>
      </c>
      <c r="E1845" s="7" t="s">
        <v>9794</v>
      </c>
      <c r="F1845" s="7" t="s">
        <v>9789</v>
      </c>
      <c r="G1845" s="7"/>
      <c r="H1845" s="46" t="s">
        <v>249</v>
      </c>
      <c r="I1845" s="7" t="s">
        <v>160</v>
      </c>
      <c r="J1845" s="7" t="s">
        <v>148</v>
      </c>
      <c r="K1845" s="7"/>
      <c r="L1845" s="7"/>
      <c r="M1845" s="7"/>
    </row>
    <row r="1846" ht="15.75" customHeight="1">
      <c r="A1846" s="7" t="s">
        <v>9795</v>
      </c>
      <c r="B1846" s="45" t="s">
        <v>9796</v>
      </c>
      <c r="C1846" s="7" t="s">
        <v>9792</v>
      </c>
      <c r="D1846" s="7" t="s">
        <v>9797</v>
      </c>
      <c r="E1846" s="7" t="s">
        <v>9798</v>
      </c>
      <c r="F1846" s="7" t="s">
        <v>9789</v>
      </c>
      <c r="G1846" s="7"/>
      <c r="H1846" s="46" t="s">
        <v>249</v>
      </c>
      <c r="I1846" s="7" t="s">
        <v>160</v>
      </c>
      <c r="J1846" s="7" t="s">
        <v>148</v>
      </c>
      <c r="K1846" s="7"/>
      <c r="L1846" s="7"/>
      <c r="M1846" s="7"/>
    </row>
    <row r="1847" ht="15.75" customHeight="1">
      <c r="A1847" s="7" t="s">
        <v>9799</v>
      </c>
      <c r="B1847" s="45" t="s">
        <v>9800</v>
      </c>
      <c r="C1847" s="7" t="s">
        <v>9801</v>
      </c>
      <c r="D1847" s="7" t="s">
        <v>9802</v>
      </c>
      <c r="E1847" s="7" t="s">
        <v>9803</v>
      </c>
      <c r="F1847" s="7" t="s">
        <v>9804</v>
      </c>
      <c r="G1847" s="7"/>
      <c r="H1847" s="46" t="s">
        <v>249</v>
      </c>
      <c r="I1847" s="7" t="s">
        <v>160</v>
      </c>
      <c r="J1847" s="7" t="s">
        <v>148</v>
      </c>
      <c r="K1847" s="7"/>
      <c r="L1847" s="7"/>
      <c r="M1847" s="7"/>
    </row>
    <row r="1848" ht="15.75" customHeight="1">
      <c r="A1848" s="7" t="s">
        <v>9805</v>
      </c>
      <c r="B1848" s="45" t="s">
        <v>9806</v>
      </c>
      <c r="C1848" s="7" t="s">
        <v>9807</v>
      </c>
      <c r="D1848" s="7" t="s">
        <v>9808</v>
      </c>
      <c r="E1848" s="7" t="s">
        <v>9803</v>
      </c>
      <c r="F1848" s="7" t="s">
        <v>9804</v>
      </c>
      <c r="G1848" s="7"/>
      <c r="H1848" s="46" t="s">
        <v>249</v>
      </c>
      <c r="I1848" s="7" t="s">
        <v>160</v>
      </c>
      <c r="J1848" s="7" t="s">
        <v>148</v>
      </c>
      <c r="K1848" s="7"/>
      <c r="L1848" s="7"/>
      <c r="M1848" s="7"/>
    </row>
    <row r="1849" ht="15.75" customHeight="1">
      <c r="A1849" s="7" t="s">
        <v>9809</v>
      </c>
      <c r="B1849" s="45" t="s">
        <v>9810</v>
      </c>
      <c r="C1849" s="7" t="s">
        <v>9811</v>
      </c>
      <c r="D1849" s="7" t="s">
        <v>9812</v>
      </c>
      <c r="E1849" s="7" t="s">
        <v>9813</v>
      </c>
      <c r="F1849" s="7" t="s">
        <v>9814</v>
      </c>
      <c r="G1849" s="7"/>
      <c r="H1849" s="46" t="s">
        <v>249</v>
      </c>
      <c r="I1849" s="7" t="s">
        <v>160</v>
      </c>
      <c r="J1849" s="7" t="s">
        <v>148</v>
      </c>
      <c r="K1849" s="7"/>
      <c r="L1849" s="7"/>
      <c r="M1849" s="7"/>
    </row>
    <row r="1850" ht="15.75" customHeight="1">
      <c r="A1850" s="7" t="s">
        <v>9815</v>
      </c>
      <c r="B1850" s="45" t="s">
        <v>9816</v>
      </c>
      <c r="C1850" s="7" t="s">
        <v>9811</v>
      </c>
      <c r="D1850" s="7" t="s">
        <v>9817</v>
      </c>
      <c r="E1850" s="7" t="s">
        <v>9818</v>
      </c>
      <c r="F1850" s="7" t="s">
        <v>9819</v>
      </c>
      <c r="G1850" s="7"/>
      <c r="H1850" s="46" t="s">
        <v>249</v>
      </c>
      <c r="I1850" s="7" t="s">
        <v>160</v>
      </c>
      <c r="J1850" s="7" t="s">
        <v>148</v>
      </c>
      <c r="K1850" s="7"/>
      <c r="L1850" s="7"/>
      <c r="M1850" s="7"/>
    </row>
    <row r="1851" ht="15.75" customHeight="1">
      <c r="A1851" s="7" t="s">
        <v>9820</v>
      </c>
      <c r="B1851" s="45" t="s">
        <v>9821</v>
      </c>
      <c r="C1851" s="7" t="s">
        <v>9822</v>
      </c>
      <c r="D1851" s="7" t="s">
        <v>9823</v>
      </c>
      <c r="E1851" s="7" t="s">
        <v>9824</v>
      </c>
      <c r="F1851" s="7" t="s">
        <v>9825</v>
      </c>
      <c r="G1851" s="7"/>
      <c r="H1851" s="46" t="s">
        <v>249</v>
      </c>
      <c r="I1851" s="7" t="s">
        <v>160</v>
      </c>
      <c r="J1851" s="7" t="s">
        <v>148</v>
      </c>
      <c r="K1851" s="7"/>
      <c r="L1851" s="7"/>
      <c r="M1851" s="7"/>
    </row>
    <row r="1852" ht="15.75" customHeight="1">
      <c r="A1852" s="7" t="s">
        <v>9826</v>
      </c>
      <c r="B1852" s="45" t="s">
        <v>9827</v>
      </c>
      <c r="C1852" s="7" t="s">
        <v>9828</v>
      </c>
      <c r="D1852" s="7" t="s">
        <v>9829</v>
      </c>
      <c r="E1852" s="7" t="s">
        <v>9830</v>
      </c>
      <c r="F1852" s="7" t="s">
        <v>9831</v>
      </c>
      <c r="G1852" s="7"/>
      <c r="H1852" s="46" t="s">
        <v>249</v>
      </c>
      <c r="I1852" s="7" t="s">
        <v>160</v>
      </c>
      <c r="J1852" s="7" t="s">
        <v>148</v>
      </c>
      <c r="K1852" s="7"/>
      <c r="L1852" s="7"/>
      <c r="M1852" s="7"/>
    </row>
    <row r="1853" ht="15.75" customHeight="1">
      <c r="A1853" s="7" t="s">
        <v>9832</v>
      </c>
      <c r="B1853" s="45" t="s">
        <v>9833</v>
      </c>
      <c r="C1853" s="7" t="s">
        <v>9834</v>
      </c>
      <c r="D1853" s="7" t="s">
        <v>9835</v>
      </c>
      <c r="E1853" s="7" t="s">
        <v>9836</v>
      </c>
      <c r="F1853" s="7" t="s">
        <v>9837</v>
      </c>
      <c r="G1853" s="7"/>
      <c r="H1853" s="46" t="s">
        <v>249</v>
      </c>
      <c r="I1853" s="7" t="s">
        <v>160</v>
      </c>
      <c r="J1853" s="7" t="s">
        <v>148</v>
      </c>
      <c r="K1853" s="7"/>
      <c r="L1853" s="7"/>
      <c r="M1853" s="7"/>
    </row>
    <row r="1854" ht="15.75" customHeight="1">
      <c r="A1854" s="7" t="s">
        <v>9838</v>
      </c>
      <c r="B1854" s="45" t="s">
        <v>9839</v>
      </c>
      <c r="C1854" s="7" t="s">
        <v>9840</v>
      </c>
      <c r="D1854" s="7" t="s">
        <v>9841</v>
      </c>
      <c r="E1854" s="7" t="s">
        <v>9842</v>
      </c>
      <c r="F1854" s="7" t="s">
        <v>9843</v>
      </c>
      <c r="G1854" s="7"/>
      <c r="H1854" s="46" t="s">
        <v>249</v>
      </c>
      <c r="I1854" s="7" t="s">
        <v>160</v>
      </c>
      <c r="J1854" s="7" t="s">
        <v>148</v>
      </c>
      <c r="K1854" s="7"/>
      <c r="L1854" s="7"/>
      <c r="M1854" s="7"/>
    </row>
    <row r="1855" ht="15.75" customHeight="1">
      <c r="A1855" s="7" t="s">
        <v>9844</v>
      </c>
      <c r="B1855" s="45" t="s">
        <v>9845</v>
      </c>
      <c r="C1855" s="7" t="s">
        <v>9846</v>
      </c>
      <c r="D1855" s="7" t="s">
        <v>9847</v>
      </c>
      <c r="E1855" s="7" t="s">
        <v>9848</v>
      </c>
      <c r="F1855" s="7" t="s">
        <v>9849</v>
      </c>
      <c r="G1855" s="7"/>
      <c r="H1855" s="46" t="s">
        <v>249</v>
      </c>
      <c r="I1855" s="7" t="s">
        <v>160</v>
      </c>
      <c r="J1855" s="7" t="s">
        <v>148</v>
      </c>
      <c r="K1855" s="7"/>
      <c r="L1855" s="7"/>
      <c r="M1855" s="7"/>
    </row>
    <row r="1856" ht="15.75" customHeight="1">
      <c r="A1856" s="7" t="s">
        <v>9850</v>
      </c>
      <c r="B1856" s="45" t="s">
        <v>9851</v>
      </c>
      <c r="C1856" s="7" t="s">
        <v>9852</v>
      </c>
      <c r="D1856" s="7" t="s">
        <v>9853</v>
      </c>
      <c r="E1856" s="7" t="s">
        <v>9854</v>
      </c>
      <c r="F1856" s="7" t="s">
        <v>9855</v>
      </c>
      <c r="G1856" s="7"/>
      <c r="H1856" s="46" t="s">
        <v>249</v>
      </c>
      <c r="I1856" s="7" t="s">
        <v>160</v>
      </c>
      <c r="J1856" s="7" t="s">
        <v>148</v>
      </c>
      <c r="K1856" s="7"/>
      <c r="L1856" s="7"/>
      <c r="M1856" s="7"/>
    </row>
    <row r="1857" ht="15.75" customHeight="1">
      <c r="A1857" s="7" t="s">
        <v>9856</v>
      </c>
      <c r="B1857" s="45" t="s">
        <v>9857</v>
      </c>
      <c r="C1857" s="7" t="s">
        <v>5466</v>
      </c>
      <c r="D1857" s="7" t="s">
        <v>9858</v>
      </c>
      <c r="E1857" s="7" t="s">
        <v>9859</v>
      </c>
      <c r="F1857" s="7" t="s">
        <v>9860</v>
      </c>
      <c r="G1857" s="7"/>
      <c r="H1857" s="46" t="s">
        <v>249</v>
      </c>
      <c r="I1857" s="7" t="s">
        <v>160</v>
      </c>
      <c r="J1857" s="7" t="s">
        <v>148</v>
      </c>
      <c r="K1857" s="7"/>
      <c r="L1857" s="7"/>
      <c r="M1857" s="7"/>
    </row>
    <row r="1858" ht="15.75" customHeight="1">
      <c r="A1858" s="7" t="s">
        <v>9861</v>
      </c>
      <c r="B1858" s="45" t="s">
        <v>9862</v>
      </c>
      <c r="C1858" s="7" t="s">
        <v>9863</v>
      </c>
      <c r="D1858" s="7" t="s">
        <v>9864</v>
      </c>
      <c r="E1858" s="7" t="s">
        <v>5468</v>
      </c>
      <c r="F1858" s="7" t="s">
        <v>9860</v>
      </c>
      <c r="G1858" s="7"/>
      <c r="H1858" s="46" t="s">
        <v>249</v>
      </c>
      <c r="I1858" s="7" t="s">
        <v>160</v>
      </c>
      <c r="J1858" s="7" t="s">
        <v>148</v>
      </c>
      <c r="K1858" s="7"/>
      <c r="L1858" s="7"/>
      <c r="M1858" s="7"/>
    </row>
    <row r="1859" ht="15.75" customHeight="1">
      <c r="A1859" s="7" t="s">
        <v>9865</v>
      </c>
      <c r="B1859" s="45" t="s">
        <v>9866</v>
      </c>
      <c r="C1859" s="7" t="s">
        <v>9867</v>
      </c>
      <c r="D1859" s="7" t="s">
        <v>9868</v>
      </c>
      <c r="E1859" s="7" t="s">
        <v>9869</v>
      </c>
      <c r="F1859" s="7" t="s">
        <v>9870</v>
      </c>
      <c r="G1859" s="7"/>
      <c r="H1859" s="46" t="s">
        <v>249</v>
      </c>
      <c r="I1859" s="7" t="s">
        <v>160</v>
      </c>
      <c r="J1859" s="7" t="s">
        <v>148</v>
      </c>
      <c r="K1859" s="7"/>
      <c r="L1859" s="7"/>
      <c r="M1859" s="7"/>
    </row>
    <row r="1860" ht="15.75" customHeight="1">
      <c r="A1860" s="7" t="s">
        <v>9871</v>
      </c>
      <c r="B1860" s="45" t="s">
        <v>9872</v>
      </c>
      <c r="C1860" s="7" t="s">
        <v>9873</v>
      </c>
      <c r="D1860" s="7" t="s">
        <v>9874</v>
      </c>
      <c r="E1860" s="7" t="s">
        <v>9875</v>
      </c>
      <c r="F1860" s="7" t="s">
        <v>9876</v>
      </c>
      <c r="G1860" s="7"/>
      <c r="H1860" s="46" t="s">
        <v>249</v>
      </c>
      <c r="I1860" s="7" t="s">
        <v>160</v>
      </c>
      <c r="J1860" s="7" t="s">
        <v>148</v>
      </c>
      <c r="K1860" s="7"/>
      <c r="L1860" s="7"/>
      <c r="M1860" s="7"/>
    </row>
    <row r="1861" ht="15.75" customHeight="1">
      <c r="A1861" s="7" t="s">
        <v>9877</v>
      </c>
      <c r="B1861" s="45" t="s">
        <v>9878</v>
      </c>
      <c r="C1861" s="7" t="s">
        <v>9879</v>
      </c>
      <c r="D1861" s="7" t="s">
        <v>9880</v>
      </c>
      <c r="E1861" s="7" t="s">
        <v>9881</v>
      </c>
      <c r="F1861" s="7" t="s">
        <v>9882</v>
      </c>
      <c r="G1861" s="7"/>
      <c r="H1861" s="46" t="s">
        <v>249</v>
      </c>
      <c r="I1861" s="7" t="s">
        <v>160</v>
      </c>
      <c r="J1861" s="7" t="s">
        <v>148</v>
      </c>
      <c r="K1861" s="7"/>
      <c r="L1861" s="7"/>
      <c r="M1861" s="7"/>
    </row>
    <row r="1862" ht="15.75" customHeight="1">
      <c r="A1862" s="7" t="s">
        <v>9883</v>
      </c>
      <c r="B1862" s="45" t="s">
        <v>9884</v>
      </c>
      <c r="C1862" s="7" t="s">
        <v>5731</v>
      </c>
      <c r="D1862" s="7" t="s">
        <v>9885</v>
      </c>
      <c r="E1862" s="7" t="s">
        <v>9886</v>
      </c>
      <c r="F1862" s="7" t="s">
        <v>5734</v>
      </c>
      <c r="G1862" s="7"/>
      <c r="H1862" s="46" t="s">
        <v>249</v>
      </c>
      <c r="I1862" s="7" t="s">
        <v>160</v>
      </c>
      <c r="J1862" s="7" t="s">
        <v>148</v>
      </c>
      <c r="K1862" s="7"/>
      <c r="L1862" s="7"/>
      <c r="M1862" s="7"/>
    </row>
    <row r="1863" ht="15.75" customHeight="1">
      <c r="A1863" s="7" t="s">
        <v>9887</v>
      </c>
      <c r="B1863" s="45" t="s">
        <v>9888</v>
      </c>
      <c r="C1863" s="7" t="s">
        <v>9889</v>
      </c>
      <c r="D1863" s="7" t="s">
        <v>9890</v>
      </c>
      <c r="E1863" s="7" t="s">
        <v>9891</v>
      </c>
      <c r="F1863" s="7" t="s">
        <v>9892</v>
      </c>
      <c r="G1863" s="7"/>
      <c r="H1863" s="46" t="s">
        <v>249</v>
      </c>
      <c r="I1863" s="7" t="s">
        <v>160</v>
      </c>
      <c r="J1863" s="7" t="s">
        <v>148</v>
      </c>
      <c r="K1863" s="7"/>
      <c r="L1863" s="7"/>
      <c r="M1863" s="7"/>
    </row>
    <row r="1864" ht="15.75" customHeight="1">
      <c r="A1864" s="7" t="s">
        <v>9893</v>
      </c>
      <c r="B1864" s="45" t="s">
        <v>9894</v>
      </c>
      <c r="C1864" s="7" t="s">
        <v>9895</v>
      </c>
      <c r="D1864" s="7" t="s">
        <v>9896</v>
      </c>
      <c r="E1864" s="7" t="s">
        <v>9897</v>
      </c>
      <c r="F1864" s="7" t="s">
        <v>9892</v>
      </c>
      <c r="G1864" s="7"/>
      <c r="H1864" s="46" t="s">
        <v>249</v>
      </c>
      <c r="I1864" s="7" t="s">
        <v>160</v>
      </c>
      <c r="J1864" s="7" t="s">
        <v>148</v>
      </c>
      <c r="K1864" s="7"/>
      <c r="L1864" s="7"/>
      <c r="M1864" s="7"/>
    </row>
    <row r="1865" ht="15.75" customHeight="1">
      <c r="A1865" s="7" t="s">
        <v>9898</v>
      </c>
      <c r="B1865" s="45" t="s">
        <v>9899</v>
      </c>
      <c r="C1865" s="7" t="s">
        <v>9900</v>
      </c>
      <c r="D1865" s="7" t="s">
        <v>9901</v>
      </c>
      <c r="E1865" s="7" t="s">
        <v>9902</v>
      </c>
      <c r="F1865" s="7" t="s">
        <v>9903</v>
      </c>
      <c r="G1865" s="7"/>
      <c r="H1865" s="46" t="s">
        <v>249</v>
      </c>
      <c r="I1865" s="7" t="s">
        <v>160</v>
      </c>
      <c r="J1865" s="7" t="s">
        <v>148</v>
      </c>
      <c r="K1865" s="7"/>
      <c r="L1865" s="7"/>
      <c r="M1865" s="7"/>
    </row>
    <row r="1866" ht="15.75" customHeight="1">
      <c r="A1866" s="7" t="s">
        <v>9904</v>
      </c>
      <c r="B1866" s="45" t="s">
        <v>9905</v>
      </c>
      <c r="C1866" s="7" t="s">
        <v>9906</v>
      </c>
      <c r="D1866" s="7" t="s">
        <v>9907</v>
      </c>
      <c r="E1866" s="7" t="s">
        <v>9908</v>
      </c>
      <c r="F1866" s="7" t="s">
        <v>9909</v>
      </c>
      <c r="G1866" s="7"/>
      <c r="H1866" s="46" t="s">
        <v>249</v>
      </c>
      <c r="I1866" s="7" t="s">
        <v>160</v>
      </c>
      <c r="J1866" s="7" t="s">
        <v>148</v>
      </c>
      <c r="K1866" s="7"/>
      <c r="L1866" s="7"/>
      <c r="M1866" s="7"/>
    </row>
    <row r="1867" ht="15.75" customHeight="1">
      <c r="A1867" s="7" t="s">
        <v>9910</v>
      </c>
      <c r="B1867" s="45" t="s">
        <v>9911</v>
      </c>
      <c r="C1867" s="7" t="s">
        <v>9912</v>
      </c>
      <c r="D1867" s="7" t="s">
        <v>9913</v>
      </c>
      <c r="E1867" s="7" t="s">
        <v>9908</v>
      </c>
      <c r="F1867" s="7" t="s">
        <v>9909</v>
      </c>
      <c r="G1867" s="7"/>
      <c r="H1867" s="46" t="s">
        <v>249</v>
      </c>
      <c r="I1867" s="7" t="s">
        <v>160</v>
      </c>
      <c r="J1867" s="7" t="s">
        <v>148</v>
      </c>
      <c r="K1867" s="7"/>
      <c r="L1867" s="7"/>
      <c r="M1867" s="7"/>
    </row>
    <row r="1868" ht="15.75" customHeight="1">
      <c r="A1868" s="7" t="s">
        <v>9914</v>
      </c>
      <c r="B1868" s="45" t="s">
        <v>9915</v>
      </c>
      <c r="C1868" s="7" t="s">
        <v>9916</v>
      </c>
      <c r="D1868" s="7" t="s">
        <v>9917</v>
      </c>
      <c r="E1868" s="7" t="s">
        <v>9918</v>
      </c>
      <c r="F1868" s="7" t="s">
        <v>9919</v>
      </c>
      <c r="G1868" s="7"/>
      <c r="H1868" s="46" t="s">
        <v>249</v>
      </c>
      <c r="I1868" s="7" t="s">
        <v>160</v>
      </c>
      <c r="J1868" s="7" t="s">
        <v>148</v>
      </c>
      <c r="K1868" s="7"/>
      <c r="L1868" s="7"/>
      <c r="M1868" s="7"/>
    </row>
    <row r="1869" ht="15.75" customHeight="1">
      <c r="A1869" s="7" t="s">
        <v>9920</v>
      </c>
      <c r="B1869" s="45" t="s">
        <v>9921</v>
      </c>
      <c r="C1869" s="7" t="s">
        <v>9922</v>
      </c>
      <c r="D1869" s="7" t="s">
        <v>9923</v>
      </c>
      <c r="E1869" s="7" t="s">
        <v>9924</v>
      </c>
      <c r="F1869" s="7" t="s">
        <v>9925</v>
      </c>
      <c r="G1869" s="7"/>
      <c r="H1869" s="46" t="s">
        <v>249</v>
      </c>
      <c r="I1869" s="7" t="s">
        <v>160</v>
      </c>
      <c r="J1869" s="7" t="s">
        <v>148</v>
      </c>
      <c r="K1869" s="7"/>
      <c r="L1869" s="7"/>
      <c r="M1869" s="7"/>
    </row>
    <row r="1870" ht="15.75" customHeight="1">
      <c r="A1870" s="7" t="s">
        <v>9926</v>
      </c>
      <c r="B1870" s="45" t="s">
        <v>9927</v>
      </c>
      <c r="C1870" s="7" t="s">
        <v>9928</v>
      </c>
      <c r="D1870" s="7" t="s">
        <v>9929</v>
      </c>
      <c r="E1870" s="7" t="s">
        <v>9930</v>
      </c>
      <c r="F1870" s="7" t="s">
        <v>9931</v>
      </c>
      <c r="G1870" s="7"/>
      <c r="H1870" s="46" t="s">
        <v>249</v>
      </c>
      <c r="I1870" s="7" t="s">
        <v>160</v>
      </c>
      <c r="J1870" s="7" t="s">
        <v>148</v>
      </c>
      <c r="K1870" s="7"/>
      <c r="L1870" s="7"/>
      <c r="M1870" s="7"/>
    </row>
    <row r="1871" ht="15.75" customHeight="1">
      <c r="A1871" s="7" t="s">
        <v>9932</v>
      </c>
      <c r="B1871" s="45" t="s">
        <v>9933</v>
      </c>
      <c r="C1871" s="7" t="s">
        <v>9934</v>
      </c>
      <c r="D1871" s="7" t="s">
        <v>9935</v>
      </c>
      <c r="E1871" s="7" t="s">
        <v>9936</v>
      </c>
      <c r="F1871" s="7" t="s">
        <v>9937</v>
      </c>
      <c r="G1871" s="7"/>
      <c r="H1871" s="46" t="s">
        <v>249</v>
      </c>
      <c r="I1871" s="7" t="s">
        <v>160</v>
      </c>
      <c r="J1871" s="7" t="s">
        <v>148</v>
      </c>
      <c r="K1871" s="7"/>
      <c r="L1871" s="7"/>
      <c r="M1871" s="7"/>
    </row>
    <row r="1872" ht="15.75" customHeight="1">
      <c r="A1872" s="7" t="s">
        <v>9938</v>
      </c>
      <c r="B1872" s="45" t="s">
        <v>9939</v>
      </c>
      <c r="C1872" s="7" t="s">
        <v>9940</v>
      </c>
      <c r="D1872" s="7" t="s">
        <v>9941</v>
      </c>
      <c r="E1872" s="7" t="s">
        <v>9942</v>
      </c>
      <c r="F1872" s="7" t="s">
        <v>9943</v>
      </c>
      <c r="G1872" s="7"/>
      <c r="H1872" s="46" t="s">
        <v>249</v>
      </c>
      <c r="I1872" s="7" t="s">
        <v>160</v>
      </c>
      <c r="J1872" s="7" t="s">
        <v>148</v>
      </c>
      <c r="K1872" s="7"/>
      <c r="L1872" s="7"/>
      <c r="M1872" s="7"/>
    </row>
    <row r="1873" ht="15.75" customHeight="1">
      <c r="A1873" s="7" t="s">
        <v>9944</v>
      </c>
      <c r="B1873" s="45" t="s">
        <v>9945</v>
      </c>
      <c r="C1873" s="7" t="s">
        <v>9946</v>
      </c>
      <c r="D1873" s="7" t="s">
        <v>9947</v>
      </c>
      <c r="E1873" s="7" t="s">
        <v>9948</v>
      </c>
      <c r="F1873" s="7" t="s">
        <v>9949</v>
      </c>
      <c r="G1873" s="7"/>
      <c r="H1873" s="46" t="s">
        <v>249</v>
      </c>
      <c r="I1873" s="7" t="s">
        <v>160</v>
      </c>
      <c r="J1873" s="7" t="s">
        <v>148</v>
      </c>
      <c r="K1873" s="7"/>
      <c r="L1873" s="7"/>
      <c r="M1873" s="7"/>
    </row>
    <row r="1874" ht="15.75" customHeight="1">
      <c r="A1874" s="7" t="s">
        <v>9950</v>
      </c>
      <c r="B1874" s="45" t="s">
        <v>9951</v>
      </c>
      <c r="C1874" s="7" t="s">
        <v>9952</v>
      </c>
      <c r="D1874" s="7" t="s">
        <v>9953</v>
      </c>
      <c r="E1874" s="7" t="s">
        <v>7583</v>
      </c>
      <c r="F1874" s="7" t="s">
        <v>1563</v>
      </c>
      <c r="G1874" s="7"/>
      <c r="H1874" s="46" t="s">
        <v>249</v>
      </c>
      <c r="I1874" s="7" t="s">
        <v>160</v>
      </c>
      <c r="J1874" s="7" t="s">
        <v>148</v>
      </c>
      <c r="K1874" s="7"/>
      <c r="L1874" s="7"/>
      <c r="M1874" s="7"/>
    </row>
    <row r="1875" ht="15.75" customHeight="1">
      <c r="A1875" s="7" t="s">
        <v>9954</v>
      </c>
      <c r="B1875" s="45" t="s">
        <v>9955</v>
      </c>
      <c r="C1875" s="7" t="s">
        <v>9956</v>
      </c>
      <c r="D1875" s="7" t="s">
        <v>9957</v>
      </c>
      <c r="E1875" s="7" t="s">
        <v>9958</v>
      </c>
      <c r="F1875" s="7" t="s">
        <v>9959</v>
      </c>
      <c r="G1875" s="7"/>
      <c r="H1875" s="46" t="s">
        <v>249</v>
      </c>
      <c r="I1875" s="7" t="s">
        <v>160</v>
      </c>
      <c r="J1875" s="7" t="s">
        <v>148</v>
      </c>
      <c r="K1875" s="7"/>
      <c r="L1875" s="7"/>
      <c r="M1875" s="7"/>
    </row>
    <row r="1876" ht="15.75" customHeight="1">
      <c r="A1876" s="7" t="s">
        <v>9960</v>
      </c>
      <c r="B1876" s="45" t="s">
        <v>9961</v>
      </c>
      <c r="C1876" s="7" t="s">
        <v>9962</v>
      </c>
      <c r="D1876" s="7" t="s">
        <v>9963</v>
      </c>
      <c r="E1876" s="7" t="s">
        <v>9964</v>
      </c>
      <c r="F1876" s="7" t="s">
        <v>9965</v>
      </c>
      <c r="G1876" s="7"/>
      <c r="H1876" s="46" t="s">
        <v>249</v>
      </c>
      <c r="I1876" s="7" t="s">
        <v>160</v>
      </c>
      <c r="J1876" s="7" t="s">
        <v>148</v>
      </c>
      <c r="K1876" s="7"/>
      <c r="L1876" s="7"/>
      <c r="M1876" s="7"/>
    </row>
    <row r="1877" ht="15.75" customHeight="1">
      <c r="A1877" s="7" t="s">
        <v>9966</v>
      </c>
      <c r="B1877" s="45" t="s">
        <v>9967</v>
      </c>
      <c r="C1877" s="7" t="s">
        <v>9968</v>
      </c>
      <c r="D1877" s="7" t="s">
        <v>9969</v>
      </c>
      <c r="E1877" s="7" t="s">
        <v>9970</v>
      </c>
      <c r="F1877" s="7" t="s">
        <v>9971</v>
      </c>
      <c r="G1877" s="7"/>
      <c r="H1877" s="46" t="s">
        <v>249</v>
      </c>
      <c r="I1877" s="7" t="s">
        <v>160</v>
      </c>
      <c r="J1877" s="7" t="s">
        <v>148</v>
      </c>
      <c r="K1877" s="7"/>
      <c r="L1877" s="7"/>
      <c r="M1877" s="7"/>
    </row>
    <row r="1878" ht="15.75" customHeight="1">
      <c r="A1878" s="7" t="s">
        <v>9972</v>
      </c>
      <c r="B1878" s="45" t="s">
        <v>9973</v>
      </c>
      <c r="C1878" s="7" t="s">
        <v>9974</v>
      </c>
      <c r="D1878" s="7" t="s">
        <v>9975</v>
      </c>
      <c r="E1878" s="7" t="s">
        <v>9976</v>
      </c>
      <c r="F1878" s="7" t="s">
        <v>9977</v>
      </c>
      <c r="G1878" s="7"/>
      <c r="H1878" s="46" t="s">
        <v>249</v>
      </c>
      <c r="I1878" s="7" t="s">
        <v>160</v>
      </c>
      <c r="J1878" s="7" t="s">
        <v>148</v>
      </c>
      <c r="K1878" s="7"/>
      <c r="L1878" s="7"/>
      <c r="M1878" s="7"/>
    </row>
    <row r="1879" ht="15.75" customHeight="1">
      <c r="A1879" s="7" t="s">
        <v>9978</v>
      </c>
      <c r="B1879" s="45" t="s">
        <v>9979</v>
      </c>
      <c r="C1879" s="7" t="s">
        <v>9980</v>
      </c>
      <c r="D1879" s="7" t="s">
        <v>9981</v>
      </c>
      <c r="E1879" s="7" t="s">
        <v>9982</v>
      </c>
      <c r="F1879" s="7" t="s">
        <v>9983</v>
      </c>
      <c r="G1879" s="7"/>
      <c r="H1879" s="46" t="s">
        <v>249</v>
      </c>
      <c r="I1879" s="7" t="s">
        <v>160</v>
      </c>
      <c r="J1879" s="7" t="s">
        <v>148</v>
      </c>
      <c r="K1879" s="7"/>
      <c r="L1879" s="7"/>
      <c r="M1879" s="7"/>
    </row>
    <row r="1880" ht="15.75" customHeight="1">
      <c r="A1880" s="7" t="s">
        <v>9984</v>
      </c>
      <c r="B1880" s="45" t="s">
        <v>9985</v>
      </c>
      <c r="C1880" s="7" t="s">
        <v>9986</v>
      </c>
      <c r="D1880" s="7" t="s">
        <v>9987</v>
      </c>
      <c r="E1880" s="7" t="s">
        <v>9988</v>
      </c>
      <c r="F1880" s="7" t="s">
        <v>9989</v>
      </c>
      <c r="G1880" s="7"/>
      <c r="H1880" s="46" t="s">
        <v>249</v>
      </c>
      <c r="I1880" s="7" t="s">
        <v>160</v>
      </c>
      <c r="J1880" s="7" t="s">
        <v>148</v>
      </c>
      <c r="K1880" s="7"/>
      <c r="L1880" s="7"/>
      <c r="M1880" s="7"/>
    </row>
    <row r="1881" ht="15.75" customHeight="1">
      <c r="A1881" s="7" t="s">
        <v>9990</v>
      </c>
      <c r="B1881" s="45" t="s">
        <v>9991</v>
      </c>
      <c r="C1881" s="7" t="s">
        <v>9992</v>
      </c>
      <c r="D1881" s="7" t="s">
        <v>9993</v>
      </c>
      <c r="E1881" s="7" t="s">
        <v>9994</v>
      </c>
      <c r="F1881" s="7" t="s">
        <v>9995</v>
      </c>
      <c r="G1881" s="7"/>
      <c r="H1881" s="46" t="s">
        <v>249</v>
      </c>
      <c r="I1881" s="7" t="s">
        <v>160</v>
      </c>
      <c r="J1881" s="7" t="s">
        <v>148</v>
      </c>
      <c r="K1881" s="7"/>
      <c r="L1881" s="7"/>
      <c r="M1881" s="7"/>
    </row>
    <row r="1882" ht="15.75" customHeight="1">
      <c r="A1882" s="7" t="s">
        <v>9996</v>
      </c>
      <c r="B1882" s="45" t="s">
        <v>9997</v>
      </c>
      <c r="C1882" s="7" t="s">
        <v>4594</v>
      </c>
      <c r="D1882" s="7" t="s">
        <v>9998</v>
      </c>
      <c r="E1882" s="7" t="s">
        <v>9999</v>
      </c>
      <c r="F1882" s="7" t="s">
        <v>10000</v>
      </c>
      <c r="G1882" s="7"/>
      <c r="H1882" s="46" t="s">
        <v>249</v>
      </c>
      <c r="I1882" s="7" t="s">
        <v>160</v>
      </c>
      <c r="J1882" s="7" t="s">
        <v>148</v>
      </c>
      <c r="K1882" s="7"/>
      <c r="L1882" s="7"/>
      <c r="M1882" s="7"/>
    </row>
    <row r="1883" ht="15.75" customHeight="1">
      <c r="A1883" s="7" t="s">
        <v>10001</v>
      </c>
      <c r="B1883" s="45" t="s">
        <v>10002</v>
      </c>
      <c r="C1883" s="7" t="s">
        <v>10003</v>
      </c>
      <c r="D1883" s="7" t="s">
        <v>10004</v>
      </c>
      <c r="E1883" s="7" t="s">
        <v>10005</v>
      </c>
      <c r="F1883" s="7" t="s">
        <v>10006</v>
      </c>
      <c r="G1883" s="7"/>
      <c r="H1883" s="46" t="s">
        <v>249</v>
      </c>
      <c r="I1883" s="7" t="s">
        <v>160</v>
      </c>
      <c r="J1883" s="7" t="s">
        <v>148</v>
      </c>
      <c r="K1883" s="7"/>
      <c r="L1883" s="7"/>
      <c r="M1883" s="7"/>
    </row>
    <row r="1884" ht="15.75" customHeight="1">
      <c r="A1884" s="7" t="s">
        <v>10007</v>
      </c>
      <c r="B1884" s="45" t="s">
        <v>10008</v>
      </c>
      <c r="C1884" s="7" t="s">
        <v>10009</v>
      </c>
      <c r="D1884" s="7" t="s">
        <v>10010</v>
      </c>
      <c r="E1884" s="7" t="s">
        <v>10011</v>
      </c>
      <c r="F1884" s="7" t="s">
        <v>10012</v>
      </c>
      <c r="G1884" s="7"/>
      <c r="H1884" s="46" t="s">
        <v>249</v>
      </c>
      <c r="I1884" s="7" t="s">
        <v>160</v>
      </c>
      <c r="J1884" s="7" t="s">
        <v>148</v>
      </c>
      <c r="K1884" s="7"/>
      <c r="L1884" s="7"/>
      <c r="M1884" s="7"/>
    </row>
    <row r="1885" ht="15.75" customHeight="1">
      <c r="A1885" s="7" t="s">
        <v>10013</v>
      </c>
      <c r="B1885" s="45" t="s">
        <v>10014</v>
      </c>
      <c r="C1885" s="7" t="s">
        <v>10009</v>
      </c>
      <c r="D1885" s="7" t="s">
        <v>10015</v>
      </c>
      <c r="E1885" s="7" t="s">
        <v>10011</v>
      </c>
      <c r="F1885" s="7" t="s">
        <v>10012</v>
      </c>
      <c r="G1885" s="7"/>
      <c r="H1885" s="46" t="s">
        <v>249</v>
      </c>
      <c r="I1885" s="7" t="s">
        <v>160</v>
      </c>
      <c r="J1885" s="7" t="s">
        <v>148</v>
      </c>
      <c r="K1885" s="7"/>
      <c r="L1885" s="7"/>
      <c r="M1885" s="7"/>
    </row>
    <row r="1886" ht="15.75" customHeight="1">
      <c r="A1886" s="7" t="s">
        <v>10016</v>
      </c>
      <c r="B1886" s="45" t="s">
        <v>10017</v>
      </c>
      <c r="C1886" s="7" t="s">
        <v>10018</v>
      </c>
      <c r="D1886" s="7" t="s">
        <v>10019</v>
      </c>
      <c r="E1886" s="7" t="s">
        <v>10020</v>
      </c>
      <c r="F1886" s="7" t="s">
        <v>10021</v>
      </c>
      <c r="G1886" s="7"/>
      <c r="H1886" s="46" t="s">
        <v>249</v>
      </c>
      <c r="I1886" s="7" t="s">
        <v>160</v>
      </c>
      <c r="J1886" s="7" t="s">
        <v>148</v>
      </c>
      <c r="K1886" s="7"/>
      <c r="L1886" s="7"/>
      <c r="M1886" s="7"/>
    </row>
    <row r="1887" ht="15.75" customHeight="1">
      <c r="A1887" s="7" t="s">
        <v>10022</v>
      </c>
      <c r="B1887" s="45" t="s">
        <v>10023</v>
      </c>
      <c r="C1887" s="7" t="s">
        <v>4860</v>
      </c>
      <c r="D1887" s="7" t="s">
        <v>10024</v>
      </c>
      <c r="E1887" s="7" t="s">
        <v>9633</v>
      </c>
      <c r="F1887" s="7" t="s">
        <v>4863</v>
      </c>
      <c r="G1887" s="7"/>
      <c r="H1887" s="46" t="s">
        <v>249</v>
      </c>
      <c r="I1887" s="7" t="s">
        <v>160</v>
      </c>
      <c r="J1887" s="7" t="s">
        <v>148</v>
      </c>
      <c r="K1887" s="7"/>
      <c r="L1887" s="7"/>
      <c r="M1887" s="7"/>
    </row>
    <row r="1888" ht="15.75" customHeight="1">
      <c r="A1888" s="7" t="s">
        <v>10025</v>
      </c>
      <c r="B1888" s="45" t="s">
        <v>10026</v>
      </c>
      <c r="C1888" s="7" t="s">
        <v>10027</v>
      </c>
      <c r="D1888" s="7" t="s">
        <v>10028</v>
      </c>
      <c r="E1888" s="7" t="s">
        <v>10029</v>
      </c>
      <c r="F1888" s="7" t="s">
        <v>10030</v>
      </c>
      <c r="G1888" s="7"/>
      <c r="H1888" s="46" t="s">
        <v>249</v>
      </c>
      <c r="I1888" s="7" t="s">
        <v>160</v>
      </c>
      <c r="J1888" s="7" t="s">
        <v>148</v>
      </c>
      <c r="K1888" s="7"/>
      <c r="L1888" s="7"/>
      <c r="M1888" s="7"/>
    </row>
    <row r="1889" ht="15.75" customHeight="1">
      <c r="A1889" s="7" t="s">
        <v>10031</v>
      </c>
      <c r="B1889" s="45" t="s">
        <v>10032</v>
      </c>
      <c r="C1889" s="7" t="s">
        <v>10033</v>
      </c>
      <c r="D1889" s="7" t="s">
        <v>10034</v>
      </c>
      <c r="E1889" s="7" t="s">
        <v>8681</v>
      </c>
      <c r="F1889" s="7" t="s">
        <v>8682</v>
      </c>
      <c r="G1889" s="7"/>
      <c r="H1889" s="46" t="s">
        <v>249</v>
      </c>
      <c r="I1889" s="7" t="s">
        <v>160</v>
      </c>
      <c r="J1889" s="7" t="s">
        <v>148</v>
      </c>
      <c r="K1889" s="7"/>
      <c r="L1889" s="7"/>
      <c r="M1889" s="7"/>
    </row>
    <row r="1890" ht="15.75" customHeight="1">
      <c r="A1890" s="7" t="s">
        <v>10035</v>
      </c>
      <c r="B1890" s="45" t="s">
        <v>10036</v>
      </c>
      <c r="C1890" s="7" t="s">
        <v>10037</v>
      </c>
      <c r="D1890" s="7" t="s">
        <v>10038</v>
      </c>
      <c r="E1890" s="7" t="s">
        <v>10039</v>
      </c>
      <c r="F1890" s="7" t="s">
        <v>9789</v>
      </c>
      <c r="G1890" s="7"/>
      <c r="H1890" s="46" t="s">
        <v>249</v>
      </c>
      <c r="I1890" s="7" t="s">
        <v>160</v>
      </c>
      <c r="J1890" s="7" t="s">
        <v>148</v>
      </c>
      <c r="K1890" s="7"/>
      <c r="L1890" s="7"/>
      <c r="M1890" s="7"/>
    </row>
    <row r="1891" ht="15.75" customHeight="1">
      <c r="A1891" s="7" t="s">
        <v>10040</v>
      </c>
      <c r="B1891" s="45" t="s">
        <v>10041</v>
      </c>
      <c r="C1891" s="7" t="s">
        <v>10042</v>
      </c>
      <c r="D1891" s="7" t="s">
        <v>10043</v>
      </c>
      <c r="E1891" s="7" t="s">
        <v>10044</v>
      </c>
      <c r="F1891" s="7" t="s">
        <v>10045</v>
      </c>
      <c r="G1891" s="7"/>
      <c r="H1891" s="46" t="s">
        <v>249</v>
      </c>
      <c r="I1891" s="7" t="s">
        <v>160</v>
      </c>
      <c r="J1891" s="7" t="s">
        <v>148</v>
      </c>
      <c r="K1891" s="7"/>
      <c r="L1891" s="7"/>
      <c r="M1891" s="7"/>
    </row>
    <row r="1892" ht="15.75" customHeight="1">
      <c r="A1892" s="7" t="s">
        <v>10046</v>
      </c>
      <c r="B1892" s="45" t="s">
        <v>10047</v>
      </c>
      <c r="C1892" s="7" t="s">
        <v>10048</v>
      </c>
      <c r="D1892" s="7" t="s">
        <v>10049</v>
      </c>
      <c r="E1892" s="7" t="s">
        <v>10050</v>
      </c>
      <c r="F1892" s="7" t="s">
        <v>10051</v>
      </c>
      <c r="G1892" s="7"/>
      <c r="H1892" s="46" t="s">
        <v>249</v>
      </c>
      <c r="I1892" s="7" t="s">
        <v>160</v>
      </c>
      <c r="J1892" s="7" t="s">
        <v>148</v>
      </c>
      <c r="K1892" s="7"/>
      <c r="L1892" s="7"/>
      <c r="M1892" s="7"/>
    </row>
    <row r="1893" ht="15.75" customHeight="1">
      <c r="A1893" s="7" t="s">
        <v>10052</v>
      </c>
      <c r="B1893" s="45" t="s">
        <v>10053</v>
      </c>
      <c r="C1893" s="7" t="s">
        <v>10054</v>
      </c>
      <c r="D1893" s="7" t="s">
        <v>10055</v>
      </c>
      <c r="E1893" s="7" t="s">
        <v>10056</v>
      </c>
      <c r="F1893" s="7" t="s">
        <v>10057</v>
      </c>
      <c r="G1893" s="7"/>
      <c r="H1893" s="46" t="s">
        <v>249</v>
      </c>
      <c r="I1893" s="7" t="s">
        <v>160</v>
      </c>
      <c r="J1893" s="7" t="s">
        <v>148</v>
      </c>
      <c r="K1893" s="7"/>
      <c r="L1893" s="7"/>
      <c r="M1893" s="7"/>
    </row>
    <row r="1894" ht="15.75" customHeight="1">
      <c r="A1894" s="7" t="s">
        <v>10058</v>
      </c>
      <c r="B1894" s="45" t="s">
        <v>10059</v>
      </c>
      <c r="C1894" s="7" t="s">
        <v>10060</v>
      </c>
      <c r="D1894" s="7" t="s">
        <v>10061</v>
      </c>
      <c r="E1894" s="7" t="s">
        <v>10062</v>
      </c>
      <c r="F1894" s="7" t="s">
        <v>10063</v>
      </c>
      <c r="G1894" s="7"/>
      <c r="H1894" s="46" t="s">
        <v>249</v>
      </c>
      <c r="I1894" s="7" t="s">
        <v>160</v>
      </c>
      <c r="J1894" s="7" t="s">
        <v>148</v>
      </c>
      <c r="K1894" s="7"/>
      <c r="L1894" s="7"/>
      <c r="M1894" s="7"/>
    </row>
    <row r="1895" ht="15.75" customHeight="1">
      <c r="A1895" s="7" t="s">
        <v>10064</v>
      </c>
      <c r="B1895" s="45" t="s">
        <v>10065</v>
      </c>
      <c r="C1895" s="7" t="s">
        <v>10066</v>
      </c>
      <c r="D1895" s="7" t="s">
        <v>10067</v>
      </c>
      <c r="E1895" s="7" t="s">
        <v>10068</v>
      </c>
      <c r="F1895" s="7" t="s">
        <v>10069</v>
      </c>
      <c r="G1895" s="7" t="s">
        <v>10070</v>
      </c>
      <c r="H1895" s="46" t="s">
        <v>249</v>
      </c>
      <c r="I1895" s="7" t="s">
        <v>160</v>
      </c>
      <c r="J1895" s="7" t="s">
        <v>148</v>
      </c>
      <c r="K1895" s="7"/>
      <c r="L1895" s="7"/>
      <c r="M1895" s="7"/>
    </row>
    <row r="1896" ht="15.75" customHeight="1">
      <c r="A1896" s="7" t="s">
        <v>10071</v>
      </c>
      <c r="B1896" s="45" t="s">
        <v>10072</v>
      </c>
      <c r="C1896" s="7" t="s">
        <v>10066</v>
      </c>
      <c r="D1896" s="7" t="s">
        <v>10073</v>
      </c>
      <c r="E1896" s="7" t="s">
        <v>10074</v>
      </c>
      <c r="F1896" s="7" t="s">
        <v>10069</v>
      </c>
      <c r="G1896" s="7"/>
      <c r="H1896" s="46" t="s">
        <v>249</v>
      </c>
      <c r="I1896" s="7" t="s">
        <v>160</v>
      </c>
      <c r="J1896" s="7" t="s">
        <v>148</v>
      </c>
      <c r="K1896" s="7"/>
      <c r="L1896" s="7"/>
      <c r="M1896" s="7"/>
    </row>
    <row r="1897" ht="15.75" customHeight="1">
      <c r="A1897" s="7" t="s">
        <v>10075</v>
      </c>
      <c r="B1897" s="45" t="s">
        <v>10076</v>
      </c>
      <c r="C1897" s="7" t="s">
        <v>10066</v>
      </c>
      <c r="D1897" s="7" t="s">
        <v>10077</v>
      </c>
      <c r="E1897" s="7" t="s">
        <v>10074</v>
      </c>
      <c r="F1897" s="7" t="s">
        <v>10069</v>
      </c>
      <c r="G1897" s="7"/>
      <c r="H1897" s="46" t="s">
        <v>249</v>
      </c>
      <c r="I1897" s="7" t="s">
        <v>160</v>
      </c>
      <c r="J1897" s="7" t="s">
        <v>148</v>
      </c>
      <c r="K1897" s="7"/>
      <c r="L1897" s="7"/>
      <c r="M1897" s="7"/>
    </row>
    <row r="1898" ht="15.75" customHeight="1">
      <c r="A1898" s="7" t="s">
        <v>10078</v>
      </c>
      <c r="B1898" s="45" t="s">
        <v>10079</v>
      </c>
      <c r="C1898" s="7" t="s">
        <v>10066</v>
      </c>
      <c r="D1898" s="7" t="s">
        <v>10080</v>
      </c>
      <c r="E1898" s="7" t="s">
        <v>10074</v>
      </c>
      <c r="F1898" s="7" t="s">
        <v>10069</v>
      </c>
      <c r="G1898" s="7"/>
      <c r="H1898" s="46" t="s">
        <v>249</v>
      </c>
      <c r="I1898" s="7" t="s">
        <v>160</v>
      </c>
      <c r="J1898" s="7" t="s">
        <v>148</v>
      </c>
      <c r="K1898" s="7"/>
      <c r="L1898" s="7"/>
      <c r="M1898" s="7"/>
    </row>
    <row r="1899" ht="15.75" customHeight="1">
      <c r="A1899" s="7" t="s">
        <v>10081</v>
      </c>
      <c r="B1899" s="45" t="s">
        <v>10082</v>
      </c>
      <c r="C1899" s="7" t="s">
        <v>10066</v>
      </c>
      <c r="D1899" s="7" t="s">
        <v>10083</v>
      </c>
      <c r="E1899" s="7" t="s">
        <v>10074</v>
      </c>
      <c r="F1899" s="7" t="s">
        <v>10084</v>
      </c>
      <c r="G1899" s="7"/>
      <c r="H1899" s="46" t="s">
        <v>249</v>
      </c>
      <c r="I1899" s="7" t="s">
        <v>160</v>
      </c>
      <c r="J1899" s="7" t="s">
        <v>148</v>
      </c>
      <c r="K1899" s="7"/>
      <c r="L1899" s="7"/>
      <c r="M1899" s="7"/>
    </row>
    <row r="1900" ht="15.75" customHeight="1">
      <c r="A1900" s="7" t="s">
        <v>10085</v>
      </c>
      <c r="B1900" s="45" t="s">
        <v>10086</v>
      </c>
      <c r="C1900" s="7" t="s">
        <v>10087</v>
      </c>
      <c r="D1900" s="7" t="s">
        <v>10088</v>
      </c>
      <c r="E1900" s="7" t="s">
        <v>10089</v>
      </c>
      <c r="F1900" s="7" t="s">
        <v>10090</v>
      </c>
      <c r="G1900" s="7"/>
      <c r="H1900" s="46" t="s">
        <v>249</v>
      </c>
      <c r="I1900" s="7" t="s">
        <v>160</v>
      </c>
      <c r="J1900" s="7" t="s">
        <v>148</v>
      </c>
      <c r="K1900" s="7"/>
      <c r="L1900" s="7"/>
      <c r="M1900" s="7"/>
    </row>
    <row r="1901" ht="15.75" customHeight="1">
      <c r="A1901" s="7" t="s">
        <v>10091</v>
      </c>
      <c r="B1901" s="45" t="s">
        <v>10092</v>
      </c>
      <c r="C1901" s="7" t="s">
        <v>10093</v>
      </c>
      <c r="D1901" s="7" t="s">
        <v>10094</v>
      </c>
      <c r="E1901" s="7" t="s">
        <v>10095</v>
      </c>
      <c r="F1901" s="7" t="s">
        <v>10096</v>
      </c>
      <c r="G1901" s="7"/>
      <c r="H1901" s="46" t="s">
        <v>249</v>
      </c>
      <c r="I1901" s="7" t="s">
        <v>160</v>
      </c>
      <c r="J1901" s="7" t="s">
        <v>148</v>
      </c>
      <c r="K1901" s="7"/>
      <c r="L1901" s="7"/>
      <c r="M1901" s="7"/>
    </row>
    <row r="1902" ht="15.75" customHeight="1">
      <c r="A1902" s="7" t="s">
        <v>10097</v>
      </c>
      <c r="B1902" s="45" t="s">
        <v>10098</v>
      </c>
      <c r="C1902" s="7" t="s">
        <v>10099</v>
      </c>
      <c r="D1902" s="7" t="s">
        <v>10100</v>
      </c>
      <c r="E1902" s="7" t="s">
        <v>10101</v>
      </c>
      <c r="F1902" s="7" t="s">
        <v>10102</v>
      </c>
      <c r="G1902" s="7"/>
      <c r="H1902" s="46" t="s">
        <v>249</v>
      </c>
      <c r="I1902" s="7" t="s">
        <v>160</v>
      </c>
      <c r="J1902" s="7" t="s">
        <v>148</v>
      </c>
      <c r="K1902" s="7"/>
      <c r="L1902" s="7"/>
      <c r="M1902" s="7"/>
    </row>
    <row r="1903" ht="15.75" customHeight="1">
      <c r="A1903" s="7" t="s">
        <v>10103</v>
      </c>
      <c r="B1903" s="45" t="s">
        <v>10104</v>
      </c>
      <c r="C1903" s="7" t="s">
        <v>10105</v>
      </c>
      <c r="D1903" s="7" t="s">
        <v>10106</v>
      </c>
      <c r="E1903" s="7" t="s">
        <v>10107</v>
      </c>
      <c r="F1903" s="7" t="s">
        <v>10108</v>
      </c>
      <c r="G1903" s="7"/>
      <c r="H1903" s="46" t="s">
        <v>249</v>
      </c>
      <c r="I1903" s="7" t="s">
        <v>160</v>
      </c>
      <c r="J1903" s="7" t="s">
        <v>148</v>
      </c>
      <c r="K1903" s="7"/>
      <c r="L1903" s="7"/>
      <c r="M1903" s="7"/>
    </row>
    <row r="1904" ht="15.75" customHeight="1">
      <c r="A1904" s="7" t="s">
        <v>10109</v>
      </c>
      <c r="B1904" s="45" t="s">
        <v>10110</v>
      </c>
      <c r="C1904" s="7" t="s">
        <v>10111</v>
      </c>
      <c r="D1904" s="7" t="s">
        <v>10112</v>
      </c>
      <c r="E1904" s="7" t="s">
        <v>10113</v>
      </c>
      <c r="F1904" s="7" t="s">
        <v>10114</v>
      </c>
      <c r="G1904" s="7"/>
      <c r="H1904" s="46" t="s">
        <v>249</v>
      </c>
      <c r="I1904" s="7" t="s">
        <v>160</v>
      </c>
      <c r="J1904" s="7" t="s">
        <v>148</v>
      </c>
      <c r="K1904" s="7"/>
      <c r="L1904" s="7"/>
      <c r="M1904" s="7"/>
    </row>
    <row r="1905" ht="15.75" customHeight="1">
      <c r="A1905" s="7" t="s">
        <v>10115</v>
      </c>
      <c r="B1905" s="45" t="s">
        <v>10116</v>
      </c>
      <c r="C1905" s="7" t="s">
        <v>10117</v>
      </c>
      <c r="D1905" s="7" t="s">
        <v>10118</v>
      </c>
      <c r="E1905" s="7" t="s">
        <v>10119</v>
      </c>
      <c r="F1905" s="7" t="s">
        <v>10120</v>
      </c>
      <c r="G1905" s="7"/>
      <c r="H1905" s="46" t="s">
        <v>249</v>
      </c>
      <c r="I1905" s="7" t="s">
        <v>160</v>
      </c>
      <c r="J1905" s="7" t="s">
        <v>148</v>
      </c>
      <c r="K1905" s="7"/>
      <c r="L1905" s="7"/>
      <c r="M1905" s="7"/>
    </row>
    <row r="1906" ht="15.75" customHeight="1">
      <c r="A1906" s="7" t="s">
        <v>10121</v>
      </c>
      <c r="B1906" s="45" t="s">
        <v>10122</v>
      </c>
      <c r="C1906" s="7" t="s">
        <v>10123</v>
      </c>
      <c r="D1906" s="7" t="s">
        <v>10124</v>
      </c>
      <c r="E1906" s="7" t="s">
        <v>10125</v>
      </c>
      <c r="F1906" s="7" t="s">
        <v>10126</v>
      </c>
      <c r="G1906" s="7"/>
      <c r="H1906" s="46" t="s">
        <v>249</v>
      </c>
      <c r="I1906" s="7" t="s">
        <v>160</v>
      </c>
      <c r="J1906" s="7" t="s">
        <v>148</v>
      </c>
      <c r="K1906" s="7"/>
      <c r="L1906" s="7"/>
      <c r="M1906" s="7"/>
    </row>
    <row r="1907" ht="15.75" customHeight="1">
      <c r="A1907" s="7" t="s">
        <v>10127</v>
      </c>
      <c r="B1907" s="45" t="s">
        <v>10128</v>
      </c>
      <c r="C1907" s="7" t="s">
        <v>10123</v>
      </c>
      <c r="D1907" s="7" t="s">
        <v>10129</v>
      </c>
      <c r="E1907" s="7" t="s">
        <v>10130</v>
      </c>
      <c r="F1907" s="7" t="s">
        <v>10131</v>
      </c>
      <c r="G1907" s="7"/>
      <c r="H1907" s="46" t="s">
        <v>249</v>
      </c>
      <c r="I1907" s="7" t="s">
        <v>160</v>
      </c>
      <c r="J1907" s="7" t="s">
        <v>148</v>
      </c>
      <c r="K1907" s="7"/>
      <c r="L1907" s="7"/>
      <c r="M1907" s="7"/>
    </row>
    <row r="1908" ht="15.75" customHeight="1">
      <c r="A1908" s="7" t="s">
        <v>10132</v>
      </c>
      <c r="B1908" s="45" t="s">
        <v>10133</v>
      </c>
      <c r="C1908" s="7" t="s">
        <v>10123</v>
      </c>
      <c r="D1908" s="7" t="s">
        <v>10134</v>
      </c>
      <c r="E1908" s="7" t="s">
        <v>10135</v>
      </c>
      <c r="F1908" s="7" t="s">
        <v>10136</v>
      </c>
      <c r="G1908" s="7"/>
      <c r="H1908" s="46" t="s">
        <v>249</v>
      </c>
      <c r="I1908" s="7" t="s">
        <v>160</v>
      </c>
      <c r="J1908" s="7" t="s">
        <v>148</v>
      </c>
      <c r="K1908" s="7"/>
      <c r="L1908" s="7"/>
      <c r="M1908" s="7"/>
    </row>
    <row r="1909" ht="15.75" customHeight="1">
      <c r="A1909" s="7" t="s">
        <v>10137</v>
      </c>
      <c r="B1909" s="45" t="s">
        <v>10138</v>
      </c>
      <c r="C1909" s="7" t="s">
        <v>10123</v>
      </c>
      <c r="D1909" s="7" t="s">
        <v>10139</v>
      </c>
      <c r="E1909" s="7" t="s">
        <v>10140</v>
      </c>
      <c r="F1909" s="7" t="s">
        <v>10141</v>
      </c>
      <c r="G1909" s="7"/>
      <c r="H1909" s="46" t="s">
        <v>249</v>
      </c>
      <c r="I1909" s="7" t="s">
        <v>160</v>
      </c>
      <c r="J1909" s="7" t="s">
        <v>148</v>
      </c>
      <c r="K1909" s="7"/>
      <c r="L1909" s="7"/>
      <c r="M1909" s="7"/>
    </row>
    <row r="1910" ht="15.75" customHeight="1">
      <c r="A1910" s="7" t="s">
        <v>10142</v>
      </c>
      <c r="B1910" s="45" t="s">
        <v>10143</v>
      </c>
      <c r="C1910" s="7" t="s">
        <v>10144</v>
      </c>
      <c r="D1910" s="7" t="s">
        <v>10145</v>
      </c>
      <c r="E1910" s="7" t="s">
        <v>10146</v>
      </c>
      <c r="F1910" s="7" t="s">
        <v>10147</v>
      </c>
      <c r="G1910" s="7"/>
      <c r="H1910" s="46" t="s">
        <v>249</v>
      </c>
      <c r="I1910" s="7" t="s">
        <v>160</v>
      </c>
      <c r="J1910" s="7" t="s">
        <v>148</v>
      </c>
      <c r="K1910" s="7"/>
      <c r="L1910" s="7"/>
      <c r="M1910" s="7"/>
    </row>
    <row r="1911" ht="15.75" customHeight="1">
      <c r="A1911" s="7" t="s">
        <v>10148</v>
      </c>
      <c r="B1911" s="45" t="s">
        <v>10149</v>
      </c>
      <c r="C1911" s="7" t="s">
        <v>10150</v>
      </c>
      <c r="D1911" s="7" t="s">
        <v>10151</v>
      </c>
      <c r="E1911" s="7" t="s">
        <v>10152</v>
      </c>
      <c r="F1911" s="7" t="s">
        <v>10153</v>
      </c>
      <c r="G1911" s="7"/>
      <c r="H1911" s="46" t="s">
        <v>249</v>
      </c>
      <c r="I1911" s="7" t="s">
        <v>160</v>
      </c>
      <c r="J1911" s="7" t="s">
        <v>148</v>
      </c>
      <c r="K1911" s="7"/>
      <c r="L1911" s="7"/>
      <c r="M1911" s="7"/>
    </row>
    <row r="1912" ht="15.75" customHeight="1">
      <c r="A1912" s="7" t="s">
        <v>10154</v>
      </c>
      <c r="B1912" s="45" t="s">
        <v>10155</v>
      </c>
      <c r="C1912" s="7" t="s">
        <v>10156</v>
      </c>
      <c r="D1912" s="7" t="s">
        <v>10157</v>
      </c>
      <c r="E1912" s="7" t="s">
        <v>10158</v>
      </c>
      <c r="F1912" s="7" t="s">
        <v>10159</v>
      </c>
      <c r="G1912" s="7"/>
      <c r="H1912" s="46" t="s">
        <v>249</v>
      </c>
      <c r="I1912" s="7" t="s">
        <v>160</v>
      </c>
      <c r="J1912" s="7" t="s">
        <v>148</v>
      </c>
      <c r="K1912" s="7"/>
      <c r="L1912" s="7"/>
      <c r="M1912" s="7"/>
    </row>
    <row r="1913" ht="15.75" customHeight="1">
      <c r="A1913" s="7" t="s">
        <v>10160</v>
      </c>
      <c r="B1913" s="45" t="s">
        <v>10161</v>
      </c>
      <c r="C1913" s="7" t="s">
        <v>10162</v>
      </c>
      <c r="D1913" s="7" t="s">
        <v>10163</v>
      </c>
      <c r="E1913" s="7" t="s">
        <v>10164</v>
      </c>
      <c r="F1913" s="7" t="s">
        <v>10165</v>
      </c>
      <c r="G1913" s="7"/>
      <c r="H1913" s="46" t="s">
        <v>249</v>
      </c>
      <c r="I1913" s="7" t="s">
        <v>160</v>
      </c>
      <c r="J1913" s="7" t="s">
        <v>148</v>
      </c>
      <c r="K1913" s="7"/>
      <c r="L1913" s="7"/>
      <c r="M1913" s="7"/>
    </row>
    <row r="1914" ht="15.75" customHeight="1">
      <c r="A1914" s="7" t="s">
        <v>10166</v>
      </c>
      <c r="B1914" s="45" t="s">
        <v>10167</v>
      </c>
      <c r="C1914" s="7" t="s">
        <v>10162</v>
      </c>
      <c r="D1914" s="7" t="s">
        <v>10168</v>
      </c>
      <c r="E1914" s="7" t="s">
        <v>10169</v>
      </c>
      <c r="F1914" s="7" t="s">
        <v>10165</v>
      </c>
      <c r="G1914" s="7"/>
      <c r="H1914" s="46" t="s">
        <v>249</v>
      </c>
      <c r="I1914" s="7" t="s">
        <v>160</v>
      </c>
      <c r="J1914" s="7" t="s">
        <v>148</v>
      </c>
      <c r="K1914" s="7"/>
      <c r="L1914" s="7"/>
      <c r="M1914" s="7"/>
    </row>
    <row r="1915" ht="15.75" customHeight="1">
      <c r="A1915" s="7" t="s">
        <v>10170</v>
      </c>
      <c r="B1915" s="45" t="s">
        <v>10171</v>
      </c>
      <c r="C1915" s="7" t="s">
        <v>5508</v>
      </c>
      <c r="D1915" s="7" t="s">
        <v>10172</v>
      </c>
      <c r="E1915" s="7" t="s">
        <v>10173</v>
      </c>
      <c r="F1915" s="7" t="s">
        <v>10174</v>
      </c>
      <c r="G1915" s="7"/>
      <c r="H1915" s="46" t="s">
        <v>249</v>
      </c>
      <c r="I1915" s="7" t="s">
        <v>160</v>
      </c>
      <c r="J1915" s="7" t="s">
        <v>148</v>
      </c>
      <c r="K1915" s="7"/>
      <c r="L1915" s="7"/>
      <c r="M1915" s="7"/>
    </row>
    <row r="1916" ht="15.75" customHeight="1">
      <c r="A1916" s="7" t="s">
        <v>10175</v>
      </c>
      <c r="B1916" s="45" t="s">
        <v>10176</v>
      </c>
      <c r="C1916" s="7" t="s">
        <v>10177</v>
      </c>
      <c r="D1916" s="7" t="s">
        <v>10178</v>
      </c>
      <c r="E1916" s="7" t="s">
        <v>10179</v>
      </c>
      <c r="F1916" s="7" t="s">
        <v>10180</v>
      </c>
      <c r="G1916" s="7"/>
      <c r="H1916" s="46" t="s">
        <v>249</v>
      </c>
      <c r="I1916" s="7" t="s">
        <v>160</v>
      </c>
      <c r="J1916" s="7" t="s">
        <v>148</v>
      </c>
      <c r="K1916" s="7"/>
      <c r="L1916" s="7"/>
      <c r="M1916" s="7"/>
    </row>
    <row r="1917" ht="15.75" customHeight="1">
      <c r="A1917" s="7" t="s">
        <v>10181</v>
      </c>
      <c r="B1917" s="45" t="s">
        <v>10182</v>
      </c>
      <c r="C1917" s="7" t="s">
        <v>10183</v>
      </c>
      <c r="D1917" s="7" t="s">
        <v>10184</v>
      </c>
      <c r="E1917" s="7" t="s">
        <v>10185</v>
      </c>
      <c r="F1917" s="7" t="s">
        <v>10186</v>
      </c>
      <c r="G1917" s="7"/>
      <c r="H1917" s="46" t="s">
        <v>249</v>
      </c>
      <c r="I1917" s="7" t="s">
        <v>160</v>
      </c>
      <c r="J1917" s="7" t="s">
        <v>148</v>
      </c>
      <c r="K1917" s="7"/>
      <c r="L1917" s="7"/>
      <c r="M1917" s="7"/>
    </row>
    <row r="1918" ht="15.75" customHeight="1">
      <c r="A1918" s="7" t="s">
        <v>10187</v>
      </c>
      <c r="B1918" s="45" t="s">
        <v>10188</v>
      </c>
      <c r="C1918" s="7" t="s">
        <v>10189</v>
      </c>
      <c r="D1918" s="7" t="s">
        <v>10190</v>
      </c>
      <c r="E1918" s="7" t="s">
        <v>9571</v>
      </c>
      <c r="F1918" s="7" t="s">
        <v>9572</v>
      </c>
      <c r="G1918" s="7"/>
      <c r="H1918" s="46" t="s">
        <v>249</v>
      </c>
      <c r="I1918" s="7" t="s">
        <v>160</v>
      </c>
      <c r="J1918" s="7" t="s">
        <v>148</v>
      </c>
      <c r="K1918" s="7"/>
      <c r="L1918" s="7"/>
      <c r="M1918" s="7"/>
    </row>
    <row r="1919" ht="15.75" customHeight="1">
      <c r="A1919" s="7" t="s">
        <v>10191</v>
      </c>
      <c r="B1919" s="45" t="s">
        <v>10192</v>
      </c>
      <c r="C1919" s="7" t="s">
        <v>10193</v>
      </c>
      <c r="D1919" s="7" t="s">
        <v>10194</v>
      </c>
      <c r="E1919" s="7" t="s">
        <v>10195</v>
      </c>
      <c r="F1919" s="7" t="s">
        <v>10196</v>
      </c>
      <c r="G1919" s="7"/>
      <c r="H1919" s="46" t="s">
        <v>249</v>
      </c>
      <c r="I1919" s="7" t="s">
        <v>160</v>
      </c>
      <c r="J1919" s="7" t="s">
        <v>148</v>
      </c>
      <c r="K1919" s="7"/>
      <c r="L1919" s="7"/>
      <c r="M1919" s="7"/>
    </row>
    <row r="1920" ht="15.75" customHeight="1">
      <c r="A1920" s="7" t="s">
        <v>10197</v>
      </c>
      <c r="B1920" s="45" t="s">
        <v>10198</v>
      </c>
      <c r="C1920" s="7" t="s">
        <v>10199</v>
      </c>
      <c r="D1920" s="7" t="s">
        <v>10200</v>
      </c>
      <c r="E1920" s="7" t="s">
        <v>10201</v>
      </c>
      <c r="F1920" s="7" t="s">
        <v>10202</v>
      </c>
      <c r="G1920" s="7"/>
      <c r="H1920" s="46" t="s">
        <v>249</v>
      </c>
      <c r="I1920" s="7" t="s">
        <v>160</v>
      </c>
      <c r="J1920" s="7" t="s">
        <v>148</v>
      </c>
      <c r="K1920" s="7"/>
      <c r="L1920" s="7"/>
      <c r="M1920" s="7"/>
    </row>
    <row r="1921" ht="15.75" customHeight="1">
      <c r="A1921" s="7" t="s">
        <v>10203</v>
      </c>
      <c r="B1921" s="45" t="s">
        <v>10204</v>
      </c>
      <c r="C1921" s="7" t="s">
        <v>10205</v>
      </c>
      <c r="D1921" s="7" t="s">
        <v>10206</v>
      </c>
      <c r="E1921" s="7" t="s">
        <v>10207</v>
      </c>
      <c r="F1921" s="7" t="s">
        <v>10208</v>
      </c>
      <c r="G1921" s="7"/>
      <c r="H1921" s="46" t="s">
        <v>249</v>
      </c>
      <c r="I1921" s="7" t="s">
        <v>160</v>
      </c>
      <c r="J1921" s="7" t="s">
        <v>148</v>
      </c>
      <c r="K1921" s="7"/>
      <c r="L1921" s="7"/>
      <c r="M1921" s="7"/>
    </row>
    <row r="1922" ht="15.75" customHeight="1">
      <c r="A1922" s="7" t="s">
        <v>10209</v>
      </c>
      <c r="B1922" s="45" t="s">
        <v>10210</v>
      </c>
      <c r="C1922" s="7" t="s">
        <v>10211</v>
      </c>
      <c r="D1922" s="7" t="s">
        <v>10212</v>
      </c>
      <c r="E1922" s="7" t="s">
        <v>10213</v>
      </c>
      <c r="F1922" s="7" t="s">
        <v>10214</v>
      </c>
      <c r="G1922" s="7"/>
      <c r="H1922" s="46" t="s">
        <v>249</v>
      </c>
      <c r="I1922" s="7" t="s">
        <v>160</v>
      </c>
      <c r="J1922" s="7" t="s">
        <v>148</v>
      </c>
      <c r="K1922" s="7"/>
      <c r="L1922" s="7"/>
      <c r="M1922" s="7"/>
    </row>
    <row r="1923" ht="15.75" customHeight="1">
      <c r="A1923" s="7" t="s">
        <v>10215</v>
      </c>
      <c r="B1923" s="45" t="s">
        <v>10216</v>
      </c>
      <c r="C1923" s="7" t="s">
        <v>10211</v>
      </c>
      <c r="D1923" s="7" t="s">
        <v>10217</v>
      </c>
      <c r="E1923" s="7" t="s">
        <v>10213</v>
      </c>
      <c r="F1923" s="7" t="s">
        <v>10214</v>
      </c>
      <c r="G1923" s="7"/>
      <c r="H1923" s="46" t="s">
        <v>249</v>
      </c>
      <c r="I1923" s="7" t="s">
        <v>160</v>
      </c>
      <c r="J1923" s="7" t="s">
        <v>148</v>
      </c>
      <c r="K1923" s="7"/>
      <c r="L1923" s="7"/>
      <c r="M1923" s="7"/>
    </row>
    <row r="1924" ht="15.75" customHeight="1">
      <c r="A1924" s="7" t="s">
        <v>10218</v>
      </c>
      <c r="B1924" s="45" t="s">
        <v>10219</v>
      </c>
      <c r="C1924" s="7" t="s">
        <v>10220</v>
      </c>
      <c r="D1924" s="7" t="s">
        <v>10221</v>
      </c>
      <c r="E1924" s="7" t="s">
        <v>10222</v>
      </c>
      <c r="F1924" s="7" t="s">
        <v>10223</v>
      </c>
      <c r="G1924" s="7"/>
      <c r="H1924" s="46" t="s">
        <v>249</v>
      </c>
      <c r="I1924" s="7" t="s">
        <v>160</v>
      </c>
      <c r="J1924" s="7" t="s">
        <v>148</v>
      </c>
      <c r="K1924" s="7"/>
      <c r="L1924" s="7"/>
      <c r="M1924" s="7"/>
    </row>
    <row r="1925" ht="15.75" customHeight="1">
      <c r="A1925" s="7" t="s">
        <v>10224</v>
      </c>
      <c r="B1925" s="45" t="s">
        <v>10225</v>
      </c>
      <c r="C1925" s="7" t="s">
        <v>10226</v>
      </c>
      <c r="D1925" s="7" t="s">
        <v>10227</v>
      </c>
      <c r="E1925" s="7" t="s">
        <v>10228</v>
      </c>
      <c r="F1925" s="7" t="s">
        <v>10214</v>
      </c>
      <c r="G1925" s="7" t="s">
        <v>10229</v>
      </c>
      <c r="H1925" s="46" t="s">
        <v>249</v>
      </c>
      <c r="I1925" s="7" t="s">
        <v>160</v>
      </c>
      <c r="J1925" s="7" t="s">
        <v>148</v>
      </c>
      <c r="K1925" s="7"/>
      <c r="L1925" s="7"/>
      <c r="M1925" s="7"/>
    </row>
    <row r="1926" ht="15.75" customHeight="1">
      <c r="A1926" s="7" t="s">
        <v>10230</v>
      </c>
      <c r="B1926" s="45" t="s">
        <v>10231</v>
      </c>
      <c r="C1926" s="7" t="s">
        <v>10232</v>
      </c>
      <c r="D1926" s="7" t="s">
        <v>10233</v>
      </c>
      <c r="E1926" s="7" t="s">
        <v>10234</v>
      </c>
      <c r="F1926" s="7" t="s">
        <v>10235</v>
      </c>
      <c r="G1926" s="7"/>
      <c r="H1926" s="46" t="s">
        <v>249</v>
      </c>
      <c r="I1926" s="7" t="s">
        <v>160</v>
      </c>
      <c r="J1926" s="7" t="s">
        <v>148</v>
      </c>
      <c r="K1926" s="7"/>
      <c r="L1926" s="7"/>
      <c r="M1926" s="7"/>
    </row>
    <row r="1927" ht="15.75" customHeight="1">
      <c r="A1927" s="7" t="s">
        <v>10236</v>
      </c>
      <c r="B1927" s="45" t="s">
        <v>10237</v>
      </c>
      <c r="C1927" s="7" t="s">
        <v>10238</v>
      </c>
      <c r="D1927" s="7" t="s">
        <v>10239</v>
      </c>
      <c r="E1927" s="7" t="s">
        <v>10240</v>
      </c>
      <c r="F1927" s="7" t="s">
        <v>10241</v>
      </c>
      <c r="G1927" s="7"/>
      <c r="H1927" s="46" t="s">
        <v>249</v>
      </c>
      <c r="I1927" s="7" t="s">
        <v>160</v>
      </c>
      <c r="J1927" s="7" t="s">
        <v>148</v>
      </c>
      <c r="K1927" s="7"/>
      <c r="L1927" s="7"/>
      <c r="M1927" s="7"/>
    </row>
    <row r="1928" ht="15.75" customHeight="1">
      <c r="A1928" s="7" t="s">
        <v>10242</v>
      </c>
      <c r="B1928" s="45" t="s">
        <v>10243</v>
      </c>
      <c r="C1928" s="7" t="s">
        <v>10244</v>
      </c>
      <c r="D1928" s="7" t="s">
        <v>10245</v>
      </c>
      <c r="E1928" s="7" t="s">
        <v>10246</v>
      </c>
      <c r="F1928" s="7" t="s">
        <v>10247</v>
      </c>
      <c r="G1928" s="7"/>
      <c r="H1928" s="46" t="s">
        <v>249</v>
      </c>
      <c r="I1928" s="7" t="s">
        <v>160</v>
      </c>
      <c r="J1928" s="7" t="s">
        <v>148</v>
      </c>
      <c r="K1928" s="7"/>
      <c r="L1928" s="7"/>
      <c r="M1928" s="7"/>
    </row>
    <row r="1929" ht="15.75" customHeight="1">
      <c r="A1929" s="7" t="s">
        <v>10248</v>
      </c>
      <c r="B1929" s="45" t="s">
        <v>10249</v>
      </c>
      <c r="C1929" s="7" t="s">
        <v>10244</v>
      </c>
      <c r="D1929" s="7" t="s">
        <v>10250</v>
      </c>
      <c r="E1929" s="7" t="s">
        <v>10246</v>
      </c>
      <c r="F1929" s="7" t="s">
        <v>10247</v>
      </c>
      <c r="G1929" s="7"/>
      <c r="H1929" s="46" t="s">
        <v>249</v>
      </c>
      <c r="I1929" s="7" t="s">
        <v>160</v>
      </c>
      <c r="J1929" s="7" t="s">
        <v>148</v>
      </c>
      <c r="K1929" s="7"/>
      <c r="L1929" s="7"/>
      <c r="M1929" s="7"/>
    </row>
    <row r="1930" ht="15.75" customHeight="1">
      <c r="A1930" s="7" t="s">
        <v>10251</v>
      </c>
      <c r="B1930" s="45" t="s">
        <v>10252</v>
      </c>
      <c r="C1930" s="7" t="s">
        <v>10253</v>
      </c>
      <c r="D1930" s="7" t="s">
        <v>10254</v>
      </c>
      <c r="E1930" s="7" t="s">
        <v>10255</v>
      </c>
      <c r="F1930" s="7" t="s">
        <v>10256</v>
      </c>
      <c r="G1930" s="7"/>
      <c r="H1930" s="46" t="s">
        <v>249</v>
      </c>
      <c r="I1930" s="7" t="s">
        <v>160</v>
      </c>
      <c r="J1930" s="7" t="s">
        <v>148</v>
      </c>
      <c r="K1930" s="7"/>
      <c r="L1930" s="7"/>
      <c r="M1930" s="7"/>
    </row>
    <row r="1931" ht="15.75" customHeight="1">
      <c r="A1931" s="7" t="s">
        <v>10257</v>
      </c>
      <c r="B1931" s="45" t="s">
        <v>10258</v>
      </c>
      <c r="C1931" s="7" t="s">
        <v>10244</v>
      </c>
      <c r="D1931" s="7" t="s">
        <v>10259</v>
      </c>
      <c r="E1931" s="7" t="s">
        <v>10246</v>
      </c>
      <c r="F1931" s="7" t="s">
        <v>10247</v>
      </c>
      <c r="G1931" s="7"/>
      <c r="H1931" s="46" t="s">
        <v>249</v>
      </c>
      <c r="I1931" s="7" t="s">
        <v>160</v>
      </c>
      <c r="J1931" s="7" t="s">
        <v>148</v>
      </c>
      <c r="K1931" s="7"/>
      <c r="L1931" s="7"/>
      <c r="M1931" s="7"/>
    </row>
    <row r="1932" ht="15.75" customHeight="1">
      <c r="A1932" s="7" t="s">
        <v>10260</v>
      </c>
      <c r="B1932" s="45" t="s">
        <v>10261</v>
      </c>
      <c r="C1932" s="7" t="s">
        <v>1566</v>
      </c>
      <c r="D1932" s="7" t="s">
        <v>10262</v>
      </c>
      <c r="E1932" s="7" t="s">
        <v>1568</v>
      </c>
      <c r="F1932" s="7" t="s">
        <v>1569</v>
      </c>
      <c r="G1932" s="7"/>
      <c r="H1932" s="46" t="s">
        <v>249</v>
      </c>
      <c r="I1932" s="7" t="s">
        <v>160</v>
      </c>
      <c r="J1932" s="7" t="s">
        <v>148</v>
      </c>
      <c r="K1932" s="7"/>
      <c r="L1932" s="7"/>
      <c r="M1932" s="7"/>
    </row>
    <row r="1933" ht="15.75" customHeight="1">
      <c r="A1933" s="7" t="s">
        <v>10263</v>
      </c>
      <c r="B1933" s="45" t="s">
        <v>10264</v>
      </c>
      <c r="C1933" s="7" t="s">
        <v>10265</v>
      </c>
      <c r="D1933" s="7" t="s">
        <v>10266</v>
      </c>
      <c r="E1933" s="7" t="s">
        <v>10267</v>
      </c>
      <c r="F1933" s="7" t="s">
        <v>10268</v>
      </c>
      <c r="G1933" s="7"/>
      <c r="H1933" s="46" t="s">
        <v>249</v>
      </c>
      <c r="I1933" s="7" t="s">
        <v>160</v>
      </c>
      <c r="J1933" s="7" t="s">
        <v>148</v>
      </c>
      <c r="K1933" s="7"/>
      <c r="L1933" s="7"/>
      <c r="M1933" s="7"/>
    </row>
    <row r="1934" ht="15.75" customHeight="1">
      <c r="A1934" s="7" t="s">
        <v>10269</v>
      </c>
      <c r="B1934" s="45" t="s">
        <v>10270</v>
      </c>
      <c r="C1934" s="7" t="s">
        <v>10265</v>
      </c>
      <c r="D1934" s="7" t="s">
        <v>10271</v>
      </c>
      <c r="E1934" s="7" t="s">
        <v>10267</v>
      </c>
      <c r="F1934" s="7" t="s">
        <v>10268</v>
      </c>
      <c r="G1934" s="7"/>
      <c r="H1934" s="46" t="s">
        <v>249</v>
      </c>
      <c r="I1934" s="7" t="s">
        <v>160</v>
      </c>
      <c r="J1934" s="7" t="s">
        <v>148</v>
      </c>
      <c r="K1934" s="7"/>
      <c r="L1934" s="7"/>
      <c r="M1934" s="7"/>
    </row>
    <row r="1935" ht="15.75" customHeight="1">
      <c r="A1935" s="7" t="s">
        <v>10272</v>
      </c>
      <c r="B1935" s="45" t="s">
        <v>10273</v>
      </c>
      <c r="C1935" s="7" t="s">
        <v>9394</v>
      </c>
      <c r="D1935" s="7" t="s">
        <v>10274</v>
      </c>
      <c r="E1935" s="7" t="s">
        <v>10275</v>
      </c>
      <c r="F1935" s="7" t="s">
        <v>9397</v>
      </c>
      <c r="G1935" s="7"/>
      <c r="H1935" s="46" t="s">
        <v>249</v>
      </c>
      <c r="I1935" s="7" t="s">
        <v>160</v>
      </c>
      <c r="J1935" s="7" t="s">
        <v>148</v>
      </c>
      <c r="K1935" s="7"/>
      <c r="L1935" s="7"/>
      <c r="M1935" s="7"/>
    </row>
    <row r="1936" ht="15.75" customHeight="1">
      <c r="A1936" s="7" t="s">
        <v>10276</v>
      </c>
      <c r="B1936" s="45" t="s">
        <v>10277</v>
      </c>
      <c r="C1936" s="7" t="s">
        <v>3246</v>
      </c>
      <c r="D1936" s="7" t="s">
        <v>10278</v>
      </c>
      <c r="E1936" s="7" t="s">
        <v>10279</v>
      </c>
      <c r="F1936" s="7" t="s">
        <v>3249</v>
      </c>
      <c r="G1936" s="7"/>
      <c r="H1936" s="46" t="s">
        <v>249</v>
      </c>
      <c r="I1936" s="7" t="s">
        <v>160</v>
      </c>
      <c r="J1936" s="7" t="s">
        <v>148</v>
      </c>
      <c r="K1936" s="7"/>
      <c r="L1936" s="7"/>
      <c r="M1936" s="7"/>
    </row>
    <row r="1937" ht="15.75" customHeight="1">
      <c r="A1937" s="7" t="s">
        <v>10280</v>
      </c>
      <c r="B1937" s="45" t="s">
        <v>10281</v>
      </c>
      <c r="C1937" s="7" t="s">
        <v>10282</v>
      </c>
      <c r="D1937" s="7" t="s">
        <v>10283</v>
      </c>
      <c r="E1937" s="7" t="s">
        <v>10284</v>
      </c>
      <c r="F1937" s="7" t="s">
        <v>9397</v>
      </c>
      <c r="G1937" s="7"/>
      <c r="H1937" s="46" t="s">
        <v>249</v>
      </c>
      <c r="I1937" s="7" t="s">
        <v>160</v>
      </c>
      <c r="J1937" s="7" t="s">
        <v>148</v>
      </c>
      <c r="K1937" s="7"/>
      <c r="L1937" s="7"/>
      <c r="M1937" s="7"/>
    </row>
    <row r="1938" ht="15.75" customHeight="1">
      <c r="A1938" s="7" t="s">
        <v>10285</v>
      </c>
      <c r="B1938" s="45" t="s">
        <v>10286</v>
      </c>
      <c r="C1938" s="7" t="s">
        <v>9394</v>
      </c>
      <c r="D1938" s="7" t="s">
        <v>9395</v>
      </c>
      <c r="E1938" s="7" t="s">
        <v>9396</v>
      </c>
      <c r="F1938" s="7" t="s">
        <v>9397</v>
      </c>
      <c r="G1938" s="7"/>
      <c r="H1938" s="46" t="s">
        <v>249</v>
      </c>
      <c r="I1938" s="7" t="s">
        <v>160</v>
      </c>
      <c r="J1938" s="7" t="s">
        <v>148</v>
      </c>
      <c r="K1938" s="7"/>
      <c r="L1938" s="7"/>
      <c r="M1938" s="7"/>
    </row>
    <row r="1939" ht="15.75" customHeight="1">
      <c r="A1939" s="7" t="s">
        <v>10287</v>
      </c>
      <c r="B1939" s="45" t="s">
        <v>10288</v>
      </c>
      <c r="C1939" s="7" t="s">
        <v>10289</v>
      </c>
      <c r="D1939" s="7" t="s">
        <v>10290</v>
      </c>
      <c r="E1939" s="7" t="s">
        <v>10291</v>
      </c>
      <c r="F1939" s="7" t="s">
        <v>10292</v>
      </c>
      <c r="G1939" s="7"/>
      <c r="H1939" s="46" t="s">
        <v>249</v>
      </c>
      <c r="I1939" s="7" t="s">
        <v>160</v>
      </c>
      <c r="J1939" s="7" t="s">
        <v>148</v>
      </c>
      <c r="K1939" s="7"/>
      <c r="L1939" s="7"/>
      <c r="M1939" s="7"/>
    </row>
    <row r="1940" ht="15.75" customHeight="1">
      <c r="A1940" s="7" t="s">
        <v>10293</v>
      </c>
      <c r="B1940" s="45" t="s">
        <v>10294</v>
      </c>
      <c r="C1940" s="7" t="s">
        <v>10295</v>
      </c>
      <c r="D1940" s="7" t="s">
        <v>10296</v>
      </c>
      <c r="E1940" s="7" t="s">
        <v>10297</v>
      </c>
      <c r="F1940" s="7" t="s">
        <v>10298</v>
      </c>
      <c r="G1940" s="7"/>
      <c r="H1940" s="46" t="s">
        <v>249</v>
      </c>
      <c r="I1940" s="7" t="s">
        <v>160</v>
      </c>
      <c r="J1940" s="7" t="s">
        <v>148</v>
      </c>
      <c r="K1940" s="7"/>
      <c r="L1940" s="7"/>
      <c r="M1940" s="7"/>
    </row>
    <row r="1941" ht="15.75" customHeight="1">
      <c r="A1941" s="7" t="s">
        <v>10299</v>
      </c>
      <c r="B1941" s="45" t="s">
        <v>10300</v>
      </c>
      <c r="C1941" s="7" t="s">
        <v>10301</v>
      </c>
      <c r="D1941" s="7" t="s">
        <v>10302</v>
      </c>
      <c r="E1941" s="7" t="s">
        <v>10303</v>
      </c>
      <c r="F1941" s="7" t="s">
        <v>10304</v>
      </c>
      <c r="G1941" s="7"/>
      <c r="H1941" s="46" t="s">
        <v>249</v>
      </c>
      <c r="I1941" s="7" t="s">
        <v>160</v>
      </c>
      <c r="J1941" s="7" t="s">
        <v>148</v>
      </c>
      <c r="K1941" s="7"/>
      <c r="L1941" s="7"/>
      <c r="M1941" s="7"/>
    </row>
    <row r="1942" ht="15.75" customHeight="1">
      <c r="A1942" s="7" t="s">
        <v>10305</v>
      </c>
      <c r="B1942" s="45" t="s">
        <v>10306</v>
      </c>
      <c r="C1942" s="7" t="s">
        <v>10307</v>
      </c>
      <c r="D1942" s="7" t="s">
        <v>10308</v>
      </c>
      <c r="E1942" s="7" t="s">
        <v>10309</v>
      </c>
      <c r="F1942" s="7" t="s">
        <v>10310</v>
      </c>
      <c r="G1942" s="7"/>
      <c r="H1942" s="46" t="s">
        <v>249</v>
      </c>
      <c r="I1942" s="7" t="s">
        <v>160</v>
      </c>
      <c r="J1942" s="7" t="s">
        <v>148</v>
      </c>
      <c r="K1942" s="7"/>
      <c r="L1942" s="7"/>
      <c r="M1942" s="7"/>
    </row>
    <row r="1943" ht="15.75" customHeight="1">
      <c r="A1943" s="7" t="s">
        <v>10311</v>
      </c>
      <c r="B1943" s="45" t="s">
        <v>10312</v>
      </c>
      <c r="C1943" s="7" t="s">
        <v>10313</v>
      </c>
      <c r="D1943" s="7" t="s">
        <v>10314</v>
      </c>
      <c r="E1943" s="7" t="s">
        <v>10315</v>
      </c>
      <c r="F1943" s="7" t="s">
        <v>10316</v>
      </c>
      <c r="G1943" s="7"/>
      <c r="H1943" s="46" t="s">
        <v>249</v>
      </c>
      <c r="I1943" s="7" t="s">
        <v>160</v>
      </c>
      <c r="J1943" s="7" t="s">
        <v>148</v>
      </c>
      <c r="K1943" s="7"/>
      <c r="L1943" s="7"/>
      <c r="M1943" s="7"/>
    </row>
    <row r="1944" ht="15.75" customHeight="1">
      <c r="A1944" s="7" t="s">
        <v>10317</v>
      </c>
      <c r="B1944" s="45" t="s">
        <v>10318</v>
      </c>
      <c r="C1944" s="7" t="s">
        <v>10319</v>
      </c>
      <c r="D1944" s="7" t="s">
        <v>10320</v>
      </c>
      <c r="E1944" s="7" t="s">
        <v>10321</v>
      </c>
      <c r="F1944" s="7" t="s">
        <v>10322</v>
      </c>
      <c r="G1944" s="7"/>
      <c r="H1944" s="46" t="s">
        <v>249</v>
      </c>
      <c r="I1944" s="7" t="s">
        <v>160</v>
      </c>
      <c r="J1944" s="7" t="s">
        <v>148</v>
      </c>
      <c r="K1944" s="7"/>
      <c r="L1944" s="7"/>
      <c r="M1944" s="7"/>
    </row>
    <row r="1945" ht="15.75" customHeight="1">
      <c r="A1945" s="7" t="s">
        <v>10323</v>
      </c>
      <c r="B1945" s="45" t="s">
        <v>10324</v>
      </c>
      <c r="C1945" s="7" t="s">
        <v>10295</v>
      </c>
      <c r="D1945" s="7" t="s">
        <v>10325</v>
      </c>
      <c r="E1945" s="7" t="s">
        <v>10326</v>
      </c>
      <c r="F1945" s="7" t="s">
        <v>10298</v>
      </c>
      <c r="G1945" s="7"/>
      <c r="H1945" s="46" t="s">
        <v>249</v>
      </c>
      <c r="I1945" s="7" t="s">
        <v>160</v>
      </c>
      <c r="J1945" s="7" t="s">
        <v>148</v>
      </c>
      <c r="K1945" s="7"/>
      <c r="L1945" s="7"/>
      <c r="M1945" s="7"/>
    </row>
    <row r="1946" ht="15.75" customHeight="1">
      <c r="A1946" s="7" t="s">
        <v>10327</v>
      </c>
      <c r="B1946" s="45" t="s">
        <v>10328</v>
      </c>
      <c r="C1946" s="7" t="s">
        <v>10295</v>
      </c>
      <c r="D1946" s="7" t="s">
        <v>10329</v>
      </c>
      <c r="E1946" s="7" t="s">
        <v>10330</v>
      </c>
      <c r="F1946" s="7" t="s">
        <v>7037</v>
      </c>
      <c r="G1946" s="7"/>
      <c r="H1946" s="46" t="s">
        <v>249</v>
      </c>
      <c r="I1946" s="7" t="s">
        <v>160</v>
      </c>
      <c r="J1946" s="7" t="s">
        <v>148</v>
      </c>
      <c r="K1946" s="7"/>
      <c r="L1946" s="7"/>
      <c r="M1946" s="7"/>
    </row>
    <row r="1947" ht="15.75" customHeight="1">
      <c r="A1947" s="7" t="s">
        <v>10331</v>
      </c>
      <c r="B1947" s="45" t="s">
        <v>10332</v>
      </c>
      <c r="C1947" s="7" t="s">
        <v>7034</v>
      </c>
      <c r="D1947" s="7" t="s">
        <v>7035</v>
      </c>
      <c r="E1947" s="7" t="s">
        <v>7036</v>
      </c>
      <c r="F1947" s="7" t="s">
        <v>7037</v>
      </c>
      <c r="G1947" s="7"/>
      <c r="H1947" s="46" t="s">
        <v>249</v>
      </c>
      <c r="I1947" s="7" t="s">
        <v>160</v>
      </c>
      <c r="J1947" s="7" t="s">
        <v>148</v>
      </c>
      <c r="K1947" s="7"/>
      <c r="L1947" s="7"/>
      <c r="M1947" s="7"/>
    </row>
    <row r="1948" ht="15.75" customHeight="1">
      <c r="A1948" s="7" t="s">
        <v>10333</v>
      </c>
      <c r="B1948" s="45" t="s">
        <v>10334</v>
      </c>
      <c r="C1948" s="7" t="s">
        <v>10335</v>
      </c>
      <c r="D1948" s="7" t="s">
        <v>10336</v>
      </c>
      <c r="E1948" s="7" t="s">
        <v>10337</v>
      </c>
      <c r="F1948" s="7" t="s">
        <v>10338</v>
      </c>
      <c r="G1948" s="7"/>
      <c r="H1948" s="46" t="s">
        <v>249</v>
      </c>
      <c r="I1948" s="7" t="s">
        <v>160</v>
      </c>
      <c r="J1948" s="7" t="s">
        <v>148</v>
      </c>
      <c r="K1948" s="7"/>
      <c r="L1948" s="7"/>
      <c r="M1948" s="7"/>
    </row>
    <row r="1949" ht="15.75" customHeight="1">
      <c r="A1949" s="7" t="s">
        <v>10339</v>
      </c>
      <c r="B1949" s="45" t="s">
        <v>10340</v>
      </c>
      <c r="C1949" s="7" t="s">
        <v>10341</v>
      </c>
      <c r="D1949" s="7" t="s">
        <v>10342</v>
      </c>
      <c r="E1949" s="7" t="s">
        <v>10343</v>
      </c>
      <c r="F1949" s="7" t="s">
        <v>10344</v>
      </c>
      <c r="G1949" s="7"/>
      <c r="H1949" s="46" t="s">
        <v>249</v>
      </c>
      <c r="I1949" s="7" t="s">
        <v>160</v>
      </c>
      <c r="J1949" s="7" t="s">
        <v>148</v>
      </c>
      <c r="K1949" s="7"/>
      <c r="L1949" s="7"/>
      <c r="M1949" s="7"/>
    </row>
    <row r="1950" ht="15.75" customHeight="1">
      <c r="A1950" s="7" t="s">
        <v>10345</v>
      </c>
      <c r="B1950" s="45" t="s">
        <v>10346</v>
      </c>
      <c r="C1950" s="7" t="s">
        <v>10347</v>
      </c>
      <c r="D1950" s="7" t="s">
        <v>10348</v>
      </c>
      <c r="E1950" s="7" t="s">
        <v>4727</v>
      </c>
      <c r="F1950" s="7" t="s">
        <v>4728</v>
      </c>
      <c r="G1950" s="7" t="s">
        <v>10349</v>
      </c>
      <c r="H1950" s="46" t="s">
        <v>249</v>
      </c>
      <c r="I1950" s="7" t="s">
        <v>160</v>
      </c>
      <c r="J1950" s="7" t="s">
        <v>148</v>
      </c>
      <c r="K1950" s="7"/>
      <c r="L1950" s="7"/>
      <c r="M1950" s="7"/>
    </row>
    <row r="1951" ht="15.75" customHeight="1">
      <c r="A1951" s="7" t="s">
        <v>10350</v>
      </c>
      <c r="B1951" s="45" t="s">
        <v>10351</v>
      </c>
      <c r="C1951" s="7" t="s">
        <v>10352</v>
      </c>
      <c r="D1951" s="7" t="s">
        <v>10353</v>
      </c>
      <c r="E1951" s="7" t="s">
        <v>10354</v>
      </c>
      <c r="F1951" s="7" t="s">
        <v>10355</v>
      </c>
      <c r="G1951" s="7"/>
      <c r="H1951" s="46" t="s">
        <v>249</v>
      </c>
      <c r="I1951" s="7" t="s">
        <v>160</v>
      </c>
      <c r="J1951" s="7" t="s">
        <v>148</v>
      </c>
      <c r="K1951" s="7"/>
      <c r="L1951" s="7"/>
      <c r="M1951" s="7"/>
    </row>
    <row r="1952" ht="15.75" customHeight="1">
      <c r="A1952" s="7" t="s">
        <v>10356</v>
      </c>
      <c r="B1952" s="45" t="s">
        <v>10357</v>
      </c>
      <c r="C1952" s="7" t="s">
        <v>10358</v>
      </c>
      <c r="D1952" s="7" t="s">
        <v>10359</v>
      </c>
      <c r="E1952" s="7" t="s">
        <v>10360</v>
      </c>
      <c r="F1952" s="7" t="s">
        <v>10361</v>
      </c>
      <c r="G1952" s="7"/>
      <c r="H1952" s="46" t="s">
        <v>249</v>
      </c>
      <c r="I1952" s="7" t="s">
        <v>160</v>
      </c>
      <c r="J1952" s="7" t="s">
        <v>148</v>
      </c>
      <c r="K1952" s="7"/>
      <c r="L1952" s="7"/>
      <c r="M1952" s="7"/>
    </row>
    <row r="1953" ht="15.75" customHeight="1">
      <c r="A1953" s="7" t="s">
        <v>10362</v>
      </c>
      <c r="B1953" s="45" t="s">
        <v>10363</v>
      </c>
      <c r="C1953" s="7" t="s">
        <v>10364</v>
      </c>
      <c r="D1953" s="7" t="s">
        <v>10365</v>
      </c>
      <c r="E1953" s="7" t="s">
        <v>10366</v>
      </c>
      <c r="F1953" s="7" t="s">
        <v>10367</v>
      </c>
      <c r="G1953" s="7"/>
      <c r="H1953" s="46" t="s">
        <v>249</v>
      </c>
      <c r="I1953" s="7" t="s">
        <v>160</v>
      </c>
      <c r="J1953" s="7" t="s">
        <v>148</v>
      </c>
      <c r="K1953" s="7"/>
      <c r="L1953" s="7"/>
      <c r="M1953" s="7"/>
    </row>
    <row r="1954" ht="15.75" customHeight="1">
      <c r="A1954" s="7" t="s">
        <v>10368</v>
      </c>
      <c r="B1954" s="45" t="s">
        <v>10369</v>
      </c>
      <c r="C1954" s="7" t="s">
        <v>10370</v>
      </c>
      <c r="D1954" s="7" t="s">
        <v>10371</v>
      </c>
      <c r="E1954" s="7" t="s">
        <v>10372</v>
      </c>
      <c r="F1954" s="7" t="s">
        <v>10373</v>
      </c>
      <c r="G1954" s="7"/>
      <c r="H1954" s="46" t="s">
        <v>249</v>
      </c>
      <c r="I1954" s="7" t="s">
        <v>160</v>
      </c>
      <c r="J1954" s="7" t="s">
        <v>148</v>
      </c>
      <c r="K1954" s="7"/>
      <c r="L1954" s="7"/>
      <c r="M1954" s="7"/>
    </row>
    <row r="1955" ht="15.75" customHeight="1">
      <c r="A1955" s="7" t="s">
        <v>10374</v>
      </c>
      <c r="B1955" s="45" t="s">
        <v>10375</v>
      </c>
      <c r="C1955" s="7" t="s">
        <v>10376</v>
      </c>
      <c r="D1955" s="7" t="s">
        <v>10377</v>
      </c>
      <c r="E1955" s="7" t="s">
        <v>10378</v>
      </c>
      <c r="F1955" s="7" t="s">
        <v>10379</v>
      </c>
      <c r="G1955" s="7"/>
      <c r="H1955" s="46" t="s">
        <v>249</v>
      </c>
      <c r="I1955" s="7" t="s">
        <v>160</v>
      </c>
      <c r="J1955" s="7" t="s">
        <v>148</v>
      </c>
      <c r="K1955" s="7"/>
      <c r="L1955" s="7"/>
      <c r="M1955" s="7"/>
    </row>
    <row r="1956" ht="15.75" customHeight="1">
      <c r="A1956" s="7" t="s">
        <v>10380</v>
      </c>
      <c r="B1956" s="45" t="s">
        <v>10381</v>
      </c>
      <c r="C1956" s="7" t="s">
        <v>10376</v>
      </c>
      <c r="D1956" s="7" t="s">
        <v>10382</v>
      </c>
      <c r="E1956" s="7" t="s">
        <v>10378</v>
      </c>
      <c r="F1956" s="7" t="s">
        <v>10379</v>
      </c>
      <c r="G1956" s="7"/>
      <c r="H1956" s="46" t="s">
        <v>249</v>
      </c>
      <c r="I1956" s="7" t="s">
        <v>160</v>
      </c>
      <c r="J1956" s="7" t="s">
        <v>148</v>
      </c>
      <c r="K1956" s="7"/>
      <c r="L1956" s="7"/>
      <c r="M1956" s="7"/>
    </row>
    <row r="1957" ht="15.75" customHeight="1">
      <c r="A1957" s="7" t="s">
        <v>10383</v>
      </c>
      <c r="B1957" s="45" t="s">
        <v>10384</v>
      </c>
      <c r="C1957" s="7" t="s">
        <v>10385</v>
      </c>
      <c r="D1957" s="7" t="s">
        <v>10386</v>
      </c>
      <c r="E1957" s="7" t="s">
        <v>10387</v>
      </c>
      <c r="F1957" s="7" t="s">
        <v>3219</v>
      </c>
      <c r="G1957" s="7"/>
      <c r="H1957" s="46" t="s">
        <v>249</v>
      </c>
      <c r="I1957" s="7" t="s">
        <v>160</v>
      </c>
      <c r="J1957" s="7" t="s">
        <v>148</v>
      </c>
      <c r="K1957" s="7"/>
      <c r="L1957" s="7"/>
      <c r="M1957" s="7"/>
    </row>
    <row r="1958" ht="15.75" customHeight="1">
      <c r="A1958" s="7" t="s">
        <v>10388</v>
      </c>
      <c r="B1958" s="45" t="s">
        <v>10389</v>
      </c>
      <c r="C1958" s="7" t="s">
        <v>10390</v>
      </c>
      <c r="D1958" s="7" t="s">
        <v>3187</v>
      </c>
      <c r="E1958" s="7" t="s">
        <v>10391</v>
      </c>
      <c r="F1958" s="7" t="s">
        <v>3189</v>
      </c>
      <c r="G1958" s="7" t="s">
        <v>10392</v>
      </c>
      <c r="H1958" s="46" t="s">
        <v>249</v>
      </c>
      <c r="I1958" s="7" t="s">
        <v>160</v>
      </c>
      <c r="J1958" s="7" t="s">
        <v>148</v>
      </c>
      <c r="K1958" s="7"/>
      <c r="L1958" s="7"/>
      <c r="M1958" s="7"/>
    </row>
    <row r="1959" ht="15.75" customHeight="1">
      <c r="A1959" s="7" t="s">
        <v>10393</v>
      </c>
      <c r="B1959" s="45" t="s">
        <v>10394</v>
      </c>
      <c r="C1959" s="7" t="s">
        <v>10395</v>
      </c>
      <c r="D1959" s="7" t="s">
        <v>2825</v>
      </c>
      <c r="E1959" s="7" t="s">
        <v>2826</v>
      </c>
      <c r="F1959" s="7" t="s">
        <v>2827</v>
      </c>
      <c r="G1959" s="7"/>
      <c r="H1959" s="46" t="s">
        <v>249</v>
      </c>
      <c r="I1959" s="7" t="s">
        <v>160</v>
      </c>
      <c r="J1959" s="7" t="s">
        <v>148</v>
      </c>
      <c r="K1959" s="7"/>
      <c r="L1959" s="7"/>
      <c r="M1959" s="7"/>
    </row>
    <row r="1960" ht="15.75" customHeight="1">
      <c r="A1960" s="7" t="s">
        <v>10396</v>
      </c>
      <c r="B1960" s="45" t="s">
        <v>10397</v>
      </c>
      <c r="C1960" s="7" t="s">
        <v>10398</v>
      </c>
      <c r="D1960" s="7" t="s">
        <v>10399</v>
      </c>
      <c r="E1960" s="7" t="s">
        <v>10400</v>
      </c>
      <c r="F1960" s="7" t="s">
        <v>10401</v>
      </c>
      <c r="G1960" s="7"/>
      <c r="H1960" s="46" t="s">
        <v>249</v>
      </c>
      <c r="I1960" s="7" t="s">
        <v>160</v>
      </c>
      <c r="J1960" s="7" t="s">
        <v>148</v>
      </c>
      <c r="K1960" s="7"/>
      <c r="L1960" s="7"/>
      <c r="M1960" s="7"/>
    </row>
    <row r="1961" ht="15.75" customHeight="1">
      <c r="A1961" s="7" t="s">
        <v>10402</v>
      </c>
      <c r="B1961" s="45" t="s">
        <v>10403</v>
      </c>
      <c r="C1961" s="7" t="s">
        <v>10404</v>
      </c>
      <c r="D1961" s="7" t="s">
        <v>10405</v>
      </c>
      <c r="E1961" s="7" t="s">
        <v>10406</v>
      </c>
      <c r="F1961" s="7" t="s">
        <v>10407</v>
      </c>
      <c r="G1961" s="7"/>
      <c r="H1961" s="46" t="s">
        <v>249</v>
      </c>
      <c r="I1961" s="7" t="s">
        <v>160</v>
      </c>
      <c r="J1961" s="7" t="s">
        <v>148</v>
      </c>
      <c r="K1961" s="7"/>
      <c r="L1961" s="7"/>
      <c r="M1961" s="7"/>
    </row>
    <row r="1962" ht="15.75" customHeight="1">
      <c r="A1962" s="7" t="s">
        <v>10408</v>
      </c>
      <c r="B1962" s="45" t="s">
        <v>10409</v>
      </c>
      <c r="C1962" s="7" t="s">
        <v>10410</v>
      </c>
      <c r="D1962" s="7" t="s">
        <v>10411</v>
      </c>
      <c r="E1962" s="7" t="s">
        <v>10412</v>
      </c>
      <c r="F1962" s="7" t="s">
        <v>10413</v>
      </c>
      <c r="G1962" s="7"/>
      <c r="H1962" s="46" t="s">
        <v>249</v>
      </c>
      <c r="I1962" s="7" t="s">
        <v>160</v>
      </c>
      <c r="J1962" s="7" t="s">
        <v>148</v>
      </c>
      <c r="K1962" s="7"/>
      <c r="L1962" s="7"/>
      <c r="M1962" s="7"/>
    </row>
    <row r="1963" ht="15.75" customHeight="1">
      <c r="A1963" s="7" t="s">
        <v>10414</v>
      </c>
      <c r="B1963" s="45" t="s">
        <v>10415</v>
      </c>
      <c r="C1963" s="7" t="s">
        <v>3785</v>
      </c>
      <c r="D1963" s="7" t="s">
        <v>10416</v>
      </c>
      <c r="E1963" s="7" t="s">
        <v>10417</v>
      </c>
      <c r="F1963" s="7" t="s">
        <v>3788</v>
      </c>
      <c r="G1963" s="7"/>
      <c r="H1963" s="46" t="s">
        <v>249</v>
      </c>
      <c r="I1963" s="7" t="s">
        <v>160</v>
      </c>
      <c r="J1963" s="7" t="s">
        <v>148</v>
      </c>
      <c r="K1963" s="7"/>
      <c r="L1963" s="7"/>
      <c r="M1963" s="7"/>
    </row>
    <row r="1964" ht="15.75" customHeight="1">
      <c r="A1964" s="7" t="s">
        <v>10418</v>
      </c>
      <c r="B1964" s="45" t="s">
        <v>10419</v>
      </c>
      <c r="C1964" s="7" t="s">
        <v>10420</v>
      </c>
      <c r="D1964" s="7" t="s">
        <v>10421</v>
      </c>
      <c r="E1964" s="7" t="s">
        <v>10422</v>
      </c>
      <c r="F1964" s="7" t="s">
        <v>10423</v>
      </c>
      <c r="G1964" s="7"/>
      <c r="H1964" s="46" t="s">
        <v>249</v>
      </c>
      <c r="I1964" s="7" t="s">
        <v>160</v>
      </c>
      <c r="J1964" s="7" t="s">
        <v>148</v>
      </c>
      <c r="K1964" s="7"/>
      <c r="L1964" s="7"/>
      <c r="M1964" s="7"/>
    </row>
    <row r="1965" ht="15.75" customHeight="1">
      <c r="A1965" s="7" t="s">
        <v>10424</v>
      </c>
      <c r="B1965" s="45" t="s">
        <v>10425</v>
      </c>
      <c r="C1965" s="7" t="s">
        <v>10420</v>
      </c>
      <c r="D1965" s="7" t="s">
        <v>10426</v>
      </c>
      <c r="E1965" s="7" t="s">
        <v>10427</v>
      </c>
      <c r="F1965" s="7" t="s">
        <v>10428</v>
      </c>
      <c r="G1965" s="7"/>
      <c r="H1965" s="46" t="s">
        <v>249</v>
      </c>
      <c r="I1965" s="7" t="s">
        <v>160</v>
      </c>
      <c r="J1965" s="7" t="s">
        <v>148</v>
      </c>
      <c r="K1965" s="7"/>
      <c r="L1965" s="7"/>
      <c r="M1965" s="7"/>
    </row>
    <row r="1966" ht="15.75" customHeight="1">
      <c r="A1966" s="7" t="s">
        <v>10429</v>
      </c>
      <c r="B1966" s="45" t="s">
        <v>10430</v>
      </c>
      <c r="C1966" s="7" t="s">
        <v>10420</v>
      </c>
      <c r="D1966" s="7" t="s">
        <v>10431</v>
      </c>
      <c r="E1966" s="7" t="s">
        <v>10432</v>
      </c>
      <c r="F1966" s="7" t="s">
        <v>10423</v>
      </c>
      <c r="G1966" s="7"/>
      <c r="H1966" s="46" t="s">
        <v>249</v>
      </c>
      <c r="I1966" s="7" t="s">
        <v>160</v>
      </c>
      <c r="J1966" s="7" t="s">
        <v>148</v>
      </c>
      <c r="K1966" s="7"/>
      <c r="L1966" s="7"/>
      <c r="M1966" s="7"/>
    </row>
    <row r="1967" ht="15.75" customHeight="1">
      <c r="A1967" s="7" t="s">
        <v>10433</v>
      </c>
      <c r="B1967" s="45" t="s">
        <v>10434</v>
      </c>
      <c r="C1967" s="7" t="s">
        <v>10435</v>
      </c>
      <c r="D1967" s="7" t="s">
        <v>10436</v>
      </c>
      <c r="E1967" s="7" t="s">
        <v>10437</v>
      </c>
      <c r="F1967" s="7" t="s">
        <v>10438</v>
      </c>
      <c r="G1967" s="7"/>
      <c r="H1967" s="46" t="s">
        <v>249</v>
      </c>
      <c r="I1967" s="7" t="s">
        <v>160</v>
      </c>
      <c r="J1967" s="7" t="s">
        <v>148</v>
      </c>
      <c r="K1967" s="7"/>
      <c r="L1967" s="7"/>
      <c r="M1967" s="7"/>
    </row>
    <row r="1968" ht="15.75" customHeight="1">
      <c r="A1968" s="7" t="s">
        <v>10439</v>
      </c>
      <c r="B1968" s="45" t="s">
        <v>10440</v>
      </c>
      <c r="C1968" s="7" t="s">
        <v>10441</v>
      </c>
      <c r="D1968" s="7" t="s">
        <v>10442</v>
      </c>
      <c r="E1968" s="7" t="s">
        <v>10443</v>
      </c>
      <c r="F1968" s="7" t="s">
        <v>10444</v>
      </c>
      <c r="G1968" s="7"/>
      <c r="H1968" s="46" t="s">
        <v>249</v>
      </c>
      <c r="I1968" s="7" t="s">
        <v>160</v>
      </c>
      <c r="J1968" s="7" t="s">
        <v>148</v>
      </c>
      <c r="K1968" s="7"/>
      <c r="L1968" s="7"/>
      <c r="M1968" s="7"/>
    </row>
    <row r="1969" ht="15.75" customHeight="1">
      <c r="A1969" s="7" t="s">
        <v>10445</v>
      </c>
      <c r="B1969" s="45" t="s">
        <v>10446</v>
      </c>
      <c r="C1969" s="7" t="s">
        <v>10441</v>
      </c>
      <c r="D1969" s="7" t="s">
        <v>10447</v>
      </c>
      <c r="E1969" s="7" t="s">
        <v>10448</v>
      </c>
      <c r="F1969" s="7" t="s">
        <v>10444</v>
      </c>
      <c r="G1969" s="7"/>
      <c r="H1969" s="46" t="s">
        <v>249</v>
      </c>
      <c r="I1969" s="7" t="s">
        <v>160</v>
      </c>
      <c r="J1969" s="7" t="s">
        <v>148</v>
      </c>
      <c r="K1969" s="7"/>
      <c r="L1969" s="7"/>
      <c r="M1969" s="7"/>
    </row>
    <row r="1970" ht="15.75" customHeight="1">
      <c r="A1970" s="7" t="s">
        <v>10449</v>
      </c>
      <c r="B1970" s="45" t="s">
        <v>10450</v>
      </c>
      <c r="C1970" s="7" t="s">
        <v>10451</v>
      </c>
      <c r="D1970" s="7" t="s">
        <v>10452</v>
      </c>
      <c r="E1970" s="7" t="s">
        <v>10453</v>
      </c>
      <c r="F1970" s="7" t="s">
        <v>10454</v>
      </c>
      <c r="G1970" s="7"/>
      <c r="H1970" s="46" t="s">
        <v>249</v>
      </c>
      <c r="I1970" s="7" t="s">
        <v>160</v>
      </c>
      <c r="J1970" s="7" t="s">
        <v>148</v>
      </c>
      <c r="K1970" s="7"/>
      <c r="L1970" s="7"/>
      <c r="M1970" s="7"/>
    </row>
    <row r="1971" ht="15.75" customHeight="1">
      <c r="A1971" s="7" t="s">
        <v>10455</v>
      </c>
      <c r="B1971" s="45" t="s">
        <v>10456</v>
      </c>
      <c r="C1971" s="7" t="s">
        <v>10451</v>
      </c>
      <c r="D1971" s="7" t="s">
        <v>10457</v>
      </c>
      <c r="E1971" s="7" t="s">
        <v>10458</v>
      </c>
      <c r="F1971" s="7" t="s">
        <v>10454</v>
      </c>
      <c r="G1971" s="7"/>
      <c r="H1971" s="46" t="s">
        <v>249</v>
      </c>
      <c r="I1971" s="7" t="s">
        <v>160</v>
      </c>
      <c r="J1971" s="7" t="s">
        <v>148</v>
      </c>
      <c r="K1971" s="7"/>
      <c r="L1971" s="7"/>
      <c r="M1971" s="7"/>
    </row>
    <row r="1972" ht="15.75" customHeight="1">
      <c r="A1972" s="7" t="s">
        <v>10459</v>
      </c>
      <c r="B1972" s="45" t="s">
        <v>10460</v>
      </c>
      <c r="C1972" s="7" t="s">
        <v>10461</v>
      </c>
      <c r="D1972" s="7" t="s">
        <v>10462</v>
      </c>
      <c r="E1972" s="7" t="s">
        <v>10463</v>
      </c>
      <c r="F1972" s="7" t="s">
        <v>10454</v>
      </c>
      <c r="G1972" s="7"/>
      <c r="H1972" s="46" t="s">
        <v>249</v>
      </c>
      <c r="I1972" s="7" t="s">
        <v>160</v>
      </c>
      <c r="J1972" s="7" t="s">
        <v>148</v>
      </c>
      <c r="K1972" s="7"/>
      <c r="L1972" s="7"/>
      <c r="M1972" s="7"/>
    </row>
    <row r="1973" ht="15.75" customHeight="1">
      <c r="A1973" s="7" t="s">
        <v>10464</v>
      </c>
      <c r="B1973" s="45" t="s">
        <v>10465</v>
      </c>
      <c r="C1973" s="7" t="s">
        <v>10466</v>
      </c>
      <c r="D1973" s="7" t="s">
        <v>10467</v>
      </c>
      <c r="E1973" s="7" t="s">
        <v>10448</v>
      </c>
      <c r="F1973" s="7" t="s">
        <v>10444</v>
      </c>
      <c r="G1973" s="7" t="s">
        <v>10468</v>
      </c>
      <c r="H1973" s="46" t="s">
        <v>249</v>
      </c>
      <c r="I1973" s="7" t="s">
        <v>160</v>
      </c>
      <c r="J1973" s="7" t="s">
        <v>148</v>
      </c>
      <c r="K1973" s="7"/>
      <c r="L1973" s="7"/>
      <c r="M1973" s="7"/>
    </row>
    <row r="1974" ht="15.75" customHeight="1">
      <c r="A1974" s="7" t="s">
        <v>10469</v>
      </c>
      <c r="B1974" s="45" t="s">
        <v>10470</v>
      </c>
      <c r="C1974" s="7" t="s">
        <v>10451</v>
      </c>
      <c r="D1974" s="7" t="s">
        <v>10471</v>
      </c>
      <c r="E1974" s="7" t="s">
        <v>10472</v>
      </c>
      <c r="F1974" s="7" t="s">
        <v>10454</v>
      </c>
      <c r="G1974" s="7"/>
      <c r="H1974" s="46" t="s">
        <v>249</v>
      </c>
      <c r="I1974" s="7" t="s">
        <v>160</v>
      </c>
      <c r="J1974" s="7" t="s">
        <v>148</v>
      </c>
      <c r="K1974" s="7"/>
      <c r="L1974" s="7"/>
      <c r="M1974" s="7"/>
    </row>
    <row r="1975" ht="15.75" customHeight="1">
      <c r="A1975" s="7" t="s">
        <v>10473</v>
      </c>
      <c r="B1975" s="45" t="s">
        <v>10474</v>
      </c>
      <c r="C1975" s="7" t="s">
        <v>10475</v>
      </c>
      <c r="D1975" s="7" t="s">
        <v>10476</v>
      </c>
      <c r="E1975" s="7" t="s">
        <v>10477</v>
      </c>
      <c r="F1975" s="7" t="s">
        <v>10478</v>
      </c>
      <c r="G1975" s="7"/>
      <c r="H1975" s="46" t="s">
        <v>249</v>
      </c>
      <c r="I1975" s="7" t="s">
        <v>160</v>
      </c>
      <c r="J1975" s="7" t="s">
        <v>148</v>
      </c>
      <c r="K1975" s="7"/>
      <c r="L1975" s="7"/>
      <c r="M1975" s="7"/>
    </row>
    <row r="1976" ht="15.75" customHeight="1">
      <c r="A1976" s="7" t="s">
        <v>10479</v>
      </c>
      <c r="B1976" s="45" t="s">
        <v>10480</v>
      </c>
      <c r="C1976" s="7" t="s">
        <v>10481</v>
      </c>
      <c r="D1976" s="7" t="s">
        <v>10482</v>
      </c>
      <c r="E1976" s="7" t="s">
        <v>10483</v>
      </c>
      <c r="F1976" s="7" t="s">
        <v>10484</v>
      </c>
      <c r="G1976" s="7"/>
      <c r="H1976" s="46" t="s">
        <v>249</v>
      </c>
      <c r="I1976" s="7" t="s">
        <v>160</v>
      </c>
      <c r="J1976" s="7" t="s">
        <v>148</v>
      </c>
      <c r="K1976" s="7"/>
      <c r="L1976" s="7"/>
      <c r="M1976" s="7"/>
    </row>
    <row r="1977" ht="15.75" customHeight="1">
      <c r="A1977" s="7" t="s">
        <v>10485</v>
      </c>
      <c r="B1977" s="45" t="s">
        <v>10486</v>
      </c>
      <c r="C1977" s="7" t="s">
        <v>10481</v>
      </c>
      <c r="D1977" s="7" t="s">
        <v>10487</v>
      </c>
      <c r="E1977" s="7" t="s">
        <v>10488</v>
      </c>
      <c r="F1977" s="7" t="s">
        <v>10489</v>
      </c>
      <c r="G1977" s="7"/>
      <c r="H1977" s="46" t="s">
        <v>249</v>
      </c>
      <c r="I1977" s="7" t="s">
        <v>160</v>
      </c>
      <c r="J1977" s="7" t="s">
        <v>148</v>
      </c>
      <c r="K1977" s="7"/>
      <c r="L1977" s="7"/>
      <c r="M1977" s="7"/>
    </row>
    <row r="1978" ht="15.75" customHeight="1">
      <c r="A1978" s="7" t="s">
        <v>10490</v>
      </c>
      <c r="B1978" s="45" t="s">
        <v>10491</v>
      </c>
      <c r="C1978" s="7" t="s">
        <v>10481</v>
      </c>
      <c r="D1978" s="7" t="s">
        <v>10492</v>
      </c>
      <c r="E1978" s="7" t="s">
        <v>10493</v>
      </c>
      <c r="F1978" s="7" t="s">
        <v>10494</v>
      </c>
      <c r="G1978" s="7"/>
      <c r="H1978" s="46" t="s">
        <v>249</v>
      </c>
      <c r="I1978" s="7" t="s">
        <v>160</v>
      </c>
      <c r="J1978" s="7" t="s">
        <v>148</v>
      </c>
      <c r="K1978" s="7"/>
      <c r="L1978" s="7"/>
      <c r="M1978" s="7"/>
    </row>
    <row r="1979" ht="15.75" customHeight="1">
      <c r="A1979" s="7" t="s">
        <v>10495</v>
      </c>
      <c r="B1979" s="45" t="s">
        <v>10496</v>
      </c>
      <c r="C1979" s="7" t="s">
        <v>10481</v>
      </c>
      <c r="D1979" s="7" t="s">
        <v>10497</v>
      </c>
      <c r="E1979" s="7" t="s">
        <v>10498</v>
      </c>
      <c r="F1979" s="7" t="s">
        <v>10499</v>
      </c>
      <c r="G1979" s="7"/>
      <c r="H1979" s="46" t="s">
        <v>249</v>
      </c>
      <c r="I1979" s="7" t="s">
        <v>160</v>
      </c>
      <c r="J1979" s="7" t="s">
        <v>148</v>
      </c>
      <c r="K1979" s="7"/>
      <c r="L1979" s="7"/>
      <c r="M1979" s="7"/>
    </row>
    <row r="1980" ht="15.75" customHeight="1">
      <c r="A1980" s="7" t="s">
        <v>10500</v>
      </c>
      <c r="B1980" s="45" t="s">
        <v>10501</v>
      </c>
      <c r="C1980" s="7" t="s">
        <v>10481</v>
      </c>
      <c r="D1980" s="7" t="s">
        <v>10502</v>
      </c>
      <c r="E1980" s="7" t="s">
        <v>10503</v>
      </c>
      <c r="F1980" s="7" t="s">
        <v>10504</v>
      </c>
      <c r="G1980" s="7"/>
      <c r="H1980" s="46" t="s">
        <v>249</v>
      </c>
      <c r="I1980" s="7" t="s">
        <v>160</v>
      </c>
      <c r="J1980" s="7" t="s">
        <v>148</v>
      </c>
      <c r="K1980" s="7"/>
      <c r="L1980" s="7"/>
      <c r="M1980" s="7"/>
    </row>
    <row r="1981" ht="15.75" customHeight="1">
      <c r="A1981" s="7" t="s">
        <v>10505</v>
      </c>
      <c r="B1981" s="45" t="s">
        <v>10506</v>
      </c>
      <c r="C1981" s="7" t="s">
        <v>10481</v>
      </c>
      <c r="D1981" s="7" t="s">
        <v>10507</v>
      </c>
      <c r="E1981" s="7" t="s">
        <v>10508</v>
      </c>
      <c r="F1981" s="7" t="s">
        <v>10509</v>
      </c>
      <c r="G1981" s="7"/>
      <c r="H1981" s="46" t="s">
        <v>249</v>
      </c>
      <c r="I1981" s="7" t="s">
        <v>160</v>
      </c>
      <c r="J1981" s="7" t="s">
        <v>148</v>
      </c>
      <c r="K1981" s="7"/>
      <c r="L1981" s="7"/>
      <c r="M1981" s="7"/>
    </row>
    <row r="1982" ht="15.75" customHeight="1">
      <c r="A1982" s="7" t="s">
        <v>10510</v>
      </c>
      <c r="B1982" s="45" t="s">
        <v>10511</v>
      </c>
      <c r="C1982" s="7" t="s">
        <v>10481</v>
      </c>
      <c r="D1982" s="7" t="s">
        <v>10512</v>
      </c>
      <c r="E1982" s="7" t="s">
        <v>10513</v>
      </c>
      <c r="F1982" s="7" t="s">
        <v>10514</v>
      </c>
      <c r="G1982" s="7"/>
      <c r="H1982" s="46" t="s">
        <v>249</v>
      </c>
      <c r="I1982" s="7" t="s">
        <v>160</v>
      </c>
      <c r="J1982" s="7" t="s">
        <v>148</v>
      </c>
      <c r="K1982" s="7"/>
      <c r="L1982" s="7"/>
      <c r="M1982" s="7"/>
    </row>
    <row r="1983" ht="15.75" customHeight="1">
      <c r="A1983" s="7" t="s">
        <v>10515</v>
      </c>
      <c r="B1983" s="45" t="s">
        <v>10516</v>
      </c>
      <c r="C1983" s="7" t="s">
        <v>10481</v>
      </c>
      <c r="D1983" s="7" t="s">
        <v>10517</v>
      </c>
      <c r="E1983" s="7" t="s">
        <v>10518</v>
      </c>
      <c r="F1983" s="7" t="s">
        <v>10519</v>
      </c>
      <c r="G1983" s="7"/>
      <c r="H1983" s="46" t="s">
        <v>249</v>
      </c>
      <c r="I1983" s="7" t="s">
        <v>160</v>
      </c>
      <c r="J1983" s="7" t="s">
        <v>148</v>
      </c>
      <c r="K1983" s="7"/>
      <c r="L1983" s="7"/>
      <c r="M1983" s="7"/>
    </row>
    <row r="1984" ht="15.75" customHeight="1">
      <c r="A1984" s="7" t="s">
        <v>10520</v>
      </c>
      <c r="B1984" s="45" t="s">
        <v>10521</v>
      </c>
      <c r="C1984" s="7" t="s">
        <v>10481</v>
      </c>
      <c r="D1984" s="7" t="s">
        <v>10522</v>
      </c>
      <c r="E1984" s="7" t="s">
        <v>10523</v>
      </c>
      <c r="F1984" s="7" t="s">
        <v>10524</v>
      </c>
      <c r="G1984" s="7"/>
      <c r="H1984" s="46" t="s">
        <v>249</v>
      </c>
      <c r="I1984" s="7" t="s">
        <v>160</v>
      </c>
      <c r="J1984" s="7" t="s">
        <v>148</v>
      </c>
      <c r="K1984" s="7"/>
      <c r="L1984" s="7"/>
      <c r="M1984" s="7"/>
    </row>
    <row r="1985" ht="15.75" customHeight="1">
      <c r="A1985" s="7" t="s">
        <v>10525</v>
      </c>
      <c r="B1985" s="45" t="s">
        <v>10526</v>
      </c>
      <c r="C1985" s="7" t="s">
        <v>10481</v>
      </c>
      <c r="D1985" s="7" t="s">
        <v>10527</v>
      </c>
      <c r="E1985" s="7" t="s">
        <v>10528</v>
      </c>
      <c r="F1985" s="7" t="s">
        <v>10529</v>
      </c>
      <c r="G1985" s="7"/>
      <c r="H1985" s="46" t="s">
        <v>249</v>
      </c>
      <c r="I1985" s="7" t="s">
        <v>160</v>
      </c>
      <c r="J1985" s="7" t="s">
        <v>148</v>
      </c>
      <c r="K1985" s="7"/>
      <c r="L1985" s="7"/>
      <c r="M1985" s="7"/>
    </row>
    <row r="1986" ht="15.75" customHeight="1">
      <c r="A1986" s="7" t="s">
        <v>10530</v>
      </c>
      <c r="B1986" s="45" t="s">
        <v>10531</v>
      </c>
      <c r="C1986" s="7" t="s">
        <v>10532</v>
      </c>
      <c r="D1986" s="7" t="s">
        <v>10533</v>
      </c>
      <c r="E1986" s="7" t="s">
        <v>10534</v>
      </c>
      <c r="F1986" s="7" t="s">
        <v>10535</v>
      </c>
      <c r="G1986" s="7" t="s">
        <v>10536</v>
      </c>
      <c r="H1986" s="46" t="s">
        <v>249</v>
      </c>
      <c r="I1986" s="7" t="s">
        <v>160</v>
      </c>
      <c r="J1986" s="7" t="s">
        <v>148</v>
      </c>
      <c r="K1986" s="7"/>
      <c r="L1986" s="7"/>
      <c r="M1986" s="7"/>
    </row>
    <row r="1987" ht="15.75" customHeight="1">
      <c r="A1987" s="7" t="s">
        <v>10537</v>
      </c>
      <c r="B1987" s="45" t="s">
        <v>10538</v>
      </c>
      <c r="C1987" s="7" t="s">
        <v>10539</v>
      </c>
      <c r="D1987" s="7" t="s">
        <v>10540</v>
      </c>
      <c r="E1987" s="7" t="s">
        <v>10541</v>
      </c>
      <c r="F1987" s="7" t="s">
        <v>10542</v>
      </c>
      <c r="G1987" s="7"/>
      <c r="H1987" s="46" t="s">
        <v>249</v>
      </c>
      <c r="I1987" s="7" t="s">
        <v>160</v>
      </c>
      <c r="J1987" s="7" t="s">
        <v>148</v>
      </c>
      <c r="K1987" s="7"/>
      <c r="L1987" s="7"/>
      <c r="M1987" s="7"/>
    </row>
    <row r="1988" ht="15.75" customHeight="1">
      <c r="A1988" s="7" t="s">
        <v>10543</v>
      </c>
      <c r="B1988" s="45" t="s">
        <v>10544</v>
      </c>
      <c r="C1988" s="7" t="s">
        <v>10545</v>
      </c>
      <c r="D1988" s="7" t="s">
        <v>10546</v>
      </c>
      <c r="E1988" s="7" t="s">
        <v>10547</v>
      </c>
      <c r="F1988" s="7" t="s">
        <v>10548</v>
      </c>
      <c r="G1988" s="7"/>
      <c r="H1988" s="46" t="s">
        <v>249</v>
      </c>
      <c r="I1988" s="7" t="s">
        <v>160</v>
      </c>
      <c r="J1988" s="7" t="s">
        <v>148</v>
      </c>
      <c r="K1988" s="7"/>
      <c r="L1988" s="7"/>
      <c r="M1988" s="7"/>
    </row>
    <row r="1989" ht="15.75" customHeight="1">
      <c r="A1989" s="7" t="s">
        <v>10549</v>
      </c>
      <c r="B1989" s="45" t="s">
        <v>10550</v>
      </c>
      <c r="C1989" s="7" t="s">
        <v>10551</v>
      </c>
      <c r="D1989" s="7" t="s">
        <v>10552</v>
      </c>
      <c r="E1989" s="7" t="s">
        <v>10553</v>
      </c>
      <c r="F1989" s="7" t="s">
        <v>10548</v>
      </c>
      <c r="G1989" s="7"/>
      <c r="H1989" s="46" t="s">
        <v>249</v>
      </c>
      <c r="I1989" s="7" t="s">
        <v>160</v>
      </c>
      <c r="J1989" s="7" t="s">
        <v>148</v>
      </c>
      <c r="K1989" s="7"/>
      <c r="L1989" s="7"/>
      <c r="M1989" s="7"/>
    </row>
    <row r="1990" ht="15.75" customHeight="1">
      <c r="A1990" s="7" t="s">
        <v>10554</v>
      </c>
      <c r="B1990" s="45" t="s">
        <v>10555</v>
      </c>
      <c r="C1990" s="7" t="s">
        <v>10556</v>
      </c>
      <c r="D1990" s="7" t="s">
        <v>10557</v>
      </c>
      <c r="E1990" s="7" t="s">
        <v>10558</v>
      </c>
      <c r="F1990" s="7" t="s">
        <v>10559</v>
      </c>
      <c r="G1990" s="7"/>
      <c r="H1990" s="46" t="s">
        <v>249</v>
      </c>
      <c r="I1990" s="7" t="s">
        <v>160</v>
      </c>
      <c r="J1990" s="7" t="s">
        <v>148</v>
      </c>
      <c r="K1990" s="7"/>
      <c r="L1990" s="7"/>
      <c r="M1990" s="7"/>
    </row>
    <row r="1991" ht="15.75" customHeight="1">
      <c r="A1991" s="7" t="s">
        <v>10560</v>
      </c>
      <c r="B1991" s="45" t="s">
        <v>10561</v>
      </c>
      <c r="C1991" s="7" t="s">
        <v>10556</v>
      </c>
      <c r="D1991" s="7" t="s">
        <v>10562</v>
      </c>
      <c r="E1991" s="7" t="s">
        <v>10563</v>
      </c>
      <c r="F1991" s="7" t="s">
        <v>10559</v>
      </c>
      <c r="G1991" s="7"/>
      <c r="H1991" s="46" t="s">
        <v>249</v>
      </c>
      <c r="I1991" s="7" t="s">
        <v>160</v>
      </c>
      <c r="J1991" s="7" t="s">
        <v>148</v>
      </c>
      <c r="K1991" s="7"/>
      <c r="L1991" s="7"/>
      <c r="M1991" s="7"/>
    </row>
    <row r="1992" ht="15.75" customHeight="1">
      <c r="A1992" s="7" t="s">
        <v>10564</v>
      </c>
      <c r="B1992" s="45" t="s">
        <v>10565</v>
      </c>
      <c r="C1992" s="7" t="s">
        <v>10566</v>
      </c>
      <c r="D1992" s="7" t="s">
        <v>10567</v>
      </c>
      <c r="E1992" s="7" t="s">
        <v>10568</v>
      </c>
      <c r="F1992" s="7" t="s">
        <v>10559</v>
      </c>
      <c r="G1992" s="7"/>
      <c r="H1992" s="46" t="s">
        <v>249</v>
      </c>
      <c r="I1992" s="7" t="s">
        <v>160</v>
      </c>
      <c r="J1992" s="7" t="s">
        <v>148</v>
      </c>
      <c r="K1992" s="7"/>
      <c r="L1992" s="7"/>
      <c r="M1992" s="7"/>
    </row>
    <row r="1993" ht="15.75" customHeight="1">
      <c r="A1993" s="7" t="s">
        <v>10569</v>
      </c>
      <c r="B1993" s="45" t="s">
        <v>10570</v>
      </c>
      <c r="C1993" s="7" t="s">
        <v>10566</v>
      </c>
      <c r="D1993" s="7" t="s">
        <v>10571</v>
      </c>
      <c r="E1993" s="7" t="s">
        <v>10572</v>
      </c>
      <c r="F1993" s="7" t="s">
        <v>10573</v>
      </c>
      <c r="G1993" s="7"/>
      <c r="H1993" s="46" t="s">
        <v>249</v>
      </c>
      <c r="I1993" s="7" t="s">
        <v>160</v>
      </c>
      <c r="J1993" s="7" t="s">
        <v>148</v>
      </c>
      <c r="K1993" s="7"/>
      <c r="L1993" s="7"/>
      <c r="M1993" s="7"/>
    </row>
    <row r="1994" ht="15.75" customHeight="1">
      <c r="A1994" s="7" t="s">
        <v>10574</v>
      </c>
      <c r="B1994" s="45" t="s">
        <v>10575</v>
      </c>
      <c r="C1994" s="7" t="s">
        <v>10576</v>
      </c>
      <c r="D1994" s="7" t="s">
        <v>10577</v>
      </c>
      <c r="E1994" s="7" t="s">
        <v>10578</v>
      </c>
      <c r="F1994" s="7" t="s">
        <v>10559</v>
      </c>
      <c r="G1994" s="7"/>
      <c r="H1994" s="46" t="s">
        <v>249</v>
      </c>
      <c r="I1994" s="7" t="s">
        <v>160</v>
      </c>
      <c r="J1994" s="7" t="s">
        <v>148</v>
      </c>
      <c r="K1994" s="7"/>
      <c r="L1994" s="7"/>
      <c r="M1994" s="7"/>
    </row>
    <row r="1995" ht="15.75" customHeight="1">
      <c r="A1995" s="7" t="s">
        <v>10579</v>
      </c>
      <c r="B1995" s="45" t="s">
        <v>10580</v>
      </c>
      <c r="C1995" s="7" t="s">
        <v>10581</v>
      </c>
      <c r="D1995" s="7" t="s">
        <v>10582</v>
      </c>
      <c r="E1995" s="7" t="s">
        <v>10583</v>
      </c>
      <c r="F1995" s="7" t="s">
        <v>10559</v>
      </c>
      <c r="G1995" s="7"/>
      <c r="H1995" s="46" t="s">
        <v>249</v>
      </c>
      <c r="I1995" s="7" t="s">
        <v>160</v>
      </c>
      <c r="J1995" s="7" t="s">
        <v>148</v>
      </c>
      <c r="K1995" s="7"/>
      <c r="L1995" s="7"/>
      <c r="M1995" s="7"/>
    </row>
    <row r="1996" ht="15.75" customHeight="1">
      <c r="A1996" s="7" t="s">
        <v>10584</v>
      </c>
      <c r="B1996" s="45" t="s">
        <v>10585</v>
      </c>
      <c r="C1996" s="7" t="s">
        <v>10556</v>
      </c>
      <c r="D1996" s="7" t="s">
        <v>10586</v>
      </c>
      <c r="E1996" s="7" t="s">
        <v>10568</v>
      </c>
      <c r="F1996" s="7" t="s">
        <v>10587</v>
      </c>
      <c r="G1996" s="7"/>
      <c r="H1996" s="46" t="s">
        <v>249</v>
      </c>
      <c r="I1996" s="7" t="s">
        <v>160</v>
      </c>
      <c r="J1996" s="7" t="s">
        <v>148</v>
      </c>
      <c r="K1996" s="7"/>
      <c r="L1996" s="7"/>
      <c r="M1996" s="7"/>
    </row>
    <row r="1997" ht="15.75" customHeight="1">
      <c r="A1997" s="7" t="s">
        <v>10588</v>
      </c>
      <c r="B1997" s="45" t="s">
        <v>10589</v>
      </c>
      <c r="C1997" s="7" t="s">
        <v>10590</v>
      </c>
      <c r="D1997" s="7" t="s">
        <v>10591</v>
      </c>
      <c r="E1997" s="7" t="s">
        <v>10592</v>
      </c>
      <c r="F1997" s="7" t="s">
        <v>10593</v>
      </c>
      <c r="G1997" s="7"/>
      <c r="H1997" s="46" t="s">
        <v>249</v>
      </c>
      <c r="I1997" s="7" t="s">
        <v>160</v>
      </c>
      <c r="J1997" s="7" t="s">
        <v>148</v>
      </c>
      <c r="K1997" s="7"/>
      <c r="L1997" s="7"/>
      <c r="M1997" s="7"/>
    </row>
    <row r="1998" ht="15.75" customHeight="1">
      <c r="A1998" s="7" t="s">
        <v>10594</v>
      </c>
      <c r="B1998" s="45" t="s">
        <v>10595</v>
      </c>
      <c r="C1998" s="7" t="s">
        <v>10590</v>
      </c>
      <c r="D1998" s="7" t="s">
        <v>10596</v>
      </c>
      <c r="E1998" s="7" t="s">
        <v>10597</v>
      </c>
      <c r="F1998" s="7" t="s">
        <v>10559</v>
      </c>
      <c r="G1998" s="7"/>
      <c r="H1998" s="46" t="s">
        <v>249</v>
      </c>
      <c r="I1998" s="7" t="s">
        <v>160</v>
      </c>
      <c r="J1998" s="7" t="s">
        <v>148</v>
      </c>
      <c r="K1998" s="7"/>
      <c r="L1998" s="7"/>
      <c r="M1998" s="7"/>
    </row>
    <row r="1999" ht="15.75" customHeight="1">
      <c r="A1999" s="7" t="s">
        <v>10598</v>
      </c>
      <c r="B1999" s="45" t="s">
        <v>10599</v>
      </c>
      <c r="C1999" s="7" t="s">
        <v>10600</v>
      </c>
      <c r="D1999" s="7" t="s">
        <v>10601</v>
      </c>
      <c r="E1999" s="7" t="s">
        <v>10602</v>
      </c>
      <c r="F1999" s="7" t="s">
        <v>10603</v>
      </c>
      <c r="G1999" s="7"/>
      <c r="H1999" s="46" t="s">
        <v>249</v>
      </c>
      <c r="I1999" s="7" t="s">
        <v>160</v>
      </c>
      <c r="J1999" s="7" t="s">
        <v>148</v>
      </c>
      <c r="K1999" s="7"/>
      <c r="L1999" s="7"/>
      <c r="M1999" s="7"/>
    </row>
    <row r="2000" ht="15.75" customHeight="1">
      <c r="A2000" s="7" t="s">
        <v>10604</v>
      </c>
      <c r="B2000" s="45" t="s">
        <v>10605</v>
      </c>
      <c r="C2000" s="7" t="s">
        <v>10590</v>
      </c>
      <c r="D2000" s="7" t="s">
        <v>10606</v>
      </c>
      <c r="E2000" s="7" t="s">
        <v>10607</v>
      </c>
      <c r="F2000" s="7" t="s">
        <v>10608</v>
      </c>
      <c r="G2000" s="7"/>
      <c r="H2000" s="46" t="s">
        <v>249</v>
      </c>
      <c r="I2000" s="7" t="s">
        <v>160</v>
      </c>
      <c r="J2000" s="7" t="s">
        <v>148</v>
      </c>
      <c r="K2000" s="7"/>
      <c r="L2000" s="7"/>
      <c r="M2000" s="7"/>
    </row>
    <row r="2001" ht="15.75" customHeight="1">
      <c r="A2001" s="7" t="s">
        <v>10609</v>
      </c>
      <c r="B2001" s="45" t="s">
        <v>10610</v>
      </c>
      <c r="C2001" s="7" t="s">
        <v>10611</v>
      </c>
      <c r="D2001" s="7" t="s">
        <v>10612</v>
      </c>
      <c r="E2001" s="7" t="s">
        <v>10613</v>
      </c>
      <c r="F2001" s="7" t="s">
        <v>10614</v>
      </c>
      <c r="G2001" s="7"/>
      <c r="H2001" s="46" t="s">
        <v>249</v>
      </c>
      <c r="I2001" s="7" t="s">
        <v>160</v>
      </c>
      <c r="J2001" s="7" t="s">
        <v>148</v>
      </c>
      <c r="K2001" s="7"/>
      <c r="L2001" s="7"/>
      <c r="M2001" s="7"/>
    </row>
    <row r="2002" ht="15.75" customHeight="1">
      <c r="A2002" s="7" t="s">
        <v>10615</v>
      </c>
      <c r="B2002" s="45" t="s">
        <v>10616</v>
      </c>
      <c r="C2002" s="7" t="s">
        <v>10611</v>
      </c>
      <c r="D2002" s="7" t="s">
        <v>10617</v>
      </c>
      <c r="E2002" s="7" t="s">
        <v>10613</v>
      </c>
      <c r="F2002" s="7" t="s">
        <v>10614</v>
      </c>
      <c r="G2002" s="7"/>
      <c r="H2002" s="46" t="s">
        <v>249</v>
      </c>
      <c r="I2002" s="7" t="s">
        <v>160</v>
      </c>
      <c r="J2002" s="7" t="s">
        <v>148</v>
      </c>
      <c r="K2002" s="7"/>
      <c r="L2002" s="7"/>
      <c r="M2002" s="7"/>
    </row>
    <row r="2003" ht="15.75" customHeight="1">
      <c r="A2003" s="7" t="s">
        <v>10618</v>
      </c>
      <c r="B2003" s="45" t="s">
        <v>10619</v>
      </c>
      <c r="C2003" s="7" t="s">
        <v>10620</v>
      </c>
      <c r="D2003" s="7" t="s">
        <v>10621</v>
      </c>
      <c r="E2003" s="7" t="s">
        <v>10622</v>
      </c>
      <c r="F2003" s="7" t="s">
        <v>10623</v>
      </c>
      <c r="G2003" s="7"/>
      <c r="H2003" s="46" t="s">
        <v>249</v>
      </c>
      <c r="I2003" s="7" t="s">
        <v>160</v>
      </c>
      <c r="J2003" s="7" t="s">
        <v>148</v>
      </c>
      <c r="K2003" s="7"/>
      <c r="L2003" s="7"/>
      <c r="M2003" s="7"/>
    </row>
    <row r="2004" ht="15.75" customHeight="1">
      <c r="A2004" s="7" t="s">
        <v>10624</v>
      </c>
      <c r="B2004" s="45" t="s">
        <v>10625</v>
      </c>
      <c r="C2004" s="7" t="s">
        <v>10376</v>
      </c>
      <c r="D2004" s="7" t="s">
        <v>10626</v>
      </c>
      <c r="E2004" s="7" t="s">
        <v>10378</v>
      </c>
      <c r="F2004" s="7" t="s">
        <v>10379</v>
      </c>
      <c r="G2004" s="7"/>
      <c r="H2004" s="46" t="s">
        <v>249</v>
      </c>
      <c r="I2004" s="7" t="s">
        <v>160</v>
      </c>
      <c r="J2004" s="7" t="s">
        <v>148</v>
      </c>
      <c r="K2004" s="7"/>
      <c r="L2004" s="7"/>
      <c r="M2004" s="7"/>
    </row>
    <row r="2005" ht="15.75" customHeight="1">
      <c r="A2005" s="7" t="s">
        <v>10627</v>
      </c>
      <c r="B2005" s="45" t="s">
        <v>10628</v>
      </c>
      <c r="C2005" s="7" t="s">
        <v>10376</v>
      </c>
      <c r="D2005" s="7" t="s">
        <v>10629</v>
      </c>
      <c r="E2005" s="7" t="s">
        <v>10378</v>
      </c>
      <c r="F2005" s="7" t="s">
        <v>10379</v>
      </c>
      <c r="G2005" s="7"/>
      <c r="H2005" s="46" t="s">
        <v>249</v>
      </c>
      <c r="I2005" s="7" t="s">
        <v>160</v>
      </c>
      <c r="J2005" s="7" t="s">
        <v>148</v>
      </c>
      <c r="K2005" s="7"/>
      <c r="L2005" s="7"/>
      <c r="M2005" s="7"/>
    </row>
    <row r="2006" ht="15.75" customHeight="1">
      <c r="A2006" s="7" t="s">
        <v>10630</v>
      </c>
      <c r="B2006" s="45" t="s">
        <v>10631</v>
      </c>
      <c r="C2006" s="7" t="s">
        <v>10632</v>
      </c>
      <c r="D2006" s="7" t="s">
        <v>10633</v>
      </c>
      <c r="E2006" s="7" t="s">
        <v>10378</v>
      </c>
      <c r="F2006" s="7" t="s">
        <v>10379</v>
      </c>
      <c r="G2006" s="7"/>
      <c r="H2006" s="46" t="s">
        <v>249</v>
      </c>
      <c r="I2006" s="7" t="s">
        <v>160</v>
      </c>
      <c r="J2006" s="7" t="s">
        <v>148</v>
      </c>
      <c r="K2006" s="7"/>
      <c r="L2006" s="7"/>
      <c r="M2006" s="7"/>
    </row>
    <row r="2007" ht="15.75" customHeight="1">
      <c r="A2007" s="7" t="s">
        <v>10634</v>
      </c>
      <c r="B2007" s="45" t="s">
        <v>10635</v>
      </c>
      <c r="C2007" s="7" t="s">
        <v>10376</v>
      </c>
      <c r="D2007" s="7" t="s">
        <v>10636</v>
      </c>
      <c r="E2007" s="7" t="s">
        <v>10637</v>
      </c>
      <c r="F2007" s="7" t="s">
        <v>10379</v>
      </c>
      <c r="G2007" s="7"/>
      <c r="H2007" s="46" t="s">
        <v>249</v>
      </c>
      <c r="I2007" s="7" t="s">
        <v>160</v>
      </c>
      <c r="J2007" s="7" t="s">
        <v>148</v>
      </c>
      <c r="K2007" s="7"/>
      <c r="L2007" s="7"/>
      <c r="M2007" s="7"/>
    </row>
    <row r="2008" ht="15.75" customHeight="1">
      <c r="A2008" s="7" t="s">
        <v>10638</v>
      </c>
      <c r="B2008" s="45" t="s">
        <v>10639</v>
      </c>
      <c r="C2008" s="7" t="s">
        <v>10376</v>
      </c>
      <c r="D2008" s="7" t="s">
        <v>10640</v>
      </c>
      <c r="E2008" s="7" t="s">
        <v>10378</v>
      </c>
      <c r="F2008" s="7" t="s">
        <v>10379</v>
      </c>
      <c r="G2008" s="7"/>
      <c r="H2008" s="46" t="s">
        <v>249</v>
      </c>
      <c r="I2008" s="7" t="s">
        <v>160</v>
      </c>
      <c r="J2008" s="7" t="s">
        <v>148</v>
      </c>
      <c r="K2008" s="7"/>
      <c r="L2008" s="7"/>
      <c r="M2008" s="7"/>
    </row>
    <row r="2009" ht="15.75" customHeight="1">
      <c r="A2009" s="7" t="s">
        <v>10641</v>
      </c>
      <c r="B2009" s="45" t="s">
        <v>10642</v>
      </c>
      <c r="C2009" s="7" t="s">
        <v>10376</v>
      </c>
      <c r="D2009" s="7" t="s">
        <v>10643</v>
      </c>
      <c r="E2009" s="7" t="s">
        <v>10378</v>
      </c>
      <c r="F2009" s="7" t="s">
        <v>10379</v>
      </c>
      <c r="G2009" s="7"/>
      <c r="H2009" s="46" t="s">
        <v>249</v>
      </c>
      <c r="I2009" s="7" t="s">
        <v>160</v>
      </c>
      <c r="J2009" s="7" t="s">
        <v>148</v>
      </c>
      <c r="K2009" s="7"/>
      <c r="L2009" s="7"/>
      <c r="M2009" s="7"/>
    </row>
    <row r="2010" ht="15.75" customHeight="1">
      <c r="A2010" s="7" t="s">
        <v>10644</v>
      </c>
      <c r="B2010" s="45" t="s">
        <v>10645</v>
      </c>
      <c r="C2010" s="7" t="s">
        <v>10376</v>
      </c>
      <c r="D2010" s="7" t="s">
        <v>10646</v>
      </c>
      <c r="E2010" s="7" t="s">
        <v>10378</v>
      </c>
      <c r="F2010" s="7" t="s">
        <v>10379</v>
      </c>
      <c r="G2010" s="7"/>
      <c r="H2010" s="46" t="s">
        <v>249</v>
      </c>
      <c r="I2010" s="7" t="s">
        <v>160</v>
      </c>
      <c r="J2010" s="7" t="s">
        <v>148</v>
      </c>
      <c r="K2010" s="7"/>
      <c r="L2010" s="7"/>
      <c r="M2010" s="7"/>
    </row>
    <row r="2011" ht="15.75" customHeight="1">
      <c r="A2011" s="7" t="s">
        <v>10647</v>
      </c>
      <c r="B2011" s="45" t="s">
        <v>10648</v>
      </c>
      <c r="C2011" s="7" t="s">
        <v>10376</v>
      </c>
      <c r="D2011" s="7" t="s">
        <v>10649</v>
      </c>
      <c r="E2011" s="7" t="s">
        <v>10378</v>
      </c>
      <c r="F2011" s="7" t="s">
        <v>10379</v>
      </c>
      <c r="G2011" s="7"/>
      <c r="H2011" s="46" t="s">
        <v>249</v>
      </c>
      <c r="I2011" s="7" t="s">
        <v>160</v>
      </c>
      <c r="J2011" s="7" t="s">
        <v>148</v>
      </c>
      <c r="K2011" s="7"/>
      <c r="L2011" s="7"/>
      <c r="M2011" s="7"/>
    </row>
    <row r="2012" ht="15.75" customHeight="1">
      <c r="A2012" s="7" t="s">
        <v>10650</v>
      </c>
      <c r="B2012" s="45" t="s">
        <v>10651</v>
      </c>
      <c r="C2012" s="7" t="s">
        <v>10376</v>
      </c>
      <c r="D2012" s="7" t="s">
        <v>10652</v>
      </c>
      <c r="E2012" s="7" t="s">
        <v>10378</v>
      </c>
      <c r="F2012" s="7" t="s">
        <v>10379</v>
      </c>
      <c r="G2012" s="7"/>
      <c r="H2012" s="46" t="s">
        <v>249</v>
      </c>
      <c r="I2012" s="7" t="s">
        <v>160</v>
      </c>
      <c r="J2012" s="7" t="s">
        <v>148</v>
      </c>
      <c r="K2012" s="7"/>
      <c r="L2012" s="7"/>
      <c r="M2012" s="7"/>
    </row>
    <row r="2013" ht="15.75" customHeight="1">
      <c r="A2013" s="7" t="s">
        <v>10653</v>
      </c>
      <c r="B2013" s="45" t="s">
        <v>10654</v>
      </c>
      <c r="C2013" s="7" t="s">
        <v>10420</v>
      </c>
      <c r="D2013" s="7" t="s">
        <v>10655</v>
      </c>
      <c r="E2013" s="7" t="s">
        <v>10656</v>
      </c>
      <c r="F2013" s="7" t="s">
        <v>10428</v>
      </c>
      <c r="G2013" s="7"/>
      <c r="H2013" s="46" t="s">
        <v>249</v>
      </c>
      <c r="I2013" s="7" t="s">
        <v>160</v>
      </c>
      <c r="J2013" s="7" t="s">
        <v>148</v>
      </c>
      <c r="K2013" s="7"/>
      <c r="L2013" s="7"/>
      <c r="M2013" s="7"/>
    </row>
    <row r="2014" ht="15.75" customHeight="1">
      <c r="A2014" s="7" t="s">
        <v>10657</v>
      </c>
      <c r="B2014" s="45" t="s">
        <v>10658</v>
      </c>
      <c r="C2014" s="7" t="s">
        <v>10659</v>
      </c>
      <c r="D2014" s="7" t="s">
        <v>2253</v>
      </c>
      <c r="E2014" s="7" t="s">
        <v>2254</v>
      </c>
      <c r="F2014" s="7" t="s">
        <v>2255</v>
      </c>
      <c r="G2014" s="7"/>
      <c r="H2014" s="46" t="s">
        <v>249</v>
      </c>
      <c r="I2014" s="7" t="s">
        <v>160</v>
      </c>
      <c r="J2014" s="7" t="s">
        <v>148</v>
      </c>
      <c r="K2014" s="7"/>
      <c r="L2014" s="7"/>
      <c r="M2014" s="7"/>
    </row>
    <row r="2015" ht="15.75" customHeight="1">
      <c r="A2015" s="7" t="s">
        <v>10660</v>
      </c>
      <c r="B2015" s="45" t="s">
        <v>10661</v>
      </c>
      <c r="C2015" s="7" t="s">
        <v>10662</v>
      </c>
      <c r="D2015" s="7" t="s">
        <v>10663</v>
      </c>
      <c r="E2015" s="7" t="s">
        <v>10664</v>
      </c>
      <c r="F2015" s="7" t="s">
        <v>10665</v>
      </c>
      <c r="G2015" s="7"/>
      <c r="H2015" s="46" t="s">
        <v>249</v>
      </c>
      <c r="I2015" s="7" t="s">
        <v>160</v>
      </c>
      <c r="J2015" s="7" t="s">
        <v>148</v>
      </c>
      <c r="K2015" s="7"/>
      <c r="L2015" s="7"/>
      <c r="M2015" s="7"/>
    </row>
    <row r="2016" ht="15.75" customHeight="1">
      <c r="A2016" s="7" t="s">
        <v>10666</v>
      </c>
      <c r="B2016" s="45" t="s">
        <v>10667</v>
      </c>
      <c r="C2016" s="7" t="s">
        <v>10662</v>
      </c>
      <c r="D2016" s="7" t="s">
        <v>10668</v>
      </c>
      <c r="E2016" s="7" t="s">
        <v>10669</v>
      </c>
      <c r="F2016" s="7" t="s">
        <v>10665</v>
      </c>
      <c r="G2016" s="7"/>
      <c r="H2016" s="46" t="s">
        <v>249</v>
      </c>
      <c r="I2016" s="7" t="s">
        <v>160</v>
      </c>
      <c r="J2016" s="7" t="s">
        <v>148</v>
      </c>
      <c r="K2016" s="7"/>
      <c r="L2016" s="7"/>
      <c r="M2016" s="7"/>
    </row>
    <row r="2017" ht="15.75" customHeight="1">
      <c r="A2017" s="7" t="s">
        <v>10670</v>
      </c>
      <c r="B2017" s="45" t="s">
        <v>10671</v>
      </c>
      <c r="C2017" s="7" t="s">
        <v>10662</v>
      </c>
      <c r="D2017" s="7" t="s">
        <v>10672</v>
      </c>
      <c r="E2017" s="7" t="s">
        <v>10669</v>
      </c>
      <c r="F2017" s="7" t="s">
        <v>10665</v>
      </c>
      <c r="G2017" s="7"/>
      <c r="H2017" s="46" t="s">
        <v>249</v>
      </c>
      <c r="I2017" s="7" t="s">
        <v>160</v>
      </c>
      <c r="J2017" s="7" t="s">
        <v>148</v>
      </c>
      <c r="K2017" s="7"/>
      <c r="L2017" s="7"/>
      <c r="M2017" s="7"/>
    </row>
    <row r="2018" ht="15.75" customHeight="1">
      <c r="A2018" s="7" t="s">
        <v>10673</v>
      </c>
      <c r="B2018" s="45" t="s">
        <v>10674</v>
      </c>
      <c r="C2018" s="7" t="s">
        <v>10662</v>
      </c>
      <c r="D2018" s="7" t="s">
        <v>10675</v>
      </c>
      <c r="E2018" s="7" t="s">
        <v>10669</v>
      </c>
      <c r="F2018" s="7" t="s">
        <v>10665</v>
      </c>
      <c r="G2018" s="7"/>
      <c r="H2018" s="46" t="s">
        <v>249</v>
      </c>
      <c r="I2018" s="7" t="s">
        <v>160</v>
      </c>
      <c r="J2018" s="7" t="s">
        <v>148</v>
      </c>
      <c r="K2018" s="7"/>
      <c r="L2018" s="7"/>
      <c r="M2018" s="7"/>
    </row>
    <row r="2019" ht="15.75" customHeight="1">
      <c r="A2019" s="7" t="s">
        <v>10676</v>
      </c>
      <c r="B2019" s="45" t="s">
        <v>10677</v>
      </c>
      <c r="C2019" s="7" t="s">
        <v>10678</v>
      </c>
      <c r="D2019" s="7" t="s">
        <v>10679</v>
      </c>
      <c r="E2019" s="7" t="s">
        <v>10680</v>
      </c>
      <c r="F2019" s="7" t="s">
        <v>10681</v>
      </c>
      <c r="G2019" s="7"/>
      <c r="H2019" s="46" t="s">
        <v>249</v>
      </c>
      <c r="I2019" s="7" t="s">
        <v>160</v>
      </c>
      <c r="J2019" s="7" t="s">
        <v>148</v>
      </c>
      <c r="K2019" s="7"/>
      <c r="L2019" s="7"/>
      <c r="M2019" s="7"/>
    </row>
    <row r="2020" ht="15.75" customHeight="1">
      <c r="A2020" s="7" t="s">
        <v>10682</v>
      </c>
      <c r="B2020" s="45" t="s">
        <v>10683</v>
      </c>
      <c r="C2020" s="7" t="s">
        <v>10684</v>
      </c>
      <c r="D2020" s="7" t="s">
        <v>10685</v>
      </c>
      <c r="E2020" s="7" t="s">
        <v>10686</v>
      </c>
      <c r="F2020" s="7" t="s">
        <v>9403</v>
      </c>
      <c r="G2020" s="7"/>
      <c r="H2020" s="46" t="s">
        <v>249</v>
      </c>
      <c r="I2020" s="7" t="s">
        <v>160</v>
      </c>
      <c r="J2020" s="7" t="s">
        <v>148</v>
      </c>
      <c r="K2020" s="7"/>
      <c r="L2020" s="7"/>
      <c r="M2020" s="7"/>
    </row>
    <row r="2021" ht="15.75" customHeight="1">
      <c r="A2021" s="7" t="s">
        <v>10687</v>
      </c>
      <c r="B2021" s="45" t="s">
        <v>10688</v>
      </c>
      <c r="C2021" s="7" t="s">
        <v>10684</v>
      </c>
      <c r="D2021" s="7" t="s">
        <v>10689</v>
      </c>
      <c r="E2021" s="7" t="s">
        <v>10686</v>
      </c>
      <c r="F2021" s="7" t="s">
        <v>9403</v>
      </c>
      <c r="G2021" s="7"/>
      <c r="H2021" s="46" t="s">
        <v>249</v>
      </c>
      <c r="I2021" s="7" t="s">
        <v>160</v>
      </c>
      <c r="J2021" s="7" t="s">
        <v>148</v>
      </c>
      <c r="K2021" s="7"/>
      <c r="L2021" s="7"/>
      <c r="M2021" s="7"/>
    </row>
    <row r="2022" ht="15.75" customHeight="1">
      <c r="A2022" s="7" t="s">
        <v>10690</v>
      </c>
      <c r="B2022" s="45" t="s">
        <v>10691</v>
      </c>
      <c r="C2022" s="7" t="s">
        <v>10692</v>
      </c>
      <c r="D2022" s="7" t="s">
        <v>10693</v>
      </c>
      <c r="E2022" s="7" t="s">
        <v>10694</v>
      </c>
      <c r="F2022" s="7" t="s">
        <v>10695</v>
      </c>
      <c r="G2022" s="7"/>
      <c r="H2022" s="46" t="s">
        <v>249</v>
      </c>
      <c r="I2022" s="7" t="s">
        <v>160</v>
      </c>
      <c r="J2022" s="7" t="s">
        <v>148</v>
      </c>
      <c r="K2022" s="7"/>
      <c r="L2022" s="7"/>
      <c r="M2022" s="7"/>
    </row>
    <row r="2023" ht="15.75" customHeight="1">
      <c r="A2023" s="7" t="s">
        <v>10696</v>
      </c>
      <c r="B2023" s="45" t="s">
        <v>10697</v>
      </c>
      <c r="C2023" s="7" t="s">
        <v>10698</v>
      </c>
      <c r="D2023" s="7" t="s">
        <v>10699</v>
      </c>
      <c r="E2023" s="7" t="s">
        <v>10700</v>
      </c>
      <c r="F2023" s="7" t="s">
        <v>10701</v>
      </c>
      <c r="G2023" s="7"/>
      <c r="H2023" s="46" t="s">
        <v>249</v>
      </c>
      <c r="I2023" s="7" t="s">
        <v>160</v>
      </c>
      <c r="J2023" s="7" t="s">
        <v>148</v>
      </c>
      <c r="K2023" s="7"/>
      <c r="L2023" s="7"/>
      <c r="M2023" s="7"/>
    </row>
    <row r="2024" ht="15.75" customHeight="1">
      <c r="A2024" s="7" t="s">
        <v>10702</v>
      </c>
      <c r="B2024" s="45" t="s">
        <v>10703</v>
      </c>
      <c r="C2024" s="7" t="s">
        <v>10704</v>
      </c>
      <c r="D2024" s="7" t="s">
        <v>10705</v>
      </c>
      <c r="E2024" s="7" t="s">
        <v>10706</v>
      </c>
      <c r="F2024" s="7" t="s">
        <v>10707</v>
      </c>
      <c r="G2024" s="7"/>
      <c r="H2024" s="46" t="s">
        <v>249</v>
      </c>
      <c r="I2024" s="7" t="s">
        <v>160</v>
      </c>
      <c r="J2024" s="7" t="s">
        <v>148</v>
      </c>
      <c r="K2024" s="7"/>
      <c r="L2024" s="7"/>
      <c r="M2024" s="7"/>
    </row>
    <row r="2025" ht="15.75" customHeight="1">
      <c r="A2025" s="7" t="s">
        <v>10708</v>
      </c>
      <c r="B2025" s="45" t="s">
        <v>10709</v>
      </c>
      <c r="C2025" s="7" t="s">
        <v>10704</v>
      </c>
      <c r="D2025" s="7" t="s">
        <v>10710</v>
      </c>
      <c r="E2025" s="7" t="s">
        <v>10711</v>
      </c>
      <c r="F2025" s="7" t="s">
        <v>10707</v>
      </c>
      <c r="G2025" s="7"/>
      <c r="H2025" s="46" t="s">
        <v>249</v>
      </c>
      <c r="I2025" s="7" t="s">
        <v>160</v>
      </c>
      <c r="J2025" s="7" t="s">
        <v>148</v>
      </c>
      <c r="K2025" s="7"/>
      <c r="L2025" s="7"/>
      <c r="M2025" s="7"/>
    </row>
    <row r="2026" ht="15.75" customHeight="1">
      <c r="A2026" s="7" t="s">
        <v>10712</v>
      </c>
      <c r="B2026" s="45" t="s">
        <v>10713</v>
      </c>
      <c r="C2026" s="7" t="s">
        <v>10704</v>
      </c>
      <c r="D2026" s="7" t="s">
        <v>10714</v>
      </c>
      <c r="E2026" s="7" t="s">
        <v>10706</v>
      </c>
      <c r="F2026" s="7" t="s">
        <v>10707</v>
      </c>
      <c r="G2026" s="7"/>
      <c r="H2026" s="46" t="s">
        <v>249</v>
      </c>
      <c r="I2026" s="7" t="s">
        <v>160</v>
      </c>
      <c r="J2026" s="7" t="s">
        <v>148</v>
      </c>
      <c r="K2026" s="7"/>
      <c r="L2026" s="7"/>
      <c r="M2026" s="7"/>
    </row>
    <row r="2027" ht="15.75" customHeight="1">
      <c r="A2027" s="7" t="s">
        <v>10715</v>
      </c>
      <c r="B2027" s="45" t="s">
        <v>10716</v>
      </c>
      <c r="C2027" s="7" t="s">
        <v>10590</v>
      </c>
      <c r="D2027" s="7" t="s">
        <v>10717</v>
      </c>
      <c r="E2027" s="7" t="s">
        <v>10597</v>
      </c>
      <c r="F2027" s="7" t="s">
        <v>10559</v>
      </c>
      <c r="G2027" s="7"/>
      <c r="H2027" s="46" t="s">
        <v>249</v>
      </c>
      <c r="I2027" s="7" t="s">
        <v>160</v>
      </c>
      <c r="J2027" s="7" t="s">
        <v>148</v>
      </c>
      <c r="K2027" s="7"/>
      <c r="L2027" s="7"/>
      <c r="M2027" s="7"/>
    </row>
    <row r="2028" ht="15.75" customHeight="1">
      <c r="A2028" s="7" t="s">
        <v>10718</v>
      </c>
      <c r="B2028" s="45" t="s">
        <v>10719</v>
      </c>
      <c r="C2028" s="7" t="s">
        <v>10420</v>
      </c>
      <c r="D2028" s="7" t="s">
        <v>10720</v>
      </c>
      <c r="E2028" s="7" t="s">
        <v>10422</v>
      </c>
      <c r="F2028" s="7" t="s">
        <v>10423</v>
      </c>
      <c r="G2028" s="7"/>
      <c r="H2028" s="46" t="s">
        <v>249</v>
      </c>
      <c r="I2028" s="7" t="s">
        <v>160</v>
      </c>
      <c r="J2028" s="7" t="s">
        <v>148</v>
      </c>
      <c r="K2028" s="7"/>
      <c r="L2028" s="7"/>
      <c r="M2028" s="7"/>
    </row>
    <row r="2029" ht="15.75" customHeight="1">
      <c r="A2029" s="7" t="s">
        <v>10721</v>
      </c>
      <c r="B2029" s="45" t="s">
        <v>10722</v>
      </c>
      <c r="C2029" s="7" t="s">
        <v>10420</v>
      </c>
      <c r="D2029" s="7" t="s">
        <v>10723</v>
      </c>
      <c r="E2029" s="7" t="s">
        <v>10724</v>
      </c>
      <c r="F2029" s="7" t="s">
        <v>10423</v>
      </c>
      <c r="G2029" s="7"/>
      <c r="H2029" s="46" t="s">
        <v>249</v>
      </c>
      <c r="I2029" s="7" t="s">
        <v>160</v>
      </c>
      <c r="J2029" s="7" t="s">
        <v>148</v>
      </c>
      <c r="K2029" s="7"/>
      <c r="L2029" s="7"/>
      <c r="M2029" s="7"/>
    </row>
    <row r="2030" ht="15.75" customHeight="1">
      <c r="A2030" s="7" t="s">
        <v>10725</v>
      </c>
      <c r="B2030" s="45" t="s">
        <v>10726</v>
      </c>
      <c r="C2030" s="7" t="s">
        <v>10420</v>
      </c>
      <c r="D2030" s="7" t="s">
        <v>10727</v>
      </c>
      <c r="E2030" s="7" t="s">
        <v>10422</v>
      </c>
      <c r="F2030" s="7" t="s">
        <v>10428</v>
      </c>
      <c r="G2030" s="7"/>
      <c r="H2030" s="46" t="s">
        <v>249</v>
      </c>
      <c r="I2030" s="7" t="s">
        <v>160</v>
      </c>
      <c r="J2030" s="7" t="s">
        <v>148</v>
      </c>
      <c r="K2030" s="7"/>
      <c r="L2030" s="7"/>
      <c r="M2030" s="7"/>
    </row>
    <row r="2031" ht="15.75" customHeight="1">
      <c r="A2031" s="7" t="s">
        <v>10728</v>
      </c>
      <c r="B2031" s="45" t="s">
        <v>10729</v>
      </c>
      <c r="C2031" s="7" t="s">
        <v>10730</v>
      </c>
      <c r="D2031" s="7" t="s">
        <v>10731</v>
      </c>
      <c r="E2031" s="7" t="s">
        <v>10732</v>
      </c>
      <c r="F2031" s="7" t="s">
        <v>1557</v>
      </c>
      <c r="G2031" s="7"/>
      <c r="H2031" s="46" t="s">
        <v>249</v>
      </c>
      <c r="I2031" s="7" t="s">
        <v>160</v>
      </c>
      <c r="J2031" s="7" t="s">
        <v>148</v>
      </c>
      <c r="K2031" s="7"/>
      <c r="L2031" s="7"/>
      <c r="M2031" s="7"/>
    </row>
    <row r="2032" ht="15.75" customHeight="1">
      <c r="A2032" s="7" t="s">
        <v>10733</v>
      </c>
      <c r="B2032" s="45" t="s">
        <v>10734</v>
      </c>
      <c r="C2032" s="7" t="s">
        <v>1554</v>
      </c>
      <c r="D2032" s="7" t="s">
        <v>10735</v>
      </c>
      <c r="E2032" s="7" t="s">
        <v>10736</v>
      </c>
      <c r="F2032" s="7" t="s">
        <v>1557</v>
      </c>
      <c r="G2032" s="7"/>
      <c r="H2032" s="46" t="s">
        <v>249</v>
      </c>
      <c r="I2032" s="7" t="s">
        <v>160</v>
      </c>
      <c r="J2032" s="7" t="s">
        <v>148</v>
      </c>
      <c r="K2032" s="7"/>
      <c r="L2032" s="7"/>
      <c r="M2032" s="7"/>
    </row>
    <row r="2033" ht="15.75" customHeight="1">
      <c r="A2033" s="7" t="s">
        <v>10737</v>
      </c>
      <c r="B2033" s="45" t="s">
        <v>10738</v>
      </c>
      <c r="C2033" s="7" t="s">
        <v>10730</v>
      </c>
      <c r="D2033" s="7" t="s">
        <v>10739</v>
      </c>
      <c r="E2033" s="7" t="s">
        <v>10740</v>
      </c>
      <c r="F2033" s="7" t="s">
        <v>1557</v>
      </c>
      <c r="G2033" s="7"/>
      <c r="H2033" s="46" t="s">
        <v>249</v>
      </c>
      <c r="I2033" s="7" t="s">
        <v>160</v>
      </c>
      <c r="J2033" s="7" t="s">
        <v>148</v>
      </c>
      <c r="K2033" s="7"/>
      <c r="L2033" s="7"/>
      <c r="M2033" s="7"/>
    </row>
    <row r="2034" ht="15.75" customHeight="1">
      <c r="A2034" s="7" t="s">
        <v>10741</v>
      </c>
      <c r="B2034" s="45" t="s">
        <v>10742</v>
      </c>
      <c r="C2034" s="7" t="s">
        <v>10730</v>
      </c>
      <c r="D2034" s="7" t="s">
        <v>10743</v>
      </c>
      <c r="E2034" s="7" t="s">
        <v>10744</v>
      </c>
      <c r="F2034" s="7" t="s">
        <v>1557</v>
      </c>
      <c r="G2034" s="7"/>
      <c r="H2034" s="46" t="s">
        <v>249</v>
      </c>
      <c r="I2034" s="7" t="s">
        <v>160</v>
      </c>
      <c r="J2034" s="7" t="s">
        <v>148</v>
      </c>
      <c r="K2034" s="7"/>
      <c r="L2034" s="7"/>
      <c r="M2034" s="7"/>
    </row>
    <row r="2035" ht="15.75" customHeight="1">
      <c r="A2035" s="7" t="s">
        <v>10745</v>
      </c>
      <c r="B2035" s="45" t="s">
        <v>10746</v>
      </c>
      <c r="C2035" s="7" t="s">
        <v>10730</v>
      </c>
      <c r="D2035" s="7" t="s">
        <v>10747</v>
      </c>
      <c r="E2035" s="7" t="s">
        <v>10748</v>
      </c>
      <c r="F2035" s="7" t="s">
        <v>1557</v>
      </c>
      <c r="G2035" s="7"/>
      <c r="H2035" s="46" t="s">
        <v>249</v>
      </c>
      <c r="I2035" s="7" t="s">
        <v>160</v>
      </c>
      <c r="J2035" s="7" t="s">
        <v>148</v>
      </c>
      <c r="K2035" s="7"/>
      <c r="L2035" s="7"/>
      <c r="M2035" s="7"/>
    </row>
    <row r="2036" ht="15.75" customHeight="1">
      <c r="A2036" s="7" t="s">
        <v>10749</v>
      </c>
      <c r="B2036" s="45" t="s">
        <v>10750</v>
      </c>
      <c r="C2036" s="7" t="s">
        <v>10730</v>
      </c>
      <c r="D2036" s="7" t="s">
        <v>10751</v>
      </c>
      <c r="E2036" s="7" t="s">
        <v>10752</v>
      </c>
      <c r="F2036" s="7" t="s">
        <v>1557</v>
      </c>
      <c r="G2036" s="7"/>
      <c r="H2036" s="46" t="s">
        <v>249</v>
      </c>
      <c r="I2036" s="7" t="s">
        <v>160</v>
      </c>
      <c r="J2036" s="7" t="s">
        <v>148</v>
      </c>
      <c r="K2036" s="7"/>
      <c r="L2036" s="7"/>
      <c r="M2036" s="7"/>
    </row>
    <row r="2037" ht="15.75" customHeight="1">
      <c r="A2037" s="7" t="s">
        <v>10753</v>
      </c>
      <c r="B2037" s="45" t="s">
        <v>10754</v>
      </c>
      <c r="C2037" s="7" t="s">
        <v>10730</v>
      </c>
      <c r="D2037" s="7" t="s">
        <v>10755</v>
      </c>
      <c r="E2037" s="7" t="s">
        <v>10756</v>
      </c>
      <c r="F2037" s="7" t="s">
        <v>1557</v>
      </c>
      <c r="G2037" s="7"/>
      <c r="H2037" s="46" t="s">
        <v>249</v>
      </c>
      <c r="I2037" s="7" t="s">
        <v>160</v>
      </c>
      <c r="J2037" s="7" t="s">
        <v>148</v>
      </c>
      <c r="K2037" s="7"/>
      <c r="L2037" s="7"/>
      <c r="M2037" s="7"/>
    </row>
    <row r="2038" ht="15.75" customHeight="1">
      <c r="A2038" s="7" t="s">
        <v>10757</v>
      </c>
      <c r="B2038" s="45" t="s">
        <v>10758</v>
      </c>
      <c r="C2038" s="7" t="s">
        <v>10730</v>
      </c>
      <c r="D2038" s="7" t="s">
        <v>10759</v>
      </c>
      <c r="E2038" s="7" t="s">
        <v>10760</v>
      </c>
      <c r="F2038" s="7" t="s">
        <v>1557</v>
      </c>
      <c r="G2038" s="7"/>
      <c r="H2038" s="46" t="s">
        <v>249</v>
      </c>
      <c r="I2038" s="7" t="s">
        <v>160</v>
      </c>
      <c r="J2038" s="7" t="s">
        <v>148</v>
      </c>
      <c r="K2038" s="7"/>
      <c r="L2038" s="7"/>
      <c r="M2038" s="7"/>
    </row>
    <row r="2039" ht="15.75" customHeight="1">
      <c r="A2039" s="7" t="s">
        <v>10761</v>
      </c>
      <c r="B2039" s="45" t="s">
        <v>10762</v>
      </c>
      <c r="C2039" s="7" t="s">
        <v>10763</v>
      </c>
      <c r="D2039" s="7" t="s">
        <v>10764</v>
      </c>
      <c r="E2039" s="7" t="s">
        <v>10765</v>
      </c>
      <c r="F2039" s="7" t="s">
        <v>1557</v>
      </c>
      <c r="G2039" s="7"/>
      <c r="H2039" s="46" t="s">
        <v>249</v>
      </c>
      <c r="I2039" s="7" t="s">
        <v>160</v>
      </c>
      <c r="J2039" s="7" t="s">
        <v>148</v>
      </c>
      <c r="K2039" s="7"/>
      <c r="L2039" s="7"/>
      <c r="M2039" s="7"/>
    </row>
    <row r="2040" ht="15.75" customHeight="1">
      <c r="A2040" s="7" t="s">
        <v>10766</v>
      </c>
      <c r="B2040" s="45" t="s">
        <v>10767</v>
      </c>
      <c r="C2040" s="7" t="s">
        <v>10730</v>
      </c>
      <c r="D2040" s="7" t="s">
        <v>10768</v>
      </c>
      <c r="E2040" s="7" t="s">
        <v>10769</v>
      </c>
      <c r="F2040" s="7" t="s">
        <v>1557</v>
      </c>
      <c r="G2040" s="7"/>
      <c r="H2040" s="46" t="s">
        <v>249</v>
      </c>
      <c r="I2040" s="7" t="s">
        <v>160</v>
      </c>
      <c r="J2040" s="7" t="s">
        <v>148</v>
      </c>
      <c r="K2040" s="7"/>
      <c r="L2040" s="7"/>
      <c r="M2040" s="7"/>
    </row>
    <row r="2041" ht="15.75" customHeight="1">
      <c r="A2041" s="7" t="s">
        <v>10770</v>
      </c>
      <c r="B2041" s="45" t="s">
        <v>10771</v>
      </c>
      <c r="C2041" s="7" t="s">
        <v>10772</v>
      </c>
      <c r="D2041" s="7" t="s">
        <v>10773</v>
      </c>
      <c r="E2041" s="7" t="s">
        <v>10774</v>
      </c>
      <c r="F2041" s="7" t="s">
        <v>1557</v>
      </c>
      <c r="G2041" s="7"/>
      <c r="H2041" s="46" t="s">
        <v>249</v>
      </c>
      <c r="I2041" s="7" t="s">
        <v>160</v>
      </c>
      <c r="J2041" s="7" t="s">
        <v>148</v>
      </c>
      <c r="K2041" s="7"/>
      <c r="L2041" s="7"/>
      <c r="M2041" s="7"/>
    </row>
    <row r="2042" ht="15.75" customHeight="1">
      <c r="A2042" s="7" t="s">
        <v>10775</v>
      </c>
      <c r="B2042" s="45" t="s">
        <v>10776</v>
      </c>
      <c r="C2042" s="7" t="s">
        <v>10730</v>
      </c>
      <c r="D2042" s="7" t="s">
        <v>10777</v>
      </c>
      <c r="E2042" s="7" t="s">
        <v>10778</v>
      </c>
      <c r="F2042" s="7" t="s">
        <v>1557</v>
      </c>
      <c r="G2042" s="7"/>
      <c r="H2042" s="46" t="s">
        <v>249</v>
      </c>
      <c r="I2042" s="7" t="s">
        <v>160</v>
      </c>
      <c r="J2042" s="7" t="s">
        <v>148</v>
      </c>
      <c r="K2042" s="7"/>
      <c r="L2042" s="7"/>
      <c r="M2042" s="7"/>
    </row>
    <row r="2043" ht="15.75" customHeight="1">
      <c r="A2043" s="7" t="s">
        <v>10779</v>
      </c>
      <c r="B2043" s="45" t="s">
        <v>10780</v>
      </c>
      <c r="C2043" s="7" t="s">
        <v>10730</v>
      </c>
      <c r="D2043" s="7" t="s">
        <v>10781</v>
      </c>
      <c r="E2043" s="7" t="s">
        <v>10782</v>
      </c>
      <c r="F2043" s="7" t="s">
        <v>1557</v>
      </c>
      <c r="G2043" s="7"/>
      <c r="H2043" s="46" t="s">
        <v>249</v>
      </c>
      <c r="I2043" s="7" t="s">
        <v>160</v>
      </c>
      <c r="J2043" s="7" t="s">
        <v>148</v>
      </c>
      <c r="K2043" s="7"/>
      <c r="L2043" s="7"/>
      <c r="M2043" s="7"/>
    </row>
    <row r="2044" ht="15.75" customHeight="1">
      <c r="A2044" s="7" t="s">
        <v>10783</v>
      </c>
      <c r="B2044" s="45" t="s">
        <v>10784</v>
      </c>
      <c r="C2044" s="7" t="s">
        <v>10785</v>
      </c>
      <c r="D2044" s="7" t="s">
        <v>10786</v>
      </c>
      <c r="E2044" s="7" t="s">
        <v>10787</v>
      </c>
      <c r="F2044" s="7" t="s">
        <v>10788</v>
      </c>
      <c r="G2044" s="7"/>
      <c r="H2044" s="46" t="s">
        <v>249</v>
      </c>
      <c r="I2044" s="7" t="s">
        <v>160</v>
      </c>
      <c r="J2044" s="7" t="s">
        <v>148</v>
      </c>
      <c r="K2044" s="7"/>
      <c r="L2044" s="7"/>
      <c r="M2044" s="7"/>
    </row>
    <row r="2045" ht="15.75" customHeight="1">
      <c r="A2045" s="7" t="s">
        <v>10789</v>
      </c>
      <c r="B2045" s="45" t="s">
        <v>10790</v>
      </c>
      <c r="C2045" s="7" t="s">
        <v>10791</v>
      </c>
      <c r="D2045" s="7" t="s">
        <v>10792</v>
      </c>
      <c r="E2045" s="7" t="s">
        <v>10793</v>
      </c>
      <c r="F2045" s="7" t="s">
        <v>10794</v>
      </c>
      <c r="G2045" s="7" t="s">
        <v>10795</v>
      </c>
      <c r="H2045" s="46" t="s">
        <v>249</v>
      </c>
      <c r="I2045" s="7" t="s">
        <v>160</v>
      </c>
      <c r="J2045" s="7" t="s">
        <v>148</v>
      </c>
      <c r="K2045" s="7"/>
      <c r="L2045" s="7"/>
      <c r="M2045" s="7"/>
    </row>
    <row r="2046" ht="15.75" customHeight="1">
      <c r="A2046" s="7" t="s">
        <v>10796</v>
      </c>
      <c r="B2046" s="45" t="s">
        <v>10797</v>
      </c>
      <c r="C2046" s="7" t="s">
        <v>10798</v>
      </c>
      <c r="D2046" s="7" t="s">
        <v>10792</v>
      </c>
      <c r="E2046" s="7" t="s">
        <v>10799</v>
      </c>
      <c r="F2046" s="7" t="s">
        <v>10794</v>
      </c>
      <c r="G2046" s="7"/>
      <c r="H2046" s="46" t="s">
        <v>249</v>
      </c>
      <c r="I2046" s="7" t="s">
        <v>160</v>
      </c>
      <c r="J2046" s="7" t="s">
        <v>148</v>
      </c>
      <c r="K2046" s="7"/>
      <c r="L2046" s="7"/>
      <c r="M2046" s="7"/>
    </row>
    <row r="2047" ht="15.75" customHeight="1">
      <c r="A2047" s="7" t="s">
        <v>10800</v>
      </c>
      <c r="B2047" s="45" t="s">
        <v>10801</v>
      </c>
      <c r="C2047" s="7" t="s">
        <v>10802</v>
      </c>
      <c r="D2047" s="7" t="s">
        <v>10803</v>
      </c>
      <c r="E2047" s="7" t="s">
        <v>10804</v>
      </c>
      <c r="F2047" s="7" t="s">
        <v>10805</v>
      </c>
      <c r="G2047" s="7"/>
      <c r="H2047" s="46" t="s">
        <v>249</v>
      </c>
      <c r="I2047" s="7" t="s">
        <v>160</v>
      </c>
      <c r="J2047" s="7" t="s">
        <v>148</v>
      </c>
      <c r="K2047" s="7"/>
      <c r="L2047" s="7"/>
      <c r="M2047" s="7"/>
    </row>
    <row r="2048" ht="15.75" customHeight="1">
      <c r="A2048" s="7" t="s">
        <v>10806</v>
      </c>
      <c r="B2048" s="45" t="s">
        <v>10807</v>
      </c>
      <c r="C2048" s="7" t="s">
        <v>10808</v>
      </c>
      <c r="D2048" s="7" t="s">
        <v>10809</v>
      </c>
      <c r="E2048" s="7" t="s">
        <v>10810</v>
      </c>
      <c r="F2048" s="7" t="s">
        <v>10811</v>
      </c>
      <c r="G2048" s="7"/>
      <c r="H2048" s="46" t="s">
        <v>249</v>
      </c>
      <c r="I2048" s="7" t="s">
        <v>160</v>
      </c>
      <c r="J2048" s="7" t="s">
        <v>148</v>
      </c>
      <c r="K2048" s="7"/>
      <c r="L2048" s="7"/>
      <c r="M2048" s="7"/>
    </row>
    <row r="2049" ht="15.75" customHeight="1">
      <c r="A2049" s="7" t="s">
        <v>10812</v>
      </c>
      <c r="B2049" s="45" t="s">
        <v>10813</v>
      </c>
      <c r="C2049" s="7" t="s">
        <v>10808</v>
      </c>
      <c r="D2049" s="7" t="s">
        <v>10814</v>
      </c>
      <c r="E2049" s="7" t="s">
        <v>10815</v>
      </c>
      <c r="F2049" s="7" t="s">
        <v>10811</v>
      </c>
      <c r="G2049" s="7"/>
      <c r="H2049" s="46" t="s">
        <v>249</v>
      </c>
      <c r="I2049" s="7" t="s">
        <v>160</v>
      </c>
      <c r="J2049" s="7" t="s">
        <v>148</v>
      </c>
      <c r="K2049" s="7"/>
      <c r="L2049" s="7"/>
      <c r="M2049" s="7"/>
    </row>
    <row r="2050" ht="15.75" customHeight="1">
      <c r="A2050" s="7" t="s">
        <v>10816</v>
      </c>
      <c r="B2050" s="45" t="s">
        <v>10817</v>
      </c>
      <c r="C2050" s="7" t="s">
        <v>10808</v>
      </c>
      <c r="D2050" s="7" t="s">
        <v>10818</v>
      </c>
      <c r="E2050" s="7" t="s">
        <v>10815</v>
      </c>
      <c r="F2050" s="7" t="s">
        <v>10811</v>
      </c>
      <c r="G2050" s="7"/>
      <c r="H2050" s="46" t="s">
        <v>249</v>
      </c>
      <c r="I2050" s="7" t="s">
        <v>160</v>
      </c>
      <c r="J2050" s="7" t="s">
        <v>148</v>
      </c>
      <c r="K2050" s="7"/>
      <c r="L2050" s="7"/>
      <c r="M2050" s="7"/>
    </row>
    <row r="2051" ht="15.75" customHeight="1">
      <c r="A2051" s="7" t="s">
        <v>10819</v>
      </c>
      <c r="B2051" s="45" t="s">
        <v>10820</v>
      </c>
      <c r="C2051" s="7" t="s">
        <v>10821</v>
      </c>
      <c r="D2051" s="7" t="s">
        <v>10822</v>
      </c>
      <c r="E2051" s="7" t="s">
        <v>10823</v>
      </c>
      <c r="F2051" s="7" t="s">
        <v>10824</v>
      </c>
      <c r="G2051" s="7"/>
      <c r="H2051" s="46" t="s">
        <v>249</v>
      </c>
      <c r="I2051" s="7" t="s">
        <v>160</v>
      </c>
      <c r="J2051" s="7" t="s">
        <v>148</v>
      </c>
      <c r="K2051" s="7"/>
      <c r="L2051" s="7"/>
      <c r="M2051" s="7"/>
    </row>
    <row r="2052" ht="15.75" customHeight="1">
      <c r="A2052" s="7" t="s">
        <v>10825</v>
      </c>
      <c r="B2052" s="45" t="s">
        <v>10826</v>
      </c>
      <c r="C2052" s="7" t="s">
        <v>10827</v>
      </c>
      <c r="D2052" s="7" t="s">
        <v>10828</v>
      </c>
      <c r="E2052" s="7" t="s">
        <v>10829</v>
      </c>
      <c r="F2052" s="7" t="s">
        <v>10830</v>
      </c>
      <c r="G2052" s="7"/>
      <c r="H2052" s="46" t="s">
        <v>249</v>
      </c>
      <c r="I2052" s="7" t="s">
        <v>160</v>
      </c>
      <c r="J2052" s="7" t="s">
        <v>148</v>
      </c>
      <c r="K2052" s="7"/>
      <c r="L2052" s="7"/>
      <c r="M2052" s="7"/>
    </row>
    <row r="2053" ht="15.75" customHeight="1">
      <c r="A2053" s="7" t="s">
        <v>10831</v>
      </c>
      <c r="B2053" s="45" t="s">
        <v>10832</v>
      </c>
      <c r="C2053" s="7" t="s">
        <v>10833</v>
      </c>
      <c r="D2053" s="7" t="s">
        <v>10834</v>
      </c>
      <c r="E2053" s="7" t="s">
        <v>10835</v>
      </c>
      <c r="F2053" s="7" t="s">
        <v>10836</v>
      </c>
      <c r="G2053" s="7"/>
      <c r="H2053" s="46" t="s">
        <v>249</v>
      </c>
      <c r="I2053" s="7" t="s">
        <v>160</v>
      </c>
      <c r="J2053" s="7" t="s">
        <v>148</v>
      </c>
      <c r="K2053" s="7"/>
      <c r="L2053" s="7"/>
      <c r="M2053" s="7"/>
    </row>
    <row r="2054" ht="15.75" customHeight="1">
      <c r="A2054" s="7" t="s">
        <v>10837</v>
      </c>
      <c r="B2054" s="45" t="s">
        <v>10838</v>
      </c>
      <c r="C2054" s="7" t="s">
        <v>10839</v>
      </c>
      <c r="D2054" s="7" t="s">
        <v>10840</v>
      </c>
      <c r="E2054" s="7" t="s">
        <v>10841</v>
      </c>
      <c r="F2054" s="7" t="s">
        <v>10842</v>
      </c>
      <c r="G2054" s="7"/>
      <c r="H2054" s="46" t="s">
        <v>249</v>
      </c>
      <c r="I2054" s="7" t="s">
        <v>160</v>
      </c>
      <c r="J2054" s="7" t="s">
        <v>148</v>
      </c>
      <c r="K2054" s="7"/>
      <c r="L2054" s="7"/>
      <c r="M2054" s="7"/>
    </row>
    <row r="2055" ht="15.75" customHeight="1">
      <c r="A2055" s="7" t="s">
        <v>10843</v>
      </c>
      <c r="B2055" s="45" t="s">
        <v>10844</v>
      </c>
      <c r="C2055" s="7" t="s">
        <v>10839</v>
      </c>
      <c r="D2055" s="7" t="s">
        <v>10845</v>
      </c>
      <c r="E2055" s="7" t="s">
        <v>10846</v>
      </c>
      <c r="F2055" s="7" t="s">
        <v>10847</v>
      </c>
      <c r="G2055" s="7"/>
      <c r="H2055" s="46" t="s">
        <v>249</v>
      </c>
      <c r="I2055" s="7" t="s">
        <v>160</v>
      </c>
      <c r="J2055" s="7" t="s">
        <v>148</v>
      </c>
      <c r="K2055" s="7"/>
      <c r="L2055" s="7"/>
      <c r="M2055" s="7"/>
    </row>
    <row r="2056" ht="15.75" customHeight="1">
      <c r="A2056" s="7" t="s">
        <v>10848</v>
      </c>
      <c r="B2056" s="45" t="s">
        <v>10849</v>
      </c>
      <c r="C2056" s="7" t="s">
        <v>10850</v>
      </c>
      <c r="D2056" s="7" t="s">
        <v>10851</v>
      </c>
      <c r="E2056" s="7" t="s">
        <v>10852</v>
      </c>
      <c r="F2056" s="7" t="s">
        <v>10853</v>
      </c>
      <c r="G2056" s="7"/>
      <c r="H2056" s="46" t="s">
        <v>249</v>
      </c>
      <c r="I2056" s="7" t="s">
        <v>160</v>
      </c>
      <c r="J2056" s="7" t="s">
        <v>148</v>
      </c>
      <c r="K2056" s="7"/>
      <c r="L2056" s="7"/>
      <c r="M2056" s="7"/>
    </row>
    <row r="2057" ht="15.75" customHeight="1">
      <c r="A2057" s="7" t="s">
        <v>10854</v>
      </c>
      <c r="B2057" s="45" t="s">
        <v>10855</v>
      </c>
      <c r="C2057" s="7" t="s">
        <v>10856</v>
      </c>
      <c r="D2057" s="7" t="s">
        <v>10851</v>
      </c>
      <c r="E2057" s="7" t="s">
        <v>10852</v>
      </c>
      <c r="F2057" s="7" t="s">
        <v>10853</v>
      </c>
      <c r="G2057" s="7"/>
      <c r="H2057" s="46" t="s">
        <v>249</v>
      </c>
      <c r="I2057" s="7" t="s">
        <v>160</v>
      </c>
      <c r="J2057" s="7" t="s">
        <v>148</v>
      </c>
      <c r="K2057" s="7"/>
      <c r="L2057" s="7"/>
      <c r="M2057" s="7"/>
    </row>
    <row r="2058" ht="15.75" customHeight="1">
      <c r="A2058" s="7" t="s">
        <v>10857</v>
      </c>
      <c r="B2058" s="45" t="s">
        <v>10858</v>
      </c>
      <c r="C2058" s="7" t="s">
        <v>10859</v>
      </c>
      <c r="D2058" s="7" t="s">
        <v>10860</v>
      </c>
      <c r="E2058" s="7" t="s">
        <v>10861</v>
      </c>
      <c r="F2058" s="7" t="s">
        <v>10862</v>
      </c>
      <c r="G2058" s="7"/>
      <c r="H2058" s="46" t="s">
        <v>249</v>
      </c>
      <c r="I2058" s="7" t="s">
        <v>160</v>
      </c>
      <c r="J2058" s="7" t="s">
        <v>148</v>
      </c>
      <c r="K2058" s="7"/>
      <c r="L2058" s="7"/>
      <c r="M2058" s="7"/>
    </row>
    <row r="2059" ht="15.75" customHeight="1">
      <c r="A2059" s="7" t="s">
        <v>10863</v>
      </c>
      <c r="B2059" s="45" t="s">
        <v>10864</v>
      </c>
      <c r="C2059" s="7" t="s">
        <v>10865</v>
      </c>
      <c r="D2059" s="7" t="s">
        <v>10866</v>
      </c>
      <c r="E2059" s="7" t="s">
        <v>10867</v>
      </c>
      <c r="F2059" s="7" t="s">
        <v>10868</v>
      </c>
      <c r="G2059" s="7"/>
      <c r="H2059" s="46" t="s">
        <v>249</v>
      </c>
      <c r="I2059" s="7" t="s">
        <v>160</v>
      </c>
      <c r="J2059" s="7" t="s">
        <v>148</v>
      </c>
      <c r="K2059" s="7"/>
      <c r="L2059" s="7"/>
      <c r="M2059" s="7"/>
    </row>
    <row r="2060" ht="15.75" customHeight="1">
      <c r="A2060" s="7" t="s">
        <v>10869</v>
      </c>
      <c r="B2060" s="45" t="s">
        <v>10870</v>
      </c>
      <c r="C2060" s="7" t="s">
        <v>10871</v>
      </c>
      <c r="D2060" s="7" t="s">
        <v>10872</v>
      </c>
      <c r="E2060" s="7" t="s">
        <v>10873</v>
      </c>
      <c r="F2060" s="7" t="s">
        <v>10874</v>
      </c>
      <c r="G2060" s="7"/>
      <c r="H2060" s="46" t="s">
        <v>249</v>
      </c>
      <c r="I2060" s="7" t="s">
        <v>160</v>
      </c>
      <c r="J2060" s="7" t="s">
        <v>148</v>
      </c>
      <c r="K2060" s="7"/>
      <c r="L2060" s="7"/>
      <c r="M2060" s="7"/>
    </row>
    <row r="2061" ht="15.75" customHeight="1">
      <c r="A2061" s="7" t="s">
        <v>10875</v>
      </c>
      <c r="B2061" s="45" t="s">
        <v>10876</v>
      </c>
      <c r="C2061" s="7" t="s">
        <v>10871</v>
      </c>
      <c r="D2061" s="7" t="s">
        <v>10877</v>
      </c>
      <c r="E2061" s="7" t="s">
        <v>10878</v>
      </c>
      <c r="F2061" s="7" t="s">
        <v>10874</v>
      </c>
      <c r="G2061" s="7"/>
      <c r="H2061" s="46" t="s">
        <v>249</v>
      </c>
      <c r="I2061" s="7" t="s">
        <v>160</v>
      </c>
      <c r="J2061" s="7" t="s">
        <v>148</v>
      </c>
      <c r="K2061" s="7"/>
      <c r="L2061" s="7"/>
      <c r="M2061" s="7"/>
    </row>
    <row r="2062" ht="15.75" customHeight="1">
      <c r="A2062" s="7" t="s">
        <v>10879</v>
      </c>
      <c r="B2062" s="45" t="s">
        <v>10880</v>
      </c>
      <c r="C2062" s="7" t="s">
        <v>10871</v>
      </c>
      <c r="D2062" s="7" t="s">
        <v>10881</v>
      </c>
      <c r="E2062" s="7" t="s">
        <v>10882</v>
      </c>
      <c r="F2062" s="7" t="s">
        <v>10883</v>
      </c>
      <c r="G2062" s="7"/>
      <c r="H2062" s="46" t="s">
        <v>249</v>
      </c>
      <c r="I2062" s="7" t="s">
        <v>160</v>
      </c>
      <c r="J2062" s="7" t="s">
        <v>148</v>
      </c>
      <c r="K2062" s="7"/>
      <c r="L2062" s="7"/>
      <c r="M2062" s="7"/>
    </row>
    <row r="2063" ht="15.75" customHeight="1">
      <c r="A2063" s="7" t="s">
        <v>10884</v>
      </c>
      <c r="B2063" s="45" t="s">
        <v>10885</v>
      </c>
      <c r="C2063" s="7" t="s">
        <v>10871</v>
      </c>
      <c r="D2063" s="7" t="s">
        <v>10886</v>
      </c>
      <c r="E2063" s="7" t="s">
        <v>10887</v>
      </c>
      <c r="F2063" s="7" t="s">
        <v>10883</v>
      </c>
      <c r="G2063" s="7"/>
      <c r="H2063" s="46" t="s">
        <v>249</v>
      </c>
      <c r="I2063" s="7" t="s">
        <v>160</v>
      </c>
      <c r="J2063" s="7" t="s">
        <v>148</v>
      </c>
      <c r="K2063" s="7"/>
      <c r="L2063" s="7"/>
      <c r="M2063" s="7"/>
    </row>
    <row r="2064" ht="15.75" customHeight="1">
      <c r="A2064" s="7" t="s">
        <v>10888</v>
      </c>
      <c r="B2064" s="45" t="s">
        <v>10889</v>
      </c>
      <c r="C2064" s="7" t="s">
        <v>10871</v>
      </c>
      <c r="D2064" s="7" t="s">
        <v>10890</v>
      </c>
      <c r="E2064" s="7" t="s">
        <v>10873</v>
      </c>
      <c r="F2064" s="7" t="s">
        <v>10874</v>
      </c>
      <c r="G2064" s="7"/>
      <c r="H2064" s="46" t="s">
        <v>249</v>
      </c>
      <c r="I2064" s="7" t="s">
        <v>160</v>
      </c>
      <c r="J2064" s="7" t="s">
        <v>148</v>
      </c>
      <c r="K2064" s="7"/>
      <c r="L2064" s="7"/>
      <c r="M2064" s="7"/>
    </row>
    <row r="2065" ht="15.75" customHeight="1">
      <c r="A2065" s="7" t="s">
        <v>10891</v>
      </c>
      <c r="B2065" s="45" t="s">
        <v>10892</v>
      </c>
      <c r="C2065" s="7" t="s">
        <v>10893</v>
      </c>
      <c r="D2065" s="7" t="s">
        <v>10894</v>
      </c>
      <c r="E2065" s="7" t="s">
        <v>10895</v>
      </c>
      <c r="F2065" s="7" t="s">
        <v>10896</v>
      </c>
      <c r="G2065" s="7"/>
      <c r="H2065" s="46" t="s">
        <v>249</v>
      </c>
      <c r="I2065" s="7" t="s">
        <v>160</v>
      </c>
      <c r="J2065" s="7" t="s">
        <v>148</v>
      </c>
      <c r="K2065" s="7"/>
      <c r="L2065" s="7"/>
      <c r="M2065" s="7"/>
    </row>
    <row r="2066" ht="15.75" customHeight="1">
      <c r="A2066" s="7" t="s">
        <v>10897</v>
      </c>
      <c r="B2066" s="45" t="s">
        <v>10898</v>
      </c>
      <c r="C2066" s="7" t="s">
        <v>10899</v>
      </c>
      <c r="D2066" s="7" t="s">
        <v>10900</v>
      </c>
      <c r="E2066" s="7" t="s">
        <v>10901</v>
      </c>
      <c r="F2066" s="7" t="s">
        <v>10896</v>
      </c>
      <c r="G2066" s="7"/>
      <c r="H2066" s="46" t="s">
        <v>249</v>
      </c>
      <c r="I2066" s="7" t="s">
        <v>160</v>
      </c>
      <c r="J2066" s="7" t="s">
        <v>148</v>
      </c>
      <c r="K2066" s="7"/>
      <c r="L2066" s="7"/>
      <c r="M2066" s="7"/>
    </row>
    <row r="2067" ht="15.75" customHeight="1">
      <c r="A2067" s="7" t="s">
        <v>10902</v>
      </c>
      <c r="B2067" s="45" t="s">
        <v>10903</v>
      </c>
      <c r="C2067" s="7" t="s">
        <v>10904</v>
      </c>
      <c r="D2067" s="7" t="s">
        <v>2922</v>
      </c>
      <c r="E2067" s="7" t="s">
        <v>10905</v>
      </c>
      <c r="F2067" s="7" t="s">
        <v>2924</v>
      </c>
      <c r="G2067" s="7"/>
      <c r="H2067" s="46" t="s">
        <v>249</v>
      </c>
      <c r="I2067" s="7" t="s">
        <v>160</v>
      </c>
      <c r="J2067" s="7" t="s">
        <v>148</v>
      </c>
      <c r="K2067" s="7"/>
      <c r="L2067" s="7"/>
      <c r="M2067" s="7"/>
    </row>
    <row r="2068" ht="15.75" customHeight="1">
      <c r="A2068" s="7" t="s">
        <v>10906</v>
      </c>
      <c r="B2068" s="45" t="s">
        <v>10907</v>
      </c>
      <c r="C2068" s="7" t="s">
        <v>10908</v>
      </c>
      <c r="D2068" s="7" t="s">
        <v>10909</v>
      </c>
      <c r="E2068" s="7" t="s">
        <v>10910</v>
      </c>
      <c r="F2068" s="7" t="s">
        <v>10911</v>
      </c>
      <c r="G2068" s="7"/>
      <c r="H2068" s="46" t="s">
        <v>249</v>
      </c>
      <c r="I2068" s="7" t="s">
        <v>160</v>
      </c>
      <c r="J2068" s="7" t="s">
        <v>148</v>
      </c>
      <c r="K2068" s="7"/>
      <c r="L2068" s="7"/>
      <c r="M2068" s="7"/>
    </row>
    <row r="2069" ht="15.75" customHeight="1">
      <c r="A2069" s="7" t="s">
        <v>10912</v>
      </c>
      <c r="B2069" s="45" t="s">
        <v>10913</v>
      </c>
      <c r="C2069" s="7" t="s">
        <v>10914</v>
      </c>
      <c r="D2069" s="7" t="s">
        <v>10915</v>
      </c>
      <c r="E2069" s="7" t="s">
        <v>10916</v>
      </c>
      <c r="F2069" s="7" t="s">
        <v>10917</v>
      </c>
      <c r="G2069" s="7"/>
      <c r="H2069" s="46" t="s">
        <v>249</v>
      </c>
      <c r="I2069" s="7" t="s">
        <v>160</v>
      </c>
      <c r="J2069" s="7" t="s">
        <v>148</v>
      </c>
      <c r="K2069" s="7"/>
      <c r="L2069" s="7"/>
      <c r="M2069" s="7"/>
    </row>
    <row r="2070" ht="15.75" customHeight="1">
      <c r="A2070" s="7" t="s">
        <v>10918</v>
      </c>
      <c r="B2070" s="45" t="s">
        <v>10919</v>
      </c>
      <c r="C2070" s="7" t="s">
        <v>10920</v>
      </c>
      <c r="D2070" s="7" t="s">
        <v>10921</v>
      </c>
      <c r="E2070" s="7" t="s">
        <v>10922</v>
      </c>
      <c r="F2070" s="7" t="s">
        <v>10923</v>
      </c>
      <c r="G2070" s="7"/>
      <c r="H2070" s="46" t="s">
        <v>249</v>
      </c>
      <c r="I2070" s="7" t="s">
        <v>160</v>
      </c>
      <c r="J2070" s="7" t="s">
        <v>148</v>
      </c>
      <c r="K2070" s="7"/>
      <c r="L2070" s="7"/>
      <c r="M2070" s="7"/>
    </row>
    <row r="2071" ht="15.75" customHeight="1">
      <c r="A2071" s="7" t="s">
        <v>10924</v>
      </c>
      <c r="B2071" s="45" t="s">
        <v>10925</v>
      </c>
      <c r="C2071" s="7" t="s">
        <v>8371</v>
      </c>
      <c r="D2071" s="7" t="s">
        <v>10926</v>
      </c>
      <c r="E2071" s="7" t="s">
        <v>10927</v>
      </c>
      <c r="F2071" s="7" t="s">
        <v>10928</v>
      </c>
      <c r="G2071" s="7"/>
      <c r="H2071" s="46" t="s">
        <v>249</v>
      </c>
      <c r="I2071" s="7" t="s">
        <v>160</v>
      </c>
      <c r="J2071" s="7" t="s">
        <v>148</v>
      </c>
      <c r="K2071" s="7"/>
      <c r="L2071" s="7"/>
      <c r="M2071" s="7"/>
    </row>
    <row r="2072" ht="15.75" customHeight="1">
      <c r="A2072" s="7" t="s">
        <v>10929</v>
      </c>
      <c r="B2072" s="45" t="s">
        <v>10930</v>
      </c>
      <c r="C2072" s="7" t="s">
        <v>10931</v>
      </c>
      <c r="D2072" s="7" t="s">
        <v>10932</v>
      </c>
      <c r="E2072" s="7" t="s">
        <v>10933</v>
      </c>
      <c r="F2072" s="7" t="s">
        <v>10934</v>
      </c>
      <c r="G2072" s="7" t="s">
        <v>10935</v>
      </c>
      <c r="H2072" s="46" t="s">
        <v>249</v>
      </c>
      <c r="I2072" s="7" t="s">
        <v>160</v>
      </c>
      <c r="J2072" s="7" t="s">
        <v>148</v>
      </c>
      <c r="K2072" s="7"/>
      <c r="L2072" s="7"/>
      <c r="M2072" s="7"/>
    </row>
    <row r="2073" ht="15.75" customHeight="1">
      <c r="A2073" s="7" t="s">
        <v>10936</v>
      </c>
      <c r="B2073" s="45" t="s">
        <v>10937</v>
      </c>
      <c r="C2073" s="7" t="s">
        <v>10938</v>
      </c>
      <c r="D2073" s="7" t="s">
        <v>10939</v>
      </c>
      <c r="E2073" s="7" t="s">
        <v>10940</v>
      </c>
      <c r="F2073" s="7" t="s">
        <v>10941</v>
      </c>
      <c r="G2073" s="7" t="s">
        <v>10942</v>
      </c>
      <c r="H2073" s="46" t="s">
        <v>249</v>
      </c>
      <c r="I2073" s="7" t="s">
        <v>160</v>
      </c>
      <c r="J2073" s="7" t="s">
        <v>148</v>
      </c>
      <c r="K2073" s="7"/>
      <c r="L2073" s="7"/>
      <c r="M2073" s="7"/>
    </row>
    <row r="2074" ht="15.75" customHeight="1">
      <c r="A2074" s="7" t="s">
        <v>10943</v>
      </c>
      <c r="B2074" s="45" t="s">
        <v>10944</v>
      </c>
      <c r="C2074" s="7" t="s">
        <v>10914</v>
      </c>
      <c r="D2074" s="7" t="s">
        <v>10945</v>
      </c>
      <c r="E2074" s="7" t="s">
        <v>10916</v>
      </c>
      <c r="F2074" s="7" t="s">
        <v>10917</v>
      </c>
      <c r="G2074" s="7"/>
      <c r="H2074" s="46" t="s">
        <v>249</v>
      </c>
      <c r="I2074" s="7" t="s">
        <v>160</v>
      </c>
      <c r="J2074" s="7" t="s">
        <v>148</v>
      </c>
      <c r="K2074" s="7"/>
      <c r="L2074" s="7"/>
      <c r="M2074" s="7"/>
    </row>
    <row r="2075" ht="15.75" customHeight="1">
      <c r="A2075" s="7" t="s">
        <v>10946</v>
      </c>
      <c r="B2075" s="45" t="s">
        <v>10947</v>
      </c>
      <c r="C2075" s="7" t="s">
        <v>10948</v>
      </c>
      <c r="D2075" s="7" t="s">
        <v>10949</v>
      </c>
      <c r="E2075" s="7" t="s">
        <v>10950</v>
      </c>
      <c r="F2075" s="7" t="s">
        <v>10951</v>
      </c>
      <c r="G2075" s="7"/>
      <c r="H2075" s="46" t="s">
        <v>249</v>
      </c>
      <c r="I2075" s="7" t="s">
        <v>160</v>
      </c>
      <c r="J2075" s="7" t="s">
        <v>148</v>
      </c>
      <c r="K2075" s="7"/>
      <c r="L2075" s="7"/>
      <c r="M2075" s="7"/>
    </row>
    <row r="2076" ht="15.75" customHeight="1">
      <c r="A2076" s="7" t="s">
        <v>10952</v>
      </c>
      <c r="B2076" s="45" t="s">
        <v>10953</v>
      </c>
      <c r="C2076" s="7" t="s">
        <v>10954</v>
      </c>
      <c r="D2076" s="7" t="s">
        <v>10955</v>
      </c>
      <c r="E2076" s="7" t="s">
        <v>10922</v>
      </c>
      <c r="F2076" s="7" t="s">
        <v>10923</v>
      </c>
      <c r="G2076" s="7"/>
      <c r="H2076" s="46" t="s">
        <v>249</v>
      </c>
      <c r="I2076" s="7" t="s">
        <v>160</v>
      </c>
      <c r="J2076" s="7" t="s">
        <v>148</v>
      </c>
      <c r="K2076" s="7"/>
      <c r="L2076" s="7"/>
      <c r="M2076" s="7"/>
    </row>
    <row r="2077" ht="15.75" customHeight="1">
      <c r="A2077" s="7" t="s">
        <v>10956</v>
      </c>
      <c r="B2077" s="45" t="s">
        <v>10957</v>
      </c>
      <c r="C2077" s="7" t="s">
        <v>10958</v>
      </c>
      <c r="D2077" s="7" t="s">
        <v>10959</v>
      </c>
      <c r="E2077" s="7" t="s">
        <v>10922</v>
      </c>
      <c r="F2077" s="7" t="s">
        <v>10923</v>
      </c>
      <c r="G2077" s="7"/>
      <c r="H2077" s="46" t="s">
        <v>249</v>
      </c>
      <c r="I2077" s="7" t="s">
        <v>160</v>
      </c>
      <c r="J2077" s="7" t="s">
        <v>148</v>
      </c>
      <c r="K2077" s="7"/>
      <c r="L2077" s="7"/>
      <c r="M2077" s="7"/>
    </row>
    <row r="2078" ht="15.75" customHeight="1">
      <c r="A2078" s="7" t="s">
        <v>10960</v>
      </c>
      <c r="B2078" s="45" t="s">
        <v>10961</v>
      </c>
      <c r="C2078" s="7" t="s">
        <v>10958</v>
      </c>
      <c r="D2078" s="7" t="s">
        <v>10962</v>
      </c>
      <c r="E2078" s="7" t="s">
        <v>10922</v>
      </c>
      <c r="F2078" s="7" t="s">
        <v>10923</v>
      </c>
      <c r="G2078" s="7"/>
      <c r="H2078" s="46" t="s">
        <v>249</v>
      </c>
      <c r="I2078" s="7" t="s">
        <v>160</v>
      </c>
      <c r="J2078" s="7" t="s">
        <v>148</v>
      </c>
      <c r="K2078" s="7"/>
      <c r="L2078" s="7"/>
      <c r="M2078" s="7"/>
    </row>
    <row r="2079" ht="15.75" customHeight="1">
      <c r="A2079" s="7" t="s">
        <v>10963</v>
      </c>
      <c r="B2079" s="45" t="s">
        <v>10964</v>
      </c>
      <c r="C2079" s="7" t="s">
        <v>10965</v>
      </c>
      <c r="D2079" s="7" t="s">
        <v>10966</v>
      </c>
      <c r="E2079" s="7" t="s">
        <v>10967</v>
      </c>
      <c r="F2079" s="7" t="s">
        <v>10968</v>
      </c>
      <c r="G2079" s="7"/>
      <c r="H2079" s="46" t="s">
        <v>249</v>
      </c>
      <c r="I2079" s="7" t="s">
        <v>160</v>
      </c>
      <c r="J2079" s="7" t="s">
        <v>148</v>
      </c>
      <c r="K2079" s="7"/>
      <c r="L2079" s="7"/>
      <c r="M2079" s="7"/>
    </row>
    <row r="2080" ht="15.75" customHeight="1">
      <c r="A2080" s="7" t="s">
        <v>10969</v>
      </c>
      <c r="B2080" s="45" t="s">
        <v>10970</v>
      </c>
      <c r="C2080" s="7" t="s">
        <v>10971</v>
      </c>
      <c r="D2080" s="7" t="s">
        <v>10972</v>
      </c>
      <c r="E2080" s="7" t="s">
        <v>10973</v>
      </c>
      <c r="F2080" s="7" t="s">
        <v>6562</v>
      </c>
      <c r="G2080" s="7"/>
      <c r="H2080" s="46" t="s">
        <v>249</v>
      </c>
      <c r="I2080" s="7" t="s">
        <v>160</v>
      </c>
      <c r="J2080" s="7" t="s">
        <v>148</v>
      </c>
      <c r="K2080" s="7"/>
      <c r="L2080" s="7"/>
      <c r="M2080" s="7"/>
    </row>
    <row r="2081" ht="15.75" customHeight="1">
      <c r="A2081" s="7" t="s">
        <v>10974</v>
      </c>
      <c r="B2081" s="45" t="s">
        <v>10975</v>
      </c>
      <c r="C2081" s="7" t="s">
        <v>10976</v>
      </c>
      <c r="D2081" s="7" t="s">
        <v>10977</v>
      </c>
      <c r="E2081" s="7" t="s">
        <v>10973</v>
      </c>
      <c r="F2081" s="7" t="s">
        <v>6562</v>
      </c>
      <c r="G2081" s="7"/>
      <c r="H2081" s="46" t="s">
        <v>249</v>
      </c>
      <c r="I2081" s="7" t="s">
        <v>160</v>
      </c>
      <c r="J2081" s="7" t="s">
        <v>148</v>
      </c>
      <c r="K2081" s="7"/>
      <c r="L2081" s="7"/>
      <c r="M2081" s="7"/>
    </row>
    <row r="2082" ht="15.75" customHeight="1">
      <c r="A2082" s="7" t="s">
        <v>10978</v>
      </c>
      <c r="B2082" s="45" t="s">
        <v>10979</v>
      </c>
      <c r="C2082" s="7" t="s">
        <v>10971</v>
      </c>
      <c r="D2082" s="7" t="s">
        <v>10980</v>
      </c>
      <c r="E2082" s="7" t="s">
        <v>10973</v>
      </c>
      <c r="F2082" s="7" t="s">
        <v>6562</v>
      </c>
      <c r="G2082" s="7"/>
      <c r="H2082" s="46" t="s">
        <v>249</v>
      </c>
      <c r="I2082" s="7" t="s">
        <v>160</v>
      </c>
      <c r="J2082" s="7" t="s">
        <v>148</v>
      </c>
      <c r="K2082" s="7"/>
      <c r="L2082" s="7"/>
      <c r="M2082" s="7"/>
    </row>
    <row r="2083" ht="15.75" customHeight="1">
      <c r="A2083" s="7" t="s">
        <v>10981</v>
      </c>
      <c r="B2083" s="45" t="s">
        <v>10982</v>
      </c>
      <c r="C2083" s="7" t="s">
        <v>10976</v>
      </c>
      <c r="D2083" s="7" t="s">
        <v>10983</v>
      </c>
      <c r="E2083" s="7" t="s">
        <v>10973</v>
      </c>
      <c r="F2083" s="7" t="s">
        <v>6562</v>
      </c>
      <c r="G2083" s="7"/>
      <c r="H2083" s="46" t="s">
        <v>249</v>
      </c>
      <c r="I2083" s="7" t="s">
        <v>160</v>
      </c>
      <c r="J2083" s="7" t="s">
        <v>148</v>
      </c>
      <c r="K2083" s="7"/>
      <c r="L2083" s="7"/>
      <c r="M2083" s="7"/>
    </row>
    <row r="2084" ht="15.75" customHeight="1">
      <c r="A2084" s="7" t="s">
        <v>10984</v>
      </c>
      <c r="B2084" s="45" t="s">
        <v>10985</v>
      </c>
      <c r="C2084" s="7" t="s">
        <v>10986</v>
      </c>
      <c r="D2084" s="7" t="s">
        <v>10987</v>
      </c>
      <c r="E2084" s="7" t="s">
        <v>10988</v>
      </c>
      <c r="F2084" s="7" t="s">
        <v>10989</v>
      </c>
      <c r="G2084" s="7"/>
      <c r="H2084" s="46" t="s">
        <v>249</v>
      </c>
      <c r="I2084" s="7" t="s">
        <v>160</v>
      </c>
      <c r="J2084" s="7" t="s">
        <v>148</v>
      </c>
      <c r="K2084" s="7"/>
      <c r="L2084" s="7"/>
      <c r="M2084" s="7"/>
    </row>
    <row r="2085" ht="15.75" customHeight="1">
      <c r="A2085" s="7" t="s">
        <v>10990</v>
      </c>
      <c r="B2085" s="45" t="s">
        <v>10991</v>
      </c>
      <c r="C2085" s="7" t="s">
        <v>10992</v>
      </c>
      <c r="D2085" s="7" t="s">
        <v>10993</v>
      </c>
      <c r="E2085" s="7" t="s">
        <v>10994</v>
      </c>
      <c r="F2085" s="7" t="s">
        <v>10995</v>
      </c>
      <c r="G2085" s="7"/>
      <c r="H2085" s="46" t="s">
        <v>249</v>
      </c>
      <c r="I2085" s="7" t="s">
        <v>160</v>
      </c>
      <c r="J2085" s="7" t="s">
        <v>148</v>
      </c>
      <c r="K2085" s="7"/>
      <c r="L2085" s="7"/>
      <c r="M2085" s="7"/>
    </row>
    <row r="2086" ht="15.75" customHeight="1">
      <c r="A2086" s="7" t="s">
        <v>10996</v>
      </c>
      <c r="B2086" s="45" t="s">
        <v>10997</v>
      </c>
      <c r="C2086" s="7" t="s">
        <v>10998</v>
      </c>
      <c r="D2086" s="7" t="s">
        <v>10999</v>
      </c>
      <c r="E2086" s="7" t="s">
        <v>11000</v>
      </c>
      <c r="F2086" s="7" t="s">
        <v>11001</v>
      </c>
      <c r="G2086" s="7"/>
      <c r="H2086" s="46" t="s">
        <v>249</v>
      </c>
      <c r="I2086" s="7" t="s">
        <v>160</v>
      </c>
      <c r="J2086" s="7" t="s">
        <v>148</v>
      </c>
      <c r="K2086" s="7"/>
      <c r="L2086" s="7"/>
      <c r="M2086" s="7"/>
    </row>
    <row r="2087" ht="15.75" customHeight="1">
      <c r="A2087" s="7" t="s">
        <v>11002</v>
      </c>
      <c r="B2087" s="45" t="s">
        <v>11003</v>
      </c>
      <c r="C2087" s="7" t="s">
        <v>11004</v>
      </c>
      <c r="D2087" s="7" t="s">
        <v>11005</v>
      </c>
      <c r="E2087" s="7" t="s">
        <v>11006</v>
      </c>
      <c r="F2087" s="7" t="s">
        <v>11007</v>
      </c>
      <c r="G2087" s="7"/>
      <c r="H2087" s="46" t="s">
        <v>249</v>
      </c>
      <c r="I2087" s="7" t="s">
        <v>160</v>
      </c>
      <c r="J2087" s="7" t="s">
        <v>148</v>
      </c>
      <c r="K2087" s="7"/>
      <c r="L2087" s="7"/>
      <c r="M2087" s="7"/>
    </row>
    <row r="2088" ht="15.75" customHeight="1">
      <c r="A2088" s="7" t="s">
        <v>11008</v>
      </c>
      <c r="B2088" s="45" t="s">
        <v>11009</v>
      </c>
      <c r="C2088" s="7" t="s">
        <v>11010</v>
      </c>
      <c r="D2088" s="7" t="s">
        <v>11011</v>
      </c>
      <c r="E2088" s="7" t="s">
        <v>11012</v>
      </c>
      <c r="F2088" s="7" t="s">
        <v>11013</v>
      </c>
      <c r="G2088" s="7"/>
      <c r="H2088" s="46" t="s">
        <v>249</v>
      </c>
      <c r="I2088" s="7" t="s">
        <v>160</v>
      </c>
      <c r="J2088" s="7" t="s">
        <v>148</v>
      </c>
      <c r="K2088" s="7"/>
      <c r="L2088" s="7"/>
      <c r="M2088" s="7"/>
    </row>
    <row r="2089" ht="15.75" customHeight="1">
      <c r="A2089" s="7" t="s">
        <v>11014</v>
      </c>
      <c r="B2089" s="45" t="s">
        <v>11015</v>
      </c>
      <c r="C2089" s="7" t="s">
        <v>11016</v>
      </c>
      <c r="D2089" s="7" t="s">
        <v>11017</v>
      </c>
      <c r="E2089" s="7" t="s">
        <v>11018</v>
      </c>
      <c r="F2089" s="7" t="s">
        <v>11019</v>
      </c>
      <c r="G2089" s="7"/>
      <c r="H2089" s="46" t="s">
        <v>249</v>
      </c>
      <c r="I2089" s="7" t="s">
        <v>160</v>
      </c>
      <c r="J2089" s="7" t="s">
        <v>148</v>
      </c>
      <c r="K2089" s="7"/>
      <c r="L2089" s="7"/>
      <c r="M2089" s="7"/>
    </row>
    <row r="2090" ht="15.75" customHeight="1">
      <c r="A2090" s="7" t="s">
        <v>11020</v>
      </c>
      <c r="B2090" s="45" t="s">
        <v>11021</v>
      </c>
      <c r="C2090" s="7" t="s">
        <v>11022</v>
      </c>
      <c r="D2090" s="7" t="s">
        <v>11023</v>
      </c>
      <c r="E2090" s="7" t="s">
        <v>11024</v>
      </c>
      <c r="F2090" s="7" t="s">
        <v>11025</v>
      </c>
      <c r="G2090" s="7"/>
      <c r="H2090" s="46" t="s">
        <v>249</v>
      </c>
      <c r="I2090" s="7" t="s">
        <v>160</v>
      </c>
      <c r="J2090" s="7" t="s">
        <v>148</v>
      </c>
      <c r="K2090" s="7"/>
      <c r="L2090" s="7"/>
      <c r="M2090" s="7"/>
    </row>
    <row r="2091" ht="15.75" customHeight="1">
      <c r="A2091" s="7" t="s">
        <v>11026</v>
      </c>
      <c r="B2091" s="45" t="s">
        <v>11027</v>
      </c>
      <c r="C2091" s="7" t="s">
        <v>11028</v>
      </c>
      <c r="D2091" s="7" t="s">
        <v>11029</v>
      </c>
      <c r="E2091" s="7" t="s">
        <v>11030</v>
      </c>
      <c r="F2091" s="7" t="s">
        <v>11031</v>
      </c>
      <c r="G2091" s="7"/>
      <c r="H2091" s="46" t="s">
        <v>249</v>
      </c>
      <c r="I2091" s="7" t="s">
        <v>160</v>
      </c>
      <c r="J2091" s="7" t="s">
        <v>148</v>
      </c>
      <c r="K2091" s="7"/>
      <c r="L2091" s="7"/>
      <c r="M2091" s="7"/>
    </row>
    <row r="2092" ht="15.75" customHeight="1">
      <c r="A2092" s="7" t="s">
        <v>11032</v>
      </c>
      <c r="B2092" s="45" t="s">
        <v>11033</v>
      </c>
      <c r="C2092" s="7" t="s">
        <v>11034</v>
      </c>
      <c r="D2092" s="7" t="s">
        <v>11035</v>
      </c>
      <c r="E2092" s="7" t="s">
        <v>11036</v>
      </c>
      <c r="F2092" s="7" t="s">
        <v>11037</v>
      </c>
      <c r="G2092" s="7"/>
      <c r="H2092" s="46" t="s">
        <v>249</v>
      </c>
      <c r="I2092" s="7" t="s">
        <v>160</v>
      </c>
      <c r="J2092" s="7" t="s">
        <v>148</v>
      </c>
      <c r="K2092" s="7"/>
      <c r="L2092" s="7"/>
      <c r="M2092" s="7"/>
    </row>
    <row r="2093" ht="15.75" customHeight="1">
      <c r="A2093" s="7" t="s">
        <v>11038</v>
      </c>
      <c r="B2093" s="45" t="s">
        <v>11039</v>
      </c>
      <c r="C2093" s="7" t="s">
        <v>11040</v>
      </c>
      <c r="D2093" s="7" t="s">
        <v>11041</v>
      </c>
      <c r="E2093" s="7" t="s">
        <v>11042</v>
      </c>
      <c r="F2093" s="7" t="s">
        <v>11043</v>
      </c>
      <c r="G2093" s="7"/>
      <c r="H2093" s="46" t="s">
        <v>249</v>
      </c>
      <c r="I2093" s="7" t="s">
        <v>160</v>
      </c>
      <c r="J2093" s="7" t="s">
        <v>148</v>
      </c>
      <c r="K2093" s="7"/>
      <c r="L2093" s="7"/>
      <c r="M2093" s="7"/>
    </row>
    <row r="2094" ht="15.75" customHeight="1">
      <c r="A2094" s="7" t="s">
        <v>11044</v>
      </c>
      <c r="B2094" s="45" t="s">
        <v>11045</v>
      </c>
      <c r="C2094" s="7" t="s">
        <v>11046</v>
      </c>
      <c r="D2094" s="7" t="s">
        <v>11047</v>
      </c>
      <c r="E2094" s="7" t="s">
        <v>11048</v>
      </c>
      <c r="F2094" s="7" t="s">
        <v>11049</v>
      </c>
      <c r="G2094" s="7"/>
      <c r="H2094" s="46" t="s">
        <v>249</v>
      </c>
      <c r="I2094" s="7" t="s">
        <v>160</v>
      </c>
      <c r="J2094" s="7" t="s">
        <v>148</v>
      </c>
      <c r="K2094" s="7"/>
      <c r="L2094" s="7"/>
      <c r="M2094" s="7"/>
    </row>
    <row r="2095" ht="15.75" customHeight="1">
      <c r="A2095" s="7" t="s">
        <v>11050</v>
      </c>
      <c r="B2095" s="45" t="s">
        <v>11051</v>
      </c>
      <c r="C2095" s="7" t="s">
        <v>11052</v>
      </c>
      <c r="D2095" s="7" t="s">
        <v>11053</v>
      </c>
      <c r="E2095" s="7" t="s">
        <v>11054</v>
      </c>
      <c r="F2095" s="7" t="s">
        <v>11055</v>
      </c>
      <c r="G2095" s="7"/>
      <c r="H2095" s="46" t="s">
        <v>249</v>
      </c>
      <c r="I2095" s="7" t="s">
        <v>160</v>
      </c>
      <c r="J2095" s="7" t="s">
        <v>148</v>
      </c>
      <c r="K2095" s="7"/>
      <c r="L2095" s="7"/>
      <c r="M2095" s="7"/>
    </row>
    <row r="2096" ht="15.75" customHeight="1">
      <c r="A2096" s="7" t="s">
        <v>11056</v>
      </c>
      <c r="B2096" s="45" t="s">
        <v>11057</v>
      </c>
      <c r="C2096" s="7" t="s">
        <v>11058</v>
      </c>
      <c r="D2096" s="7" t="s">
        <v>11059</v>
      </c>
      <c r="E2096" s="7" t="s">
        <v>11060</v>
      </c>
      <c r="F2096" s="7" t="s">
        <v>11061</v>
      </c>
      <c r="G2096" s="7"/>
      <c r="H2096" s="46" t="s">
        <v>249</v>
      </c>
      <c r="I2096" s="7" t="s">
        <v>160</v>
      </c>
      <c r="J2096" s="7" t="s">
        <v>148</v>
      </c>
      <c r="K2096" s="7"/>
      <c r="L2096" s="7"/>
      <c r="M2096" s="7"/>
    </row>
    <row r="2097" ht="15.75" customHeight="1">
      <c r="A2097" s="7" t="s">
        <v>11062</v>
      </c>
      <c r="B2097" s="45" t="s">
        <v>11063</v>
      </c>
      <c r="C2097" s="7" t="s">
        <v>11064</v>
      </c>
      <c r="D2097" s="7" t="s">
        <v>11065</v>
      </c>
      <c r="E2097" s="7" t="s">
        <v>11066</v>
      </c>
      <c r="F2097" s="7" t="s">
        <v>11067</v>
      </c>
      <c r="G2097" s="7"/>
      <c r="H2097" s="46" t="s">
        <v>249</v>
      </c>
      <c r="I2097" s="7" t="s">
        <v>160</v>
      </c>
      <c r="J2097" s="7" t="s">
        <v>148</v>
      </c>
      <c r="K2097" s="7"/>
      <c r="L2097" s="7"/>
      <c r="M2097" s="7"/>
    </row>
    <row r="2098" ht="15.75" customHeight="1">
      <c r="A2098" s="7" t="s">
        <v>11068</v>
      </c>
      <c r="B2098" s="45" t="s">
        <v>11069</v>
      </c>
      <c r="C2098" s="7" t="s">
        <v>11070</v>
      </c>
      <c r="D2098" s="7" t="s">
        <v>11071</v>
      </c>
      <c r="E2098" s="7" t="s">
        <v>11072</v>
      </c>
      <c r="F2098" s="7" t="s">
        <v>11073</v>
      </c>
      <c r="G2098" s="7"/>
      <c r="H2098" s="46" t="s">
        <v>249</v>
      </c>
      <c r="I2098" s="7" t="s">
        <v>160</v>
      </c>
      <c r="J2098" s="7" t="s">
        <v>148</v>
      </c>
      <c r="K2098" s="7"/>
      <c r="L2098" s="7"/>
      <c r="M2098" s="7"/>
    </row>
    <row r="2099" ht="15.75" customHeight="1">
      <c r="A2099" s="7" t="s">
        <v>11074</v>
      </c>
      <c r="B2099" s="45" t="s">
        <v>11075</v>
      </c>
      <c r="C2099" s="7" t="s">
        <v>11076</v>
      </c>
      <c r="D2099" s="7" t="s">
        <v>11077</v>
      </c>
      <c r="E2099" s="7" t="s">
        <v>11078</v>
      </c>
      <c r="F2099" s="7" t="s">
        <v>11079</v>
      </c>
      <c r="G2099" s="7"/>
      <c r="H2099" s="46" t="s">
        <v>249</v>
      </c>
      <c r="I2099" s="7" t="s">
        <v>160</v>
      </c>
      <c r="J2099" s="7" t="s">
        <v>148</v>
      </c>
      <c r="K2099" s="7"/>
      <c r="L2099" s="7"/>
      <c r="M2099" s="7"/>
    </row>
    <row r="2100" ht="15.75" customHeight="1">
      <c r="A2100" s="7" t="s">
        <v>11080</v>
      </c>
      <c r="B2100" s="45" t="s">
        <v>11081</v>
      </c>
      <c r="C2100" s="7" t="s">
        <v>11082</v>
      </c>
      <c r="D2100" s="7" t="s">
        <v>11083</v>
      </c>
      <c r="E2100" s="7" t="s">
        <v>11084</v>
      </c>
      <c r="F2100" s="7" t="s">
        <v>11085</v>
      </c>
      <c r="G2100" s="7"/>
      <c r="H2100" s="46" t="s">
        <v>249</v>
      </c>
      <c r="I2100" s="7" t="s">
        <v>160</v>
      </c>
      <c r="J2100" s="7" t="s">
        <v>148</v>
      </c>
      <c r="K2100" s="7"/>
      <c r="L2100" s="7"/>
      <c r="M2100" s="7"/>
    </row>
    <row r="2101" ht="15.75" customHeight="1">
      <c r="A2101" s="7" t="s">
        <v>11086</v>
      </c>
      <c r="B2101" s="45" t="s">
        <v>11087</v>
      </c>
      <c r="C2101" s="7" t="s">
        <v>11082</v>
      </c>
      <c r="D2101" s="7" t="s">
        <v>11088</v>
      </c>
      <c r="E2101" s="7" t="s">
        <v>11084</v>
      </c>
      <c r="F2101" s="7" t="s">
        <v>11085</v>
      </c>
      <c r="G2101" s="7"/>
      <c r="H2101" s="46" t="s">
        <v>249</v>
      </c>
      <c r="I2101" s="7" t="s">
        <v>160</v>
      </c>
      <c r="J2101" s="7" t="s">
        <v>148</v>
      </c>
      <c r="K2101" s="7"/>
      <c r="L2101" s="7"/>
      <c r="M2101" s="7"/>
    </row>
    <row r="2102" ht="15.75" customHeight="1">
      <c r="A2102" s="7" t="s">
        <v>11089</v>
      </c>
      <c r="B2102" s="45" t="s">
        <v>11090</v>
      </c>
      <c r="C2102" s="7" t="s">
        <v>11091</v>
      </c>
      <c r="D2102" s="7" t="s">
        <v>11092</v>
      </c>
      <c r="E2102" s="7" t="s">
        <v>11093</v>
      </c>
      <c r="F2102" s="7" t="s">
        <v>11094</v>
      </c>
      <c r="G2102" s="7"/>
      <c r="H2102" s="46" t="s">
        <v>249</v>
      </c>
      <c r="I2102" s="7" t="s">
        <v>160</v>
      </c>
      <c r="J2102" s="7" t="s">
        <v>148</v>
      </c>
      <c r="K2102" s="7"/>
      <c r="L2102" s="7"/>
      <c r="M2102" s="7"/>
    </row>
    <row r="2103" ht="15.75" customHeight="1">
      <c r="A2103" s="7" t="s">
        <v>11095</v>
      </c>
      <c r="B2103" s="45" t="s">
        <v>11096</v>
      </c>
      <c r="C2103" s="7" t="s">
        <v>10632</v>
      </c>
      <c r="D2103" s="7" t="s">
        <v>11097</v>
      </c>
      <c r="E2103" s="7" t="s">
        <v>11098</v>
      </c>
      <c r="F2103" s="7" t="s">
        <v>10379</v>
      </c>
      <c r="G2103" s="7"/>
      <c r="H2103" s="46" t="s">
        <v>249</v>
      </c>
      <c r="I2103" s="7" t="s">
        <v>160</v>
      </c>
      <c r="J2103" s="7" t="s">
        <v>148</v>
      </c>
      <c r="K2103" s="7"/>
      <c r="L2103" s="7"/>
      <c r="M2103" s="7"/>
    </row>
    <row r="2104" ht="15.75" customHeight="1">
      <c r="A2104" s="7" t="s">
        <v>11099</v>
      </c>
      <c r="B2104" s="45" t="s">
        <v>11100</v>
      </c>
      <c r="C2104" s="7" t="s">
        <v>11101</v>
      </c>
      <c r="D2104" s="7" t="s">
        <v>11102</v>
      </c>
      <c r="E2104" s="7" t="s">
        <v>11103</v>
      </c>
      <c r="F2104" s="7" t="s">
        <v>1557</v>
      </c>
      <c r="G2104" s="7"/>
      <c r="H2104" s="46" t="s">
        <v>249</v>
      </c>
      <c r="I2104" s="7" t="s">
        <v>160</v>
      </c>
      <c r="J2104" s="7" t="s">
        <v>148</v>
      </c>
      <c r="K2104" s="7"/>
      <c r="L2104" s="7"/>
      <c r="M2104" s="7"/>
    </row>
    <row r="2105" ht="15.75" customHeight="1">
      <c r="A2105" s="7" t="s">
        <v>11104</v>
      </c>
      <c r="B2105" s="45" t="s">
        <v>11105</v>
      </c>
      <c r="C2105" s="7" t="s">
        <v>11106</v>
      </c>
      <c r="D2105" s="7" t="s">
        <v>11107</v>
      </c>
      <c r="E2105" s="7" t="s">
        <v>11108</v>
      </c>
      <c r="F2105" s="7" t="s">
        <v>11109</v>
      </c>
      <c r="G2105" s="7"/>
      <c r="H2105" s="46" t="s">
        <v>249</v>
      </c>
      <c r="I2105" s="7" t="s">
        <v>160</v>
      </c>
      <c r="J2105" s="7" t="s">
        <v>148</v>
      </c>
      <c r="K2105" s="7"/>
      <c r="L2105" s="7"/>
      <c r="M2105" s="7"/>
    </row>
    <row r="2106" ht="15.75" customHeight="1">
      <c r="A2106" s="7" t="s">
        <v>11110</v>
      </c>
      <c r="B2106" s="45" t="s">
        <v>11111</v>
      </c>
      <c r="C2106" s="7" t="s">
        <v>11112</v>
      </c>
      <c r="D2106" s="7" t="s">
        <v>11113</v>
      </c>
      <c r="E2106" s="7" t="s">
        <v>11114</v>
      </c>
      <c r="F2106" s="7" t="s">
        <v>11115</v>
      </c>
      <c r="G2106" s="7"/>
      <c r="H2106" s="46" t="s">
        <v>249</v>
      </c>
      <c r="I2106" s="7" t="s">
        <v>160</v>
      </c>
      <c r="J2106" s="7" t="s">
        <v>148</v>
      </c>
      <c r="K2106" s="7"/>
      <c r="L2106" s="7"/>
      <c r="M2106" s="7"/>
    </row>
    <row r="2107" ht="15.75" customHeight="1">
      <c r="A2107" s="7" t="s">
        <v>11116</v>
      </c>
      <c r="B2107" s="45" t="s">
        <v>11117</v>
      </c>
      <c r="C2107" s="7" t="s">
        <v>11118</v>
      </c>
      <c r="D2107" s="7" t="s">
        <v>11119</v>
      </c>
      <c r="E2107" s="7" t="s">
        <v>11120</v>
      </c>
      <c r="F2107" s="7" t="s">
        <v>11121</v>
      </c>
      <c r="G2107" s="7" t="s">
        <v>11122</v>
      </c>
      <c r="H2107" s="46" t="s">
        <v>249</v>
      </c>
      <c r="I2107" s="7" t="s">
        <v>160</v>
      </c>
      <c r="J2107" s="7" t="s">
        <v>148</v>
      </c>
      <c r="K2107" s="7"/>
      <c r="L2107" s="7"/>
      <c r="M2107" s="7"/>
    </row>
    <row r="2108" ht="15.75" customHeight="1">
      <c r="A2108" s="7" t="s">
        <v>11123</v>
      </c>
      <c r="B2108" s="45" t="s">
        <v>11124</v>
      </c>
      <c r="C2108" s="7" t="s">
        <v>11125</v>
      </c>
      <c r="D2108" s="7" t="s">
        <v>11126</v>
      </c>
      <c r="E2108" s="7" t="s">
        <v>11127</v>
      </c>
      <c r="F2108" s="7" t="s">
        <v>11128</v>
      </c>
      <c r="G2108" s="7"/>
      <c r="H2108" s="46" t="s">
        <v>249</v>
      </c>
      <c r="I2108" s="7" t="s">
        <v>160</v>
      </c>
      <c r="J2108" s="7" t="s">
        <v>148</v>
      </c>
      <c r="K2108" s="7"/>
      <c r="L2108" s="7"/>
      <c r="M2108" s="7"/>
    </row>
    <row r="2109" ht="15.75" customHeight="1">
      <c r="A2109" s="7" t="s">
        <v>11129</v>
      </c>
      <c r="B2109" s="45" t="s">
        <v>11130</v>
      </c>
      <c r="C2109" s="7" t="s">
        <v>11131</v>
      </c>
      <c r="D2109" s="7" t="s">
        <v>11132</v>
      </c>
      <c r="E2109" s="7" t="s">
        <v>11133</v>
      </c>
      <c r="F2109" s="7" t="s">
        <v>11134</v>
      </c>
      <c r="G2109" s="7"/>
      <c r="H2109" s="46" t="s">
        <v>249</v>
      </c>
      <c r="I2109" s="7" t="s">
        <v>160</v>
      </c>
      <c r="J2109" s="7" t="s">
        <v>148</v>
      </c>
      <c r="K2109" s="7"/>
      <c r="L2109" s="7"/>
      <c r="M2109" s="7"/>
    </row>
    <row r="2110" ht="15.75" customHeight="1">
      <c r="A2110" s="7" t="s">
        <v>11135</v>
      </c>
      <c r="B2110" s="45" t="s">
        <v>11136</v>
      </c>
      <c r="C2110" s="7" t="s">
        <v>11137</v>
      </c>
      <c r="D2110" s="7" t="s">
        <v>11138</v>
      </c>
      <c r="E2110" s="7" t="s">
        <v>11133</v>
      </c>
      <c r="F2110" s="7" t="s">
        <v>11134</v>
      </c>
      <c r="G2110" s="7"/>
      <c r="H2110" s="46" t="s">
        <v>249</v>
      </c>
      <c r="I2110" s="7" t="s">
        <v>160</v>
      </c>
      <c r="J2110" s="7" t="s">
        <v>148</v>
      </c>
      <c r="K2110" s="7"/>
      <c r="L2110" s="7"/>
      <c r="M2110" s="7"/>
    </row>
    <row r="2111" ht="15.75" customHeight="1">
      <c r="A2111" s="7" t="s">
        <v>11139</v>
      </c>
      <c r="B2111" s="45" t="s">
        <v>11140</v>
      </c>
      <c r="C2111" s="7" t="s">
        <v>11141</v>
      </c>
      <c r="D2111" s="7" t="s">
        <v>11142</v>
      </c>
      <c r="E2111" s="7" t="s">
        <v>11133</v>
      </c>
      <c r="F2111" s="7" t="s">
        <v>11134</v>
      </c>
      <c r="G2111" s="7"/>
      <c r="H2111" s="46" t="s">
        <v>249</v>
      </c>
      <c r="I2111" s="7" t="s">
        <v>160</v>
      </c>
      <c r="J2111" s="7" t="s">
        <v>148</v>
      </c>
      <c r="K2111" s="7"/>
      <c r="L2111" s="7"/>
      <c r="M2111" s="7"/>
    </row>
    <row r="2112" ht="15.75" customHeight="1">
      <c r="A2112" s="7" t="s">
        <v>11143</v>
      </c>
      <c r="B2112" s="45" t="s">
        <v>11144</v>
      </c>
      <c r="C2112" s="7" t="s">
        <v>11141</v>
      </c>
      <c r="D2112" s="7" t="s">
        <v>11145</v>
      </c>
      <c r="E2112" s="7" t="s">
        <v>11133</v>
      </c>
      <c r="F2112" s="7" t="s">
        <v>11134</v>
      </c>
      <c r="G2112" s="7"/>
      <c r="H2112" s="46" t="s">
        <v>249</v>
      </c>
      <c r="I2112" s="7" t="s">
        <v>160</v>
      </c>
      <c r="J2112" s="7" t="s">
        <v>148</v>
      </c>
      <c r="K2112" s="7"/>
      <c r="L2112" s="7"/>
      <c r="M2112" s="7"/>
    </row>
    <row r="2113" ht="15.75" customHeight="1">
      <c r="A2113" s="7" t="s">
        <v>11146</v>
      </c>
      <c r="B2113" s="45" t="s">
        <v>11147</v>
      </c>
      <c r="C2113" s="7" t="s">
        <v>11148</v>
      </c>
      <c r="D2113" s="7" t="s">
        <v>11149</v>
      </c>
      <c r="E2113" s="7" t="s">
        <v>11150</v>
      </c>
      <c r="F2113" s="7" t="s">
        <v>11151</v>
      </c>
      <c r="G2113" s="7"/>
      <c r="H2113" s="46" t="s">
        <v>249</v>
      </c>
      <c r="I2113" s="7" t="s">
        <v>160</v>
      </c>
      <c r="J2113" s="7" t="s">
        <v>148</v>
      </c>
      <c r="K2113" s="7"/>
      <c r="L2113" s="7"/>
      <c r="M2113" s="7"/>
    </row>
    <row r="2114" ht="15.75" customHeight="1">
      <c r="A2114" s="7" t="s">
        <v>11152</v>
      </c>
      <c r="B2114" s="45" t="s">
        <v>11153</v>
      </c>
      <c r="C2114" s="7" t="s">
        <v>11154</v>
      </c>
      <c r="D2114" s="7" t="s">
        <v>11149</v>
      </c>
      <c r="E2114" s="7" t="s">
        <v>11155</v>
      </c>
      <c r="F2114" s="7" t="s">
        <v>11151</v>
      </c>
      <c r="G2114" s="7"/>
      <c r="H2114" s="46" t="s">
        <v>249</v>
      </c>
      <c r="I2114" s="7" t="s">
        <v>160</v>
      </c>
      <c r="J2114" s="7" t="s">
        <v>148</v>
      </c>
      <c r="K2114" s="7"/>
      <c r="L2114" s="7"/>
      <c r="M2114" s="7"/>
    </row>
    <row r="2115" ht="15.75" customHeight="1">
      <c r="A2115" s="7" t="s">
        <v>11156</v>
      </c>
      <c r="B2115" s="45" t="s">
        <v>11157</v>
      </c>
      <c r="C2115" s="7" t="s">
        <v>11158</v>
      </c>
      <c r="D2115" s="7" t="s">
        <v>11159</v>
      </c>
      <c r="E2115" s="7" t="s">
        <v>11150</v>
      </c>
      <c r="F2115" s="7" t="s">
        <v>11151</v>
      </c>
      <c r="G2115" s="7"/>
      <c r="H2115" s="46" t="s">
        <v>249</v>
      </c>
      <c r="I2115" s="7" t="s">
        <v>160</v>
      </c>
      <c r="J2115" s="7" t="s">
        <v>148</v>
      </c>
      <c r="K2115" s="7"/>
      <c r="L2115" s="7"/>
      <c r="M2115" s="7"/>
    </row>
    <row r="2116" ht="15.75" customHeight="1">
      <c r="A2116" s="7" t="s">
        <v>11160</v>
      </c>
      <c r="B2116" s="45" t="s">
        <v>11161</v>
      </c>
      <c r="C2116" s="7" t="s">
        <v>11162</v>
      </c>
      <c r="D2116" s="7" t="s">
        <v>11163</v>
      </c>
      <c r="E2116" s="7" t="s">
        <v>11164</v>
      </c>
      <c r="F2116" s="7" t="s">
        <v>11165</v>
      </c>
      <c r="G2116" s="7"/>
      <c r="H2116" s="46" t="s">
        <v>249</v>
      </c>
      <c r="I2116" s="7" t="s">
        <v>160</v>
      </c>
      <c r="J2116" s="7" t="s">
        <v>148</v>
      </c>
      <c r="K2116" s="7"/>
      <c r="L2116" s="7"/>
      <c r="M2116" s="7"/>
    </row>
    <row r="2117" ht="15.75" customHeight="1">
      <c r="A2117" s="7" t="s">
        <v>11166</v>
      </c>
      <c r="B2117" s="45" t="s">
        <v>11167</v>
      </c>
      <c r="C2117" s="7" t="s">
        <v>11168</v>
      </c>
      <c r="D2117" s="7" t="s">
        <v>11169</v>
      </c>
      <c r="E2117" s="7" t="s">
        <v>11170</v>
      </c>
      <c r="F2117" s="7" t="s">
        <v>11171</v>
      </c>
      <c r="G2117" s="7"/>
      <c r="H2117" s="46" t="s">
        <v>249</v>
      </c>
      <c r="I2117" s="7" t="s">
        <v>160</v>
      </c>
      <c r="J2117" s="7" t="s">
        <v>148</v>
      </c>
      <c r="K2117" s="7"/>
      <c r="L2117" s="7"/>
      <c r="M2117" s="7"/>
    </row>
    <row r="2118" ht="15.75" customHeight="1">
      <c r="A2118" s="7" t="s">
        <v>11172</v>
      </c>
      <c r="B2118" s="45" t="s">
        <v>11173</v>
      </c>
      <c r="C2118" s="7" t="s">
        <v>11174</v>
      </c>
      <c r="D2118" s="7" t="s">
        <v>11175</v>
      </c>
      <c r="E2118" s="7" t="s">
        <v>11176</v>
      </c>
      <c r="F2118" s="7" t="s">
        <v>11177</v>
      </c>
      <c r="G2118" s="7"/>
      <c r="H2118" s="46" t="s">
        <v>249</v>
      </c>
      <c r="I2118" s="7" t="s">
        <v>160</v>
      </c>
      <c r="J2118" s="7" t="s">
        <v>148</v>
      </c>
      <c r="K2118" s="7"/>
      <c r="L2118" s="7"/>
      <c r="M2118" s="7"/>
    </row>
    <row r="2119" ht="15.75" customHeight="1">
      <c r="A2119" s="7" t="s">
        <v>11178</v>
      </c>
      <c r="B2119" s="45" t="s">
        <v>11179</v>
      </c>
      <c r="C2119" s="7" t="s">
        <v>11180</v>
      </c>
      <c r="D2119" s="7" t="s">
        <v>11181</v>
      </c>
      <c r="E2119" s="7" t="s">
        <v>11182</v>
      </c>
      <c r="F2119" s="7" t="s">
        <v>11183</v>
      </c>
      <c r="G2119" s="7"/>
      <c r="H2119" s="46" t="s">
        <v>249</v>
      </c>
      <c r="I2119" s="7" t="s">
        <v>160</v>
      </c>
      <c r="J2119" s="7" t="s">
        <v>148</v>
      </c>
      <c r="K2119" s="7"/>
      <c r="L2119" s="7"/>
      <c r="M2119" s="7"/>
    </row>
    <row r="2120" ht="15.75" customHeight="1">
      <c r="A2120" s="7" t="s">
        <v>11184</v>
      </c>
      <c r="B2120" s="45" t="s">
        <v>11185</v>
      </c>
      <c r="C2120" s="7" t="s">
        <v>11186</v>
      </c>
      <c r="D2120" s="7" t="s">
        <v>11187</v>
      </c>
      <c r="E2120" s="7" t="s">
        <v>11188</v>
      </c>
      <c r="F2120" s="7" t="s">
        <v>11189</v>
      </c>
      <c r="G2120" s="7"/>
      <c r="H2120" s="46" t="s">
        <v>249</v>
      </c>
      <c r="I2120" s="7" t="s">
        <v>160</v>
      </c>
      <c r="J2120" s="7" t="s">
        <v>148</v>
      </c>
      <c r="K2120" s="7"/>
      <c r="L2120" s="7"/>
      <c r="M2120" s="7"/>
    </row>
    <row r="2121" ht="15.75" customHeight="1">
      <c r="A2121" s="7" t="s">
        <v>11190</v>
      </c>
      <c r="B2121" s="45" t="s">
        <v>11191</v>
      </c>
      <c r="C2121" s="7" t="s">
        <v>11192</v>
      </c>
      <c r="D2121" s="7" t="s">
        <v>11193</v>
      </c>
      <c r="E2121" s="7" t="s">
        <v>11194</v>
      </c>
      <c r="F2121" s="7" t="s">
        <v>11195</v>
      </c>
      <c r="G2121" s="7"/>
      <c r="H2121" s="46" t="s">
        <v>249</v>
      </c>
      <c r="I2121" s="7" t="s">
        <v>160</v>
      </c>
      <c r="J2121" s="7" t="s">
        <v>148</v>
      </c>
      <c r="K2121" s="7"/>
      <c r="L2121" s="7"/>
      <c r="M2121" s="7"/>
    </row>
    <row r="2122" ht="15.75" customHeight="1">
      <c r="A2122" s="7" t="s">
        <v>11196</v>
      </c>
      <c r="B2122" s="45" t="s">
        <v>11197</v>
      </c>
      <c r="C2122" s="7" t="s">
        <v>11198</v>
      </c>
      <c r="D2122" s="7" t="s">
        <v>11199</v>
      </c>
      <c r="E2122" s="7" t="s">
        <v>11200</v>
      </c>
      <c r="F2122" s="7" t="s">
        <v>11201</v>
      </c>
      <c r="G2122" s="7"/>
      <c r="H2122" s="46" t="s">
        <v>249</v>
      </c>
      <c r="I2122" s="7" t="s">
        <v>160</v>
      </c>
      <c r="J2122" s="7" t="s">
        <v>148</v>
      </c>
      <c r="K2122" s="7"/>
      <c r="L2122" s="7"/>
      <c r="M2122" s="7"/>
    </row>
    <row r="2123" ht="15.75" customHeight="1">
      <c r="A2123" s="7" t="s">
        <v>11202</v>
      </c>
      <c r="B2123" s="45" t="s">
        <v>11203</v>
      </c>
      <c r="C2123" s="7" t="s">
        <v>11204</v>
      </c>
      <c r="D2123" s="7" t="s">
        <v>11205</v>
      </c>
      <c r="E2123" s="7" t="s">
        <v>11206</v>
      </c>
      <c r="F2123" s="7" t="s">
        <v>11207</v>
      </c>
      <c r="G2123" s="7"/>
      <c r="H2123" s="46" t="s">
        <v>249</v>
      </c>
      <c r="I2123" s="7" t="s">
        <v>160</v>
      </c>
      <c r="J2123" s="7" t="s">
        <v>148</v>
      </c>
      <c r="K2123" s="7"/>
      <c r="L2123" s="7"/>
      <c r="M2123" s="7"/>
    </row>
    <row r="2124" ht="15.75" customHeight="1">
      <c r="A2124" s="7" t="s">
        <v>11208</v>
      </c>
      <c r="B2124" s="45" t="s">
        <v>11209</v>
      </c>
      <c r="C2124" s="7" t="s">
        <v>11210</v>
      </c>
      <c r="D2124" s="7" t="s">
        <v>11211</v>
      </c>
      <c r="E2124" s="7" t="s">
        <v>11212</v>
      </c>
      <c r="F2124" s="7" t="s">
        <v>11213</v>
      </c>
      <c r="G2124" s="7"/>
      <c r="H2124" s="46" t="s">
        <v>249</v>
      </c>
      <c r="I2124" s="7" t="s">
        <v>160</v>
      </c>
      <c r="J2124" s="7" t="s">
        <v>148</v>
      </c>
      <c r="K2124" s="7"/>
      <c r="L2124" s="7"/>
      <c r="M2124" s="7"/>
    </row>
    <row r="2125" ht="15.75" customHeight="1">
      <c r="A2125" s="7" t="s">
        <v>11214</v>
      </c>
      <c r="B2125" s="45" t="s">
        <v>11215</v>
      </c>
      <c r="C2125" s="7" t="s">
        <v>11216</v>
      </c>
      <c r="D2125" s="7" t="s">
        <v>11217</v>
      </c>
      <c r="E2125" s="7" t="s">
        <v>11212</v>
      </c>
      <c r="F2125" s="7" t="s">
        <v>11213</v>
      </c>
      <c r="G2125" s="7"/>
      <c r="H2125" s="46" t="s">
        <v>249</v>
      </c>
      <c r="I2125" s="7" t="s">
        <v>160</v>
      </c>
      <c r="J2125" s="7" t="s">
        <v>148</v>
      </c>
      <c r="K2125" s="7"/>
      <c r="L2125" s="7"/>
      <c r="M2125" s="7"/>
    </row>
    <row r="2126" ht="15.75" customHeight="1">
      <c r="A2126" s="7" t="s">
        <v>11218</v>
      </c>
      <c r="B2126" s="45" t="s">
        <v>11219</v>
      </c>
      <c r="C2126" s="7" t="s">
        <v>11220</v>
      </c>
      <c r="D2126" s="7" t="s">
        <v>11221</v>
      </c>
      <c r="E2126" s="7" t="s">
        <v>11222</v>
      </c>
      <c r="F2126" s="7" t="s">
        <v>11223</v>
      </c>
      <c r="G2126" s="7"/>
      <c r="H2126" s="46" t="s">
        <v>249</v>
      </c>
      <c r="I2126" s="7" t="s">
        <v>160</v>
      </c>
      <c r="J2126" s="7" t="s">
        <v>148</v>
      </c>
      <c r="K2126" s="7"/>
      <c r="L2126" s="7"/>
      <c r="M2126" s="7"/>
    </row>
    <row r="2127" ht="15.75" customHeight="1">
      <c r="A2127" s="7" t="s">
        <v>11224</v>
      </c>
      <c r="B2127" s="45" t="s">
        <v>11225</v>
      </c>
      <c r="C2127" s="7" t="s">
        <v>11226</v>
      </c>
      <c r="D2127" s="7" t="s">
        <v>11227</v>
      </c>
      <c r="E2127" s="7" t="s">
        <v>11228</v>
      </c>
      <c r="F2127" s="7" t="s">
        <v>11229</v>
      </c>
      <c r="G2127" s="7"/>
      <c r="H2127" s="46" t="s">
        <v>249</v>
      </c>
      <c r="I2127" s="7" t="s">
        <v>160</v>
      </c>
      <c r="J2127" s="7" t="s">
        <v>148</v>
      </c>
      <c r="K2127" s="7"/>
      <c r="L2127" s="7"/>
      <c r="M2127" s="7"/>
    </row>
    <row r="2128" ht="15.75" customHeight="1">
      <c r="A2128" s="7" t="s">
        <v>11230</v>
      </c>
      <c r="B2128" s="45" t="s">
        <v>11231</v>
      </c>
      <c r="C2128" s="7" t="s">
        <v>11232</v>
      </c>
      <c r="D2128" s="7" t="s">
        <v>11233</v>
      </c>
      <c r="E2128" s="7" t="s">
        <v>11228</v>
      </c>
      <c r="F2128" s="7" t="s">
        <v>11229</v>
      </c>
      <c r="G2128" s="7"/>
      <c r="H2128" s="46" t="s">
        <v>249</v>
      </c>
      <c r="I2128" s="7" t="s">
        <v>160</v>
      </c>
      <c r="J2128" s="7" t="s">
        <v>148</v>
      </c>
      <c r="K2128" s="7"/>
      <c r="L2128" s="7"/>
      <c r="M2128" s="7"/>
    </row>
    <row r="2129" ht="15.75" customHeight="1">
      <c r="A2129" s="7" t="s">
        <v>11234</v>
      </c>
      <c r="B2129" s="45" t="s">
        <v>11235</v>
      </c>
      <c r="C2129" s="7" t="s">
        <v>11236</v>
      </c>
      <c r="D2129" s="7" t="s">
        <v>11237</v>
      </c>
      <c r="E2129" s="7" t="s">
        <v>11238</v>
      </c>
      <c r="F2129" s="7" t="s">
        <v>11239</v>
      </c>
      <c r="G2129" s="7" t="s">
        <v>11240</v>
      </c>
      <c r="H2129" s="46" t="s">
        <v>249</v>
      </c>
      <c r="I2129" s="7" t="s">
        <v>160</v>
      </c>
      <c r="J2129" s="7" t="s">
        <v>148</v>
      </c>
      <c r="K2129" s="7"/>
      <c r="L2129" s="7"/>
      <c r="M2129" s="7"/>
    </row>
    <row r="2130" ht="15.75" customHeight="1">
      <c r="A2130" s="7" t="s">
        <v>11241</v>
      </c>
      <c r="B2130" s="45" t="s">
        <v>11242</v>
      </c>
      <c r="C2130" s="7" t="s">
        <v>11243</v>
      </c>
      <c r="D2130" s="7" t="s">
        <v>11244</v>
      </c>
      <c r="E2130" s="7" t="s">
        <v>11245</v>
      </c>
      <c r="F2130" s="7" t="s">
        <v>11246</v>
      </c>
      <c r="G2130" s="7"/>
      <c r="H2130" s="46" t="s">
        <v>249</v>
      </c>
      <c r="I2130" s="7" t="s">
        <v>160</v>
      </c>
      <c r="J2130" s="7" t="s">
        <v>148</v>
      </c>
      <c r="K2130" s="7"/>
      <c r="L2130" s="7"/>
      <c r="M2130" s="7"/>
    </row>
    <row r="2131" ht="15.75" customHeight="1">
      <c r="A2131" s="7" t="s">
        <v>11247</v>
      </c>
      <c r="B2131" s="45" t="s">
        <v>11248</v>
      </c>
      <c r="C2131" s="7" t="s">
        <v>11249</v>
      </c>
      <c r="D2131" s="7" t="s">
        <v>11250</v>
      </c>
      <c r="E2131" s="7" t="s">
        <v>11251</v>
      </c>
      <c r="F2131" s="7" t="s">
        <v>11252</v>
      </c>
      <c r="G2131" s="7"/>
      <c r="H2131" s="46" t="s">
        <v>249</v>
      </c>
      <c r="I2131" s="7" t="s">
        <v>160</v>
      </c>
      <c r="J2131" s="7" t="s">
        <v>148</v>
      </c>
      <c r="K2131" s="7"/>
      <c r="L2131" s="7"/>
      <c r="M2131" s="7"/>
    </row>
    <row r="2132" ht="15.75" customHeight="1">
      <c r="A2132" s="7" t="s">
        <v>11253</v>
      </c>
      <c r="B2132" s="45" t="s">
        <v>11254</v>
      </c>
      <c r="C2132" s="7" t="s">
        <v>11255</v>
      </c>
      <c r="D2132" s="7" t="s">
        <v>11256</v>
      </c>
      <c r="E2132" s="7" t="s">
        <v>11257</v>
      </c>
      <c r="F2132" s="7" t="s">
        <v>11258</v>
      </c>
      <c r="G2132" s="7"/>
      <c r="H2132" s="46" t="s">
        <v>249</v>
      </c>
      <c r="I2132" s="7" t="s">
        <v>160</v>
      </c>
      <c r="J2132" s="7" t="s">
        <v>148</v>
      </c>
      <c r="K2132" s="7"/>
      <c r="L2132" s="7"/>
      <c r="M2132" s="7"/>
    </row>
    <row r="2133" ht="15.75" customHeight="1">
      <c r="A2133" s="7" t="s">
        <v>11259</v>
      </c>
      <c r="B2133" s="45" t="s">
        <v>11260</v>
      </c>
      <c r="C2133" s="7" t="s">
        <v>11261</v>
      </c>
      <c r="D2133" s="7" t="s">
        <v>11262</v>
      </c>
      <c r="E2133" s="7" t="s">
        <v>11263</v>
      </c>
      <c r="F2133" s="7" t="s">
        <v>11264</v>
      </c>
      <c r="G2133" s="7"/>
      <c r="H2133" s="46" t="s">
        <v>249</v>
      </c>
      <c r="I2133" s="7" t="s">
        <v>160</v>
      </c>
      <c r="J2133" s="7" t="s">
        <v>148</v>
      </c>
      <c r="K2133" s="7"/>
      <c r="L2133" s="7"/>
      <c r="M2133" s="7"/>
    </row>
    <row r="2134" ht="15.75" customHeight="1">
      <c r="A2134" s="7" t="s">
        <v>11265</v>
      </c>
      <c r="B2134" s="45" t="s">
        <v>11266</v>
      </c>
      <c r="C2134" s="7" t="s">
        <v>11267</v>
      </c>
      <c r="D2134" s="7" t="s">
        <v>11268</v>
      </c>
      <c r="E2134" s="7" t="s">
        <v>11269</v>
      </c>
      <c r="F2134" s="7" t="s">
        <v>11270</v>
      </c>
      <c r="G2134" s="7"/>
      <c r="H2134" s="46" t="s">
        <v>249</v>
      </c>
      <c r="I2134" s="7" t="s">
        <v>160</v>
      </c>
      <c r="J2134" s="7" t="s">
        <v>148</v>
      </c>
      <c r="K2134" s="7"/>
      <c r="L2134" s="7"/>
      <c r="M2134" s="7"/>
    </row>
    <row r="2135" ht="15.75" customHeight="1">
      <c r="A2135" s="7" t="s">
        <v>11271</v>
      </c>
      <c r="B2135" s="45" t="s">
        <v>11272</v>
      </c>
      <c r="C2135" s="7" t="s">
        <v>11273</v>
      </c>
      <c r="D2135" s="7" t="s">
        <v>11274</v>
      </c>
      <c r="E2135" s="7" t="s">
        <v>11275</v>
      </c>
      <c r="F2135" s="7" t="s">
        <v>11276</v>
      </c>
      <c r="G2135" s="7"/>
      <c r="H2135" s="46" t="s">
        <v>249</v>
      </c>
      <c r="I2135" s="7" t="s">
        <v>160</v>
      </c>
      <c r="J2135" s="7" t="s">
        <v>148</v>
      </c>
      <c r="K2135" s="7"/>
      <c r="L2135" s="7"/>
      <c r="M2135" s="7"/>
    </row>
    <row r="2136" ht="15.75" customHeight="1">
      <c r="A2136" s="7" t="s">
        <v>11277</v>
      </c>
      <c r="B2136" s="45" t="s">
        <v>11278</v>
      </c>
      <c r="C2136" s="7" t="s">
        <v>11279</v>
      </c>
      <c r="D2136" s="7" t="s">
        <v>11280</v>
      </c>
      <c r="E2136" s="7" t="s">
        <v>11281</v>
      </c>
      <c r="F2136" s="7" t="s">
        <v>11282</v>
      </c>
      <c r="G2136" s="7"/>
      <c r="H2136" s="46" t="s">
        <v>249</v>
      </c>
      <c r="I2136" s="7" t="s">
        <v>160</v>
      </c>
      <c r="J2136" s="7" t="s">
        <v>148</v>
      </c>
      <c r="K2136" s="7"/>
      <c r="L2136" s="7"/>
      <c r="M2136" s="7"/>
    </row>
    <row r="2137" ht="15.75" customHeight="1">
      <c r="A2137" s="7" t="s">
        <v>11283</v>
      </c>
      <c r="B2137" s="45" t="s">
        <v>11284</v>
      </c>
      <c r="C2137" s="7" t="s">
        <v>11285</v>
      </c>
      <c r="D2137" s="7" t="s">
        <v>11286</v>
      </c>
      <c r="E2137" s="7" t="s">
        <v>11287</v>
      </c>
      <c r="F2137" s="7" t="s">
        <v>11282</v>
      </c>
      <c r="G2137" s="7"/>
      <c r="H2137" s="46" t="s">
        <v>249</v>
      </c>
      <c r="I2137" s="7" t="s">
        <v>160</v>
      </c>
      <c r="J2137" s="7" t="s">
        <v>148</v>
      </c>
      <c r="K2137" s="7"/>
      <c r="L2137" s="7"/>
      <c r="M2137" s="7"/>
    </row>
    <row r="2138" ht="15.75" customHeight="1">
      <c r="A2138" s="7" t="s">
        <v>11288</v>
      </c>
      <c r="B2138" s="45" t="s">
        <v>11289</v>
      </c>
      <c r="C2138" s="7" t="s">
        <v>11290</v>
      </c>
      <c r="D2138" s="7" t="s">
        <v>11291</v>
      </c>
      <c r="E2138" s="7" t="s">
        <v>11292</v>
      </c>
      <c r="F2138" s="7" t="s">
        <v>11282</v>
      </c>
      <c r="G2138" s="7"/>
      <c r="H2138" s="46" t="s">
        <v>249</v>
      </c>
      <c r="I2138" s="7" t="s">
        <v>160</v>
      </c>
      <c r="J2138" s="7" t="s">
        <v>148</v>
      </c>
      <c r="K2138" s="7"/>
      <c r="L2138" s="7"/>
      <c r="M2138" s="7"/>
    </row>
    <row r="2139" ht="15.75" customHeight="1">
      <c r="A2139" s="7" t="s">
        <v>11293</v>
      </c>
      <c r="B2139" s="45" t="s">
        <v>11294</v>
      </c>
      <c r="C2139" s="7" t="s">
        <v>11295</v>
      </c>
      <c r="D2139" s="7" t="s">
        <v>11296</v>
      </c>
      <c r="E2139" s="7" t="s">
        <v>11297</v>
      </c>
      <c r="F2139" s="7" t="s">
        <v>11298</v>
      </c>
      <c r="G2139" s="7"/>
      <c r="H2139" s="46" t="s">
        <v>249</v>
      </c>
      <c r="I2139" s="7" t="s">
        <v>160</v>
      </c>
      <c r="J2139" s="7" t="s">
        <v>148</v>
      </c>
      <c r="K2139" s="7"/>
      <c r="L2139" s="7"/>
      <c r="M2139" s="7"/>
    </row>
    <row r="2140" ht="15.75" customHeight="1">
      <c r="A2140" s="7" t="s">
        <v>11299</v>
      </c>
      <c r="B2140" s="45" t="s">
        <v>11300</v>
      </c>
      <c r="C2140" s="7" t="s">
        <v>11301</v>
      </c>
      <c r="D2140" s="7" t="s">
        <v>11302</v>
      </c>
      <c r="E2140" s="7" t="s">
        <v>11206</v>
      </c>
      <c r="F2140" s="7" t="s">
        <v>11207</v>
      </c>
      <c r="G2140" s="7" t="s">
        <v>11303</v>
      </c>
      <c r="H2140" s="46" t="s">
        <v>249</v>
      </c>
      <c r="I2140" s="7" t="s">
        <v>160</v>
      </c>
      <c r="J2140" s="7" t="s">
        <v>148</v>
      </c>
      <c r="K2140" s="7"/>
      <c r="L2140" s="7"/>
      <c r="M2140" s="7"/>
    </row>
    <row r="2141" ht="15.75" customHeight="1">
      <c r="A2141" s="7" t="s">
        <v>11304</v>
      </c>
      <c r="B2141" s="45" t="s">
        <v>11305</v>
      </c>
      <c r="C2141" s="7" t="s">
        <v>11306</v>
      </c>
      <c r="D2141" s="7" t="s">
        <v>11307</v>
      </c>
      <c r="E2141" s="7" t="s">
        <v>11308</v>
      </c>
      <c r="F2141" s="7" t="s">
        <v>11309</v>
      </c>
      <c r="G2141" s="7"/>
      <c r="H2141" s="46" t="s">
        <v>249</v>
      </c>
      <c r="I2141" s="7" t="s">
        <v>160</v>
      </c>
      <c r="J2141" s="7" t="s">
        <v>148</v>
      </c>
      <c r="K2141" s="7"/>
      <c r="L2141" s="7"/>
      <c r="M2141" s="7"/>
    </row>
    <row r="2142" ht="15.75" customHeight="1">
      <c r="A2142" s="7" t="s">
        <v>11310</v>
      </c>
      <c r="B2142" s="45" t="s">
        <v>11311</v>
      </c>
      <c r="C2142" s="7" t="s">
        <v>11312</v>
      </c>
      <c r="D2142" s="7" t="s">
        <v>11313</v>
      </c>
      <c r="E2142" s="7" t="s">
        <v>11314</v>
      </c>
      <c r="F2142" s="7" t="s">
        <v>11315</v>
      </c>
      <c r="G2142" s="7"/>
      <c r="H2142" s="46" t="s">
        <v>249</v>
      </c>
      <c r="I2142" s="7" t="s">
        <v>160</v>
      </c>
      <c r="J2142" s="7" t="s">
        <v>148</v>
      </c>
      <c r="K2142" s="7"/>
      <c r="L2142" s="7"/>
      <c r="M2142" s="7"/>
    </row>
    <row r="2143" ht="15.75" customHeight="1">
      <c r="A2143" s="7" t="s">
        <v>11316</v>
      </c>
      <c r="B2143" s="45" t="s">
        <v>11317</v>
      </c>
      <c r="C2143" s="7" t="s">
        <v>11312</v>
      </c>
      <c r="D2143" s="7" t="s">
        <v>876</v>
      </c>
      <c r="E2143" s="7" t="s">
        <v>11318</v>
      </c>
      <c r="F2143" s="7" t="s">
        <v>11315</v>
      </c>
      <c r="G2143" s="7"/>
      <c r="H2143" s="46" t="s">
        <v>249</v>
      </c>
      <c r="I2143" s="7" t="s">
        <v>160</v>
      </c>
      <c r="J2143" s="7" t="s">
        <v>148</v>
      </c>
      <c r="K2143" s="7"/>
      <c r="L2143" s="7"/>
      <c r="M2143" s="7"/>
    </row>
    <row r="2144" ht="15.75" customHeight="1">
      <c r="A2144" s="7" t="s">
        <v>11319</v>
      </c>
      <c r="B2144" s="45" t="s">
        <v>11320</v>
      </c>
      <c r="C2144" s="7" t="s">
        <v>11312</v>
      </c>
      <c r="D2144" s="7" t="s">
        <v>11321</v>
      </c>
      <c r="E2144" s="7" t="s">
        <v>11318</v>
      </c>
      <c r="F2144" s="7" t="s">
        <v>11315</v>
      </c>
      <c r="G2144" s="7"/>
      <c r="H2144" s="46" t="s">
        <v>249</v>
      </c>
      <c r="I2144" s="7" t="s">
        <v>160</v>
      </c>
      <c r="J2144" s="7" t="s">
        <v>148</v>
      </c>
      <c r="K2144" s="7"/>
      <c r="L2144" s="7"/>
      <c r="M2144" s="7"/>
    </row>
    <row r="2145" ht="15.75" customHeight="1">
      <c r="A2145" s="7" t="s">
        <v>11322</v>
      </c>
      <c r="B2145" s="45" t="s">
        <v>11323</v>
      </c>
      <c r="C2145" s="7" t="s">
        <v>11324</v>
      </c>
      <c r="D2145" s="7" t="s">
        <v>11325</v>
      </c>
      <c r="E2145" s="7" t="s">
        <v>11318</v>
      </c>
      <c r="F2145" s="7" t="s">
        <v>11315</v>
      </c>
      <c r="G2145" s="7"/>
      <c r="H2145" s="46" t="s">
        <v>249</v>
      </c>
      <c r="I2145" s="7" t="s">
        <v>160</v>
      </c>
      <c r="J2145" s="7" t="s">
        <v>148</v>
      </c>
      <c r="K2145" s="7"/>
      <c r="L2145" s="7"/>
      <c r="M2145" s="7"/>
    </row>
    <row r="2146" ht="15.75" customHeight="1">
      <c r="A2146" s="7" t="s">
        <v>11326</v>
      </c>
      <c r="B2146" s="45" t="s">
        <v>11327</v>
      </c>
      <c r="C2146" s="7" t="s">
        <v>11324</v>
      </c>
      <c r="D2146" s="7" t="s">
        <v>11328</v>
      </c>
      <c r="E2146" s="7" t="s">
        <v>11318</v>
      </c>
      <c r="F2146" s="7" t="s">
        <v>11315</v>
      </c>
      <c r="G2146" s="7"/>
      <c r="H2146" s="46" t="s">
        <v>249</v>
      </c>
      <c r="I2146" s="7" t="s">
        <v>160</v>
      </c>
      <c r="J2146" s="7" t="s">
        <v>148</v>
      </c>
      <c r="K2146" s="7"/>
      <c r="L2146" s="7"/>
      <c r="M2146" s="7"/>
    </row>
    <row r="2147" ht="15.75" customHeight="1">
      <c r="A2147" s="7" t="s">
        <v>11329</v>
      </c>
      <c r="B2147" s="45" t="s">
        <v>11330</v>
      </c>
      <c r="C2147" s="7" t="s">
        <v>11324</v>
      </c>
      <c r="D2147" s="7" t="s">
        <v>11331</v>
      </c>
      <c r="E2147" s="7" t="s">
        <v>11318</v>
      </c>
      <c r="F2147" s="7" t="s">
        <v>11315</v>
      </c>
      <c r="G2147" s="7"/>
      <c r="H2147" s="46" t="s">
        <v>249</v>
      </c>
      <c r="I2147" s="7" t="s">
        <v>160</v>
      </c>
      <c r="J2147" s="7" t="s">
        <v>148</v>
      </c>
      <c r="K2147" s="7"/>
      <c r="L2147" s="7"/>
      <c r="M2147" s="7"/>
    </row>
    <row r="2148" ht="15.75" customHeight="1">
      <c r="A2148" s="7" t="s">
        <v>11332</v>
      </c>
      <c r="B2148" s="45" t="s">
        <v>11333</v>
      </c>
      <c r="C2148" s="7" t="s">
        <v>11324</v>
      </c>
      <c r="D2148" s="7" t="s">
        <v>11334</v>
      </c>
      <c r="E2148" s="7" t="s">
        <v>11318</v>
      </c>
      <c r="F2148" s="7" t="s">
        <v>11315</v>
      </c>
      <c r="G2148" s="7"/>
      <c r="H2148" s="46" t="s">
        <v>249</v>
      </c>
      <c r="I2148" s="7" t="s">
        <v>160</v>
      </c>
      <c r="J2148" s="7" t="s">
        <v>148</v>
      </c>
      <c r="K2148" s="7"/>
      <c r="L2148" s="7"/>
      <c r="M2148" s="7"/>
    </row>
    <row r="2149" ht="15.75" customHeight="1">
      <c r="A2149" s="7" t="s">
        <v>11335</v>
      </c>
      <c r="B2149" s="45" t="s">
        <v>11336</v>
      </c>
      <c r="C2149" s="7" t="s">
        <v>6682</v>
      </c>
      <c r="D2149" s="7" t="s">
        <v>11337</v>
      </c>
      <c r="E2149" s="7" t="s">
        <v>11338</v>
      </c>
      <c r="F2149" s="7" t="s">
        <v>11339</v>
      </c>
      <c r="G2149" s="7"/>
      <c r="H2149" s="46" t="s">
        <v>249</v>
      </c>
      <c r="I2149" s="7" t="s">
        <v>160</v>
      </c>
      <c r="J2149" s="7" t="s">
        <v>148</v>
      </c>
      <c r="K2149" s="7"/>
      <c r="L2149" s="7"/>
      <c r="M2149" s="7"/>
    </row>
    <row r="2150" ht="15.75" customHeight="1">
      <c r="A2150" s="7" t="s">
        <v>11340</v>
      </c>
      <c r="B2150" s="45" t="s">
        <v>11341</v>
      </c>
      <c r="C2150" s="7" t="s">
        <v>6682</v>
      </c>
      <c r="D2150" s="7" t="s">
        <v>11342</v>
      </c>
      <c r="E2150" s="7" t="s">
        <v>11343</v>
      </c>
      <c r="F2150" s="7" t="s">
        <v>11339</v>
      </c>
      <c r="G2150" s="7"/>
      <c r="H2150" s="46" t="s">
        <v>249</v>
      </c>
      <c r="I2150" s="7" t="s">
        <v>160</v>
      </c>
      <c r="J2150" s="7" t="s">
        <v>148</v>
      </c>
      <c r="K2150" s="7"/>
      <c r="L2150" s="7"/>
      <c r="M2150" s="7"/>
    </row>
    <row r="2151" ht="15.75" customHeight="1">
      <c r="A2151" s="7" t="s">
        <v>11344</v>
      </c>
      <c r="B2151" s="45" t="s">
        <v>11345</v>
      </c>
      <c r="C2151" s="7" t="s">
        <v>11346</v>
      </c>
      <c r="D2151" s="7" t="s">
        <v>11347</v>
      </c>
      <c r="E2151" s="7" t="s">
        <v>6684</v>
      </c>
      <c r="F2151" s="7" t="s">
        <v>11348</v>
      </c>
      <c r="G2151" s="7" t="s">
        <v>11348</v>
      </c>
      <c r="H2151" s="46" t="s">
        <v>249</v>
      </c>
      <c r="I2151" s="7" t="s">
        <v>160</v>
      </c>
      <c r="J2151" s="7" t="s">
        <v>148</v>
      </c>
      <c r="K2151" s="7"/>
      <c r="L2151" s="7"/>
      <c r="M2151" s="7"/>
    </row>
    <row r="2152" ht="15.75" customHeight="1">
      <c r="A2152" s="7" t="s">
        <v>11349</v>
      </c>
      <c r="B2152" s="45" t="s">
        <v>11350</v>
      </c>
      <c r="C2152" s="7" t="s">
        <v>11351</v>
      </c>
      <c r="D2152" s="7" t="s">
        <v>11352</v>
      </c>
      <c r="E2152" s="7" t="s">
        <v>11353</v>
      </c>
      <c r="F2152" s="7" t="s">
        <v>11354</v>
      </c>
      <c r="G2152" s="7"/>
      <c r="H2152" s="46" t="s">
        <v>249</v>
      </c>
      <c r="I2152" s="7" t="s">
        <v>160</v>
      </c>
      <c r="J2152" s="7" t="s">
        <v>148</v>
      </c>
      <c r="K2152" s="7"/>
      <c r="L2152" s="7"/>
      <c r="M2152" s="7"/>
    </row>
    <row r="2153" ht="15.75" customHeight="1">
      <c r="A2153" s="7" t="s">
        <v>11355</v>
      </c>
      <c r="B2153" s="45" t="s">
        <v>11356</v>
      </c>
      <c r="C2153" s="7" t="s">
        <v>11351</v>
      </c>
      <c r="D2153" s="7" t="s">
        <v>11357</v>
      </c>
      <c r="E2153" s="7" t="s">
        <v>11358</v>
      </c>
      <c r="F2153" s="7" t="s">
        <v>11354</v>
      </c>
      <c r="G2153" s="7"/>
      <c r="H2153" s="46" t="s">
        <v>249</v>
      </c>
      <c r="I2153" s="7" t="s">
        <v>160</v>
      </c>
      <c r="J2153" s="7" t="s">
        <v>148</v>
      </c>
      <c r="K2153" s="7"/>
      <c r="L2153" s="7"/>
      <c r="M2153" s="7"/>
    </row>
    <row r="2154" ht="15.75" customHeight="1">
      <c r="A2154" s="7" t="s">
        <v>11359</v>
      </c>
      <c r="B2154" s="45" t="s">
        <v>11360</v>
      </c>
      <c r="C2154" s="7" t="s">
        <v>11361</v>
      </c>
      <c r="D2154" s="7" t="s">
        <v>11362</v>
      </c>
      <c r="E2154" s="7" t="s">
        <v>11358</v>
      </c>
      <c r="F2154" s="7" t="s">
        <v>11363</v>
      </c>
      <c r="G2154" s="7"/>
      <c r="H2154" s="46" t="s">
        <v>249</v>
      </c>
      <c r="I2154" s="7" t="s">
        <v>160</v>
      </c>
      <c r="J2154" s="7" t="s">
        <v>148</v>
      </c>
      <c r="K2154" s="7"/>
      <c r="L2154" s="7"/>
      <c r="M2154" s="7"/>
    </row>
    <row r="2155" ht="15.75" customHeight="1">
      <c r="A2155" s="7" t="s">
        <v>11364</v>
      </c>
      <c r="B2155" s="45" t="s">
        <v>11365</v>
      </c>
      <c r="C2155" s="7" t="s">
        <v>1984</v>
      </c>
      <c r="D2155" s="7" t="s">
        <v>11366</v>
      </c>
      <c r="E2155" s="7" t="s">
        <v>852</v>
      </c>
      <c r="F2155" s="7" t="s">
        <v>853</v>
      </c>
      <c r="G2155" s="7"/>
      <c r="H2155" s="46" t="s">
        <v>249</v>
      </c>
      <c r="I2155" s="7" t="s">
        <v>160</v>
      </c>
      <c r="J2155" s="7" t="s">
        <v>148</v>
      </c>
      <c r="K2155" s="7"/>
      <c r="L2155" s="7"/>
      <c r="M2155" s="7"/>
    </row>
    <row r="2156" ht="15.75" customHeight="1">
      <c r="A2156" s="7" t="s">
        <v>11367</v>
      </c>
      <c r="B2156" s="45" t="s">
        <v>11368</v>
      </c>
      <c r="C2156" s="7" t="s">
        <v>11369</v>
      </c>
      <c r="D2156" s="7" t="s">
        <v>11370</v>
      </c>
      <c r="E2156" s="7" t="s">
        <v>11371</v>
      </c>
      <c r="F2156" s="7" t="s">
        <v>11372</v>
      </c>
      <c r="G2156" s="7" t="s">
        <v>11373</v>
      </c>
      <c r="H2156" s="46" t="s">
        <v>249</v>
      </c>
      <c r="I2156" s="7" t="s">
        <v>160</v>
      </c>
      <c r="J2156" s="7" t="s">
        <v>148</v>
      </c>
      <c r="K2156" s="7"/>
      <c r="L2156" s="7"/>
      <c r="M2156" s="7"/>
    </row>
    <row r="2157" ht="15.75" customHeight="1">
      <c r="A2157" s="7" t="s">
        <v>11374</v>
      </c>
      <c r="B2157" s="45" t="s">
        <v>11375</v>
      </c>
      <c r="C2157" s="7" t="s">
        <v>11376</v>
      </c>
      <c r="D2157" s="7" t="s">
        <v>11377</v>
      </c>
      <c r="E2157" s="7" t="s">
        <v>11378</v>
      </c>
      <c r="F2157" s="7" t="s">
        <v>11379</v>
      </c>
      <c r="G2157" s="7"/>
      <c r="H2157" s="46" t="s">
        <v>249</v>
      </c>
      <c r="I2157" s="7" t="s">
        <v>160</v>
      </c>
      <c r="J2157" s="7" t="s">
        <v>148</v>
      </c>
      <c r="K2157" s="7"/>
      <c r="L2157" s="7"/>
      <c r="M2157" s="7"/>
    </row>
    <row r="2158" ht="15.75" customHeight="1">
      <c r="A2158" s="7" t="s">
        <v>11380</v>
      </c>
      <c r="B2158" s="45" t="s">
        <v>11381</v>
      </c>
      <c r="C2158" s="7" t="s">
        <v>7387</v>
      </c>
      <c r="D2158" s="7" t="s">
        <v>11382</v>
      </c>
      <c r="E2158" s="7" t="s">
        <v>11383</v>
      </c>
      <c r="F2158" s="7" t="s">
        <v>7390</v>
      </c>
      <c r="G2158" s="7"/>
      <c r="H2158" s="46" t="s">
        <v>249</v>
      </c>
      <c r="I2158" s="7" t="s">
        <v>160</v>
      </c>
      <c r="J2158" s="7" t="s">
        <v>148</v>
      </c>
      <c r="K2158" s="7"/>
      <c r="L2158" s="7"/>
      <c r="M2158" s="7"/>
    </row>
    <row r="2159" ht="15.75" customHeight="1">
      <c r="A2159" s="7" t="s">
        <v>11384</v>
      </c>
      <c r="B2159" s="45" t="s">
        <v>11385</v>
      </c>
      <c r="C2159" s="7" t="s">
        <v>11386</v>
      </c>
      <c r="D2159" s="7" t="s">
        <v>11387</v>
      </c>
      <c r="E2159" s="7" t="s">
        <v>11388</v>
      </c>
      <c r="F2159" s="7" t="s">
        <v>11389</v>
      </c>
      <c r="G2159" s="7"/>
      <c r="H2159" s="46" t="s">
        <v>249</v>
      </c>
      <c r="I2159" s="7" t="s">
        <v>160</v>
      </c>
      <c r="J2159" s="7" t="s">
        <v>148</v>
      </c>
      <c r="K2159" s="7"/>
      <c r="L2159" s="7"/>
      <c r="M2159" s="7"/>
    </row>
    <row r="2160" ht="15.75" customHeight="1">
      <c r="A2160" s="7" t="s">
        <v>11390</v>
      </c>
      <c r="B2160" s="45" t="s">
        <v>11391</v>
      </c>
      <c r="C2160" s="7" t="s">
        <v>2304</v>
      </c>
      <c r="D2160" s="7" t="s">
        <v>11392</v>
      </c>
      <c r="E2160" s="7" t="s">
        <v>11393</v>
      </c>
      <c r="F2160" s="7" t="s">
        <v>11394</v>
      </c>
      <c r="G2160" s="7"/>
      <c r="H2160" s="46" t="s">
        <v>249</v>
      </c>
      <c r="I2160" s="7" t="s">
        <v>160</v>
      </c>
      <c r="J2160" s="7" t="s">
        <v>148</v>
      </c>
      <c r="K2160" s="7"/>
      <c r="L2160" s="7"/>
      <c r="M2160" s="7"/>
    </row>
    <row r="2161" ht="15.75" customHeight="1">
      <c r="A2161" s="7" t="s">
        <v>11395</v>
      </c>
      <c r="B2161" s="45" t="s">
        <v>11396</v>
      </c>
      <c r="C2161" s="7" t="s">
        <v>2475</v>
      </c>
      <c r="D2161" s="7" t="s">
        <v>11397</v>
      </c>
      <c r="E2161" s="7" t="s">
        <v>2670</v>
      </c>
      <c r="F2161" s="7" t="s">
        <v>1521</v>
      </c>
      <c r="G2161" s="7"/>
      <c r="H2161" s="46" t="s">
        <v>249</v>
      </c>
      <c r="I2161" s="7" t="s">
        <v>160</v>
      </c>
      <c r="J2161" s="7" t="s">
        <v>148</v>
      </c>
      <c r="K2161" s="7"/>
      <c r="L2161" s="7"/>
      <c r="M2161" s="7"/>
    </row>
    <row r="2162" ht="15.75" customHeight="1">
      <c r="A2162" s="7" t="s">
        <v>11398</v>
      </c>
      <c r="B2162" s="45" t="s">
        <v>11399</v>
      </c>
      <c r="C2162" s="7" t="s">
        <v>2475</v>
      </c>
      <c r="D2162" s="7" t="s">
        <v>11400</v>
      </c>
      <c r="E2162" s="7" t="s">
        <v>2670</v>
      </c>
      <c r="F2162" s="7" t="s">
        <v>1521</v>
      </c>
      <c r="G2162" s="7"/>
      <c r="H2162" s="46" t="s">
        <v>249</v>
      </c>
      <c r="I2162" s="7" t="s">
        <v>160</v>
      </c>
      <c r="J2162" s="7" t="s">
        <v>148</v>
      </c>
      <c r="K2162" s="7"/>
      <c r="L2162" s="7"/>
      <c r="M2162" s="7"/>
    </row>
    <row r="2163" ht="15.75" customHeight="1">
      <c r="A2163" s="7" t="s">
        <v>11401</v>
      </c>
      <c r="B2163" s="45" t="s">
        <v>11402</v>
      </c>
      <c r="C2163" s="7" t="s">
        <v>11403</v>
      </c>
      <c r="D2163" s="7" t="s">
        <v>11404</v>
      </c>
      <c r="E2163" s="7" t="s">
        <v>11405</v>
      </c>
      <c r="F2163" s="7" t="s">
        <v>11406</v>
      </c>
      <c r="G2163" s="7"/>
      <c r="H2163" s="46" t="s">
        <v>249</v>
      </c>
      <c r="I2163" s="7" t="s">
        <v>160</v>
      </c>
      <c r="J2163" s="7" t="s">
        <v>148</v>
      </c>
      <c r="K2163" s="7"/>
      <c r="L2163" s="7"/>
      <c r="M2163" s="7"/>
    </row>
    <row r="2164" ht="15.75" customHeight="1">
      <c r="A2164" s="7" t="s">
        <v>11407</v>
      </c>
      <c r="B2164" s="45" t="s">
        <v>11408</v>
      </c>
      <c r="C2164" s="7" t="s">
        <v>11409</v>
      </c>
      <c r="D2164" s="7" t="s">
        <v>11410</v>
      </c>
      <c r="E2164" s="7" t="s">
        <v>11411</v>
      </c>
      <c r="F2164" s="7" t="s">
        <v>11412</v>
      </c>
      <c r="G2164" s="7"/>
      <c r="H2164" s="46" t="s">
        <v>249</v>
      </c>
      <c r="I2164" s="7" t="s">
        <v>160</v>
      </c>
      <c r="J2164" s="7" t="s">
        <v>148</v>
      </c>
      <c r="K2164" s="7"/>
      <c r="L2164" s="7"/>
      <c r="M2164" s="7"/>
    </row>
    <row r="2165" ht="15.75" customHeight="1">
      <c r="A2165" s="7" t="s">
        <v>11413</v>
      </c>
      <c r="B2165" s="45" t="s">
        <v>11414</v>
      </c>
      <c r="C2165" s="7" t="s">
        <v>11415</v>
      </c>
      <c r="D2165" s="7" t="s">
        <v>11416</v>
      </c>
      <c r="E2165" s="7" t="s">
        <v>11417</v>
      </c>
      <c r="F2165" s="7" t="s">
        <v>11418</v>
      </c>
      <c r="G2165" s="7"/>
      <c r="H2165" s="46" t="s">
        <v>249</v>
      </c>
      <c r="I2165" s="7" t="s">
        <v>160</v>
      </c>
      <c r="J2165" s="7" t="s">
        <v>148</v>
      </c>
      <c r="K2165" s="7"/>
      <c r="L2165" s="7"/>
      <c r="M2165" s="7"/>
    </row>
    <row r="2166" ht="15.75" customHeight="1">
      <c r="A2166" s="7" t="s">
        <v>11419</v>
      </c>
      <c r="B2166" s="45" t="s">
        <v>11420</v>
      </c>
      <c r="C2166" s="7" t="s">
        <v>11421</v>
      </c>
      <c r="D2166" s="7" t="s">
        <v>11422</v>
      </c>
      <c r="E2166" s="7" t="s">
        <v>11423</v>
      </c>
      <c r="F2166" s="7" t="s">
        <v>11424</v>
      </c>
      <c r="G2166" s="7"/>
      <c r="H2166" s="46" t="s">
        <v>249</v>
      </c>
      <c r="I2166" s="7" t="s">
        <v>160</v>
      </c>
      <c r="J2166" s="7" t="s">
        <v>148</v>
      </c>
      <c r="K2166" s="7"/>
      <c r="L2166" s="7"/>
      <c r="M2166" s="7"/>
    </row>
    <row r="2167" ht="15.75" customHeight="1">
      <c r="A2167" s="7" t="s">
        <v>11425</v>
      </c>
      <c r="B2167" s="45" t="s">
        <v>11426</v>
      </c>
      <c r="C2167" s="7" t="s">
        <v>11427</v>
      </c>
      <c r="D2167" s="7" t="s">
        <v>11428</v>
      </c>
      <c r="E2167" s="7" t="s">
        <v>11429</v>
      </c>
      <c r="F2167" s="7" t="s">
        <v>11430</v>
      </c>
      <c r="G2167" s="7"/>
      <c r="H2167" s="46" t="s">
        <v>249</v>
      </c>
      <c r="I2167" s="7" t="s">
        <v>160</v>
      </c>
      <c r="J2167" s="7" t="s">
        <v>148</v>
      </c>
      <c r="K2167" s="7"/>
      <c r="L2167" s="7"/>
      <c r="M2167" s="7"/>
    </row>
    <row r="2168" ht="15.75" customHeight="1">
      <c r="A2168" s="7" t="s">
        <v>11431</v>
      </c>
      <c r="B2168" s="45" t="s">
        <v>11432</v>
      </c>
      <c r="C2168" s="7" t="s">
        <v>11427</v>
      </c>
      <c r="D2168" s="7" t="s">
        <v>11433</v>
      </c>
      <c r="E2168" s="7" t="s">
        <v>11429</v>
      </c>
      <c r="F2168" s="7" t="s">
        <v>11430</v>
      </c>
      <c r="G2168" s="7"/>
      <c r="H2168" s="46" t="s">
        <v>249</v>
      </c>
      <c r="I2168" s="7" t="s">
        <v>160</v>
      </c>
      <c r="J2168" s="7" t="s">
        <v>148</v>
      </c>
      <c r="K2168" s="7"/>
      <c r="L2168" s="7"/>
      <c r="M2168" s="7"/>
    </row>
    <row r="2169" ht="15.75" customHeight="1">
      <c r="A2169" s="7" t="s">
        <v>11434</v>
      </c>
      <c r="B2169" s="45" t="s">
        <v>11435</v>
      </c>
      <c r="C2169" s="7" t="s">
        <v>11436</v>
      </c>
      <c r="D2169" s="7" t="s">
        <v>11437</v>
      </c>
      <c r="E2169" s="7" t="s">
        <v>11429</v>
      </c>
      <c r="F2169" s="7" t="s">
        <v>11430</v>
      </c>
      <c r="G2169" s="7" t="s">
        <v>11438</v>
      </c>
      <c r="H2169" s="46" t="s">
        <v>249</v>
      </c>
      <c r="I2169" s="7" t="s">
        <v>160</v>
      </c>
      <c r="J2169" s="7" t="s">
        <v>148</v>
      </c>
      <c r="K2169" s="7"/>
      <c r="L2169" s="7"/>
      <c r="M2169" s="7"/>
    </row>
    <row r="2170" ht="15.75" customHeight="1">
      <c r="A2170" s="7" t="s">
        <v>11439</v>
      </c>
      <c r="B2170" s="45" t="s">
        <v>11440</v>
      </c>
      <c r="C2170" s="7" t="s">
        <v>1843</v>
      </c>
      <c r="D2170" s="7" t="s">
        <v>11441</v>
      </c>
      <c r="E2170" s="7" t="s">
        <v>11442</v>
      </c>
      <c r="F2170" s="7" t="s">
        <v>1840</v>
      </c>
      <c r="G2170" s="7"/>
      <c r="H2170" s="46" t="s">
        <v>249</v>
      </c>
      <c r="I2170" s="7" t="s">
        <v>160</v>
      </c>
      <c r="J2170" s="7" t="s">
        <v>148</v>
      </c>
      <c r="K2170" s="7"/>
      <c r="L2170" s="7"/>
      <c r="M2170" s="7"/>
    </row>
    <row r="2171" ht="15.75" customHeight="1">
      <c r="A2171" s="7" t="s">
        <v>11443</v>
      </c>
      <c r="B2171" s="45" t="s">
        <v>11444</v>
      </c>
      <c r="C2171" s="7" t="s">
        <v>11445</v>
      </c>
      <c r="D2171" s="7" t="s">
        <v>11446</v>
      </c>
      <c r="E2171" s="7" t="s">
        <v>11447</v>
      </c>
      <c r="F2171" s="7" t="s">
        <v>11448</v>
      </c>
      <c r="G2171" s="7"/>
      <c r="H2171" s="46" t="s">
        <v>249</v>
      </c>
      <c r="I2171" s="7" t="s">
        <v>160</v>
      </c>
      <c r="J2171" s="7" t="s">
        <v>148</v>
      </c>
      <c r="K2171" s="7"/>
      <c r="L2171" s="7"/>
      <c r="M2171" s="7"/>
    </row>
    <row r="2172" ht="15.75" customHeight="1">
      <c r="A2172" s="7" t="s">
        <v>11449</v>
      </c>
      <c r="B2172" s="45" t="s">
        <v>11450</v>
      </c>
      <c r="C2172" s="7" t="s">
        <v>11451</v>
      </c>
      <c r="D2172" s="7" t="s">
        <v>11452</v>
      </c>
      <c r="E2172" s="7" t="s">
        <v>11453</v>
      </c>
      <c r="F2172" s="7" t="s">
        <v>11454</v>
      </c>
      <c r="G2172" s="7"/>
      <c r="H2172" s="46" t="s">
        <v>249</v>
      </c>
      <c r="I2172" s="7" t="s">
        <v>160</v>
      </c>
      <c r="J2172" s="7" t="s">
        <v>148</v>
      </c>
      <c r="K2172" s="7"/>
      <c r="L2172" s="7"/>
      <c r="M2172" s="7"/>
    </row>
    <row r="2173" ht="15.75" customHeight="1">
      <c r="A2173" s="7" t="s">
        <v>11455</v>
      </c>
      <c r="B2173" s="45" t="s">
        <v>11456</v>
      </c>
      <c r="C2173" s="7" t="s">
        <v>11421</v>
      </c>
      <c r="D2173" s="7" t="s">
        <v>11457</v>
      </c>
      <c r="E2173" s="7" t="s">
        <v>11458</v>
      </c>
      <c r="F2173" s="7" t="s">
        <v>11459</v>
      </c>
      <c r="G2173" s="7"/>
      <c r="H2173" s="46" t="s">
        <v>249</v>
      </c>
      <c r="I2173" s="7" t="s">
        <v>160</v>
      </c>
      <c r="J2173" s="7" t="s">
        <v>148</v>
      </c>
      <c r="K2173" s="7"/>
      <c r="L2173" s="7"/>
      <c r="M2173" s="7"/>
    </row>
    <row r="2174" ht="15.75" customHeight="1">
      <c r="A2174" s="7" t="s">
        <v>11460</v>
      </c>
      <c r="B2174" s="45" t="s">
        <v>11461</v>
      </c>
      <c r="C2174" s="7" t="s">
        <v>11462</v>
      </c>
      <c r="D2174" s="7" t="s">
        <v>11463</v>
      </c>
      <c r="E2174" s="7" t="s">
        <v>11464</v>
      </c>
      <c r="F2174" s="7" t="s">
        <v>11465</v>
      </c>
      <c r="G2174" s="7"/>
      <c r="H2174" s="46" t="s">
        <v>249</v>
      </c>
      <c r="I2174" s="7" t="s">
        <v>160</v>
      </c>
      <c r="J2174" s="7" t="s">
        <v>148</v>
      </c>
      <c r="K2174" s="7"/>
      <c r="L2174" s="7"/>
      <c r="M2174" s="7"/>
    </row>
    <row r="2175" ht="15.75" customHeight="1">
      <c r="A2175" s="7" t="s">
        <v>11466</v>
      </c>
      <c r="B2175" s="45" t="s">
        <v>11467</v>
      </c>
      <c r="C2175" s="7" t="s">
        <v>11468</v>
      </c>
      <c r="D2175" s="7" t="s">
        <v>11469</v>
      </c>
      <c r="E2175" s="7" t="s">
        <v>11470</v>
      </c>
      <c r="F2175" s="7" t="s">
        <v>11471</v>
      </c>
      <c r="G2175" s="7"/>
      <c r="H2175" s="46" t="s">
        <v>249</v>
      </c>
      <c r="I2175" s="7" t="s">
        <v>160</v>
      </c>
      <c r="J2175" s="7" t="s">
        <v>148</v>
      </c>
      <c r="K2175" s="7"/>
      <c r="L2175" s="7"/>
      <c r="M2175" s="7"/>
    </row>
    <row r="2176" ht="15.75" customHeight="1">
      <c r="A2176" s="7" t="s">
        <v>11472</v>
      </c>
      <c r="B2176" s="45" t="s">
        <v>11473</v>
      </c>
      <c r="C2176" s="7" t="s">
        <v>11474</v>
      </c>
      <c r="D2176" s="7" t="s">
        <v>11475</v>
      </c>
      <c r="E2176" s="7" t="s">
        <v>11476</v>
      </c>
      <c r="F2176" s="7" t="s">
        <v>11477</v>
      </c>
      <c r="G2176" s="7"/>
      <c r="H2176" s="46" t="s">
        <v>249</v>
      </c>
      <c r="I2176" s="7" t="s">
        <v>160</v>
      </c>
      <c r="J2176" s="7" t="s">
        <v>148</v>
      </c>
      <c r="K2176" s="7"/>
      <c r="L2176" s="7"/>
      <c r="M2176" s="7"/>
    </row>
    <row r="2177" ht="15.75" customHeight="1">
      <c r="A2177" s="7" t="s">
        <v>11478</v>
      </c>
      <c r="B2177" s="45" t="s">
        <v>11479</v>
      </c>
      <c r="C2177" s="7" t="s">
        <v>11480</v>
      </c>
      <c r="D2177" s="7" t="s">
        <v>11481</v>
      </c>
      <c r="E2177" s="7" t="s">
        <v>11482</v>
      </c>
      <c r="F2177" s="7" t="s">
        <v>11477</v>
      </c>
      <c r="G2177" s="7" t="s">
        <v>11483</v>
      </c>
      <c r="H2177" s="46" t="s">
        <v>249</v>
      </c>
      <c r="I2177" s="7" t="s">
        <v>160</v>
      </c>
      <c r="J2177" s="7" t="s">
        <v>148</v>
      </c>
      <c r="K2177" s="7"/>
      <c r="L2177" s="7"/>
      <c r="M2177" s="7"/>
    </row>
    <row r="2178" ht="15.75" customHeight="1">
      <c r="A2178" s="7" t="s">
        <v>11484</v>
      </c>
      <c r="B2178" s="45" t="s">
        <v>11485</v>
      </c>
      <c r="C2178" s="7" t="s">
        <v>11486</v>
      </c>
      <c r="D2178" s="7" t="s">
        <v>11487</v>
      </c>
      <c r="E2178" s="7" t="s">
        <v>11488</v>
      </c>
      <c r="F2178" s="7" t="s">
        <v>11489</v>
      </c>
      <c r="G2178" s="7"/>
      <c r="H2178" s="46" t="s">
        <v>249</v>
      </c>
      <c r="I2178" s="7" t="s">
        <v>160</v>
      </c>
      <c r="J2178" s="7" t="s">
        <v>148</v>
      </c>
      <c r="K2178" s="7"/>
      <c r="L2178" s="7"/>
      <c r="M2178" s="7"/>
    </row>
    <row r="2179" ht="15.75" customHeight="1">
      <c r="A2179" s="7" t="s">
        <v>11490</v>
      </c>
      <c r="B2179" s="45" t="s">
        <v>11491</v>
      </c>
      <c r="C2179" s="7" t="s">
        <v>11492</v>
      </c>
      <c r="D2179" s="7" t="s">
        <v>11493</v>
      </c>
      <c r="E2179" s="7" t="s">
        <v>11494</v>
      </c>
      <c r="F2179" s="7" t="s">
        <v>11495</v>
      </c>
      <c r="G2179" s="7"/>
      <c r="H2179" s="46" t="s">
        <v>249</v>
      </c>
      <c r="I2179" s="7" t="s">
        <v>160</v>
      </c>
      <c r="J2179" s="7" t="s">
        <v>148</v>
      </c>
      <c r="K2179" s="7"/>
      <c r="L2179" s="7"/>
      <c r="M2179" s="7"/>
    </row>
    <row r="2180" ht="15.75" customHeight="1">
      <c r="A2180" s="7" t="s">
        <v>11496</v>
      </c>
      <c r="B2180" s="45" t="s">
        <v>11497</v>
      </c>
      <c r="C2180" s="7" t="s">
        <v>11498</v>
      </c>
      <c r="D2180" s="7" t="s">
        <v>11499</v>
      </c>
      <c r="E2180" s="7" t="s">
        <v>11500</v>
      </c>
      <c r="F2180" s="7" t="s">
        <v>11501</v>
      </c>
      <c r="G2180" s="7"/>
      <c r="H2180" s="46" t="s">
        <v>249</v>
      </c>
      <c r="I2180" s="7" t="s">
        <v>160</v>
      </c>
      <c r="J2180" s="7" t="s">
        <v>148</v>
      </c>
      <c r="K2180" s="7"/>
      <c r="L2180" s="7"/>
      <c r="M2180" s="7"/>
    </row>
    <row r="2181" ht="15.75" customHeight="1">
      <c r="A2181" s="7" t="s">
        <v>11502</v>
      </c>
      <c r="B2181" s="45" t="s">
        <v>11503</v>
      </c>
      <c r="C2181" s="7" t="s">
        <v>11498</v>
      </c>
      <c r="D2181" s="7" t="s">
        <v>11504</v>
      </c>
      <c r="E2181" s="7" t="s">
        <v>11505</v>
      </c>
      <c r="F2181" s="7" t="s">
        <v>11501</v>
      </c>
      <c r="G2181" s="7"/>
      <c r="H2181" s="46" t="s">
        <v>249</v>
      </c>
      <c r="I2181" s="7" t="s">
        <v>160</v>
      </c>
      <c r="J2181" s="7" t="s">
        <v>148</v>
      </c>
      <c r="K2181" s="7"/>
      <c r="L2181" s="7"/>
      <c r="M2181" s="7"/>
    </row>
    <row r="2182" ht="15.75" customHeight="1">
      <c r="A2182" s="7" t="s">
        <v>11506</v>
      </c>
      <c r="B2182" s="45" t="s">
        <v>11507</v>
      </c>
      <c r="C2182" s="7" t="s">
        <v>11508</v>
      </c>
      <c r="D2182" s="7" t="s">
        <v>11509</v>
      </c>
      <c r="E2182" s="7" t="s">
        <v>11510</v>
      </c>
      <c r="F2182" s="7" t="s">
        <v>11511</v>
      </c>
      <c r="G2182" s="7"/>
      <c r="H2182" s="46" t="s">
        <v>249</v>
      </c>
      <c r="I2182" s="7" t="s">
        <v>160</v>
      </c>
      <c r="J2182" s="7" t="s">
        <v>148</v>
      </c>
      <c r="K2182" s="7"/>
      <c r="L2182" s="7"/>
      <c r="M2182" s="7"/>
    </row>
    <row r="2183" ht="15.75" customHeight="1">
      <c r="A2183" s="7" t="s">
        <v>11512</v>
      </c>
      <c r="B2183" s="45" t="s">
        <v>11513</v>
      </c>
      <c r="C2183" s="7" t="s">
        <v>11514</v>
      </c>
      <c r="D2183" s="7" t="s">
        <v>11515</v>
      </c>
      <c r="E2183" s="7" t="s">
        <v>11516</v>
      </c>
      <c r="F2183" s="7" t="s">
        <v>3121</v>
      </c>
      <c r="G2183" s="7"/>
      <c r="H2183" s="46" t="s">
        <v>249</v>
      </c>
      <c r="I2183" s="7" t="s">
        <v>160</v>
      </c>
      <c r="J2183" s="7" t="s">
        <v>148</v>
      </c>
      <c r="K2183" s="7"/>
      <c r="L2183" s="7"/>
      <c r="M2183" s="7"/>
    </row>
    <row r="2184" ht="15.75" customHeight="1">
      <c r="A2184" s="7" t="s">
        <v>11517</v>
      </c>
      <c r="B2184" s="45" t="s">
        <v>11518</v>
      </c>
      <c r="C2184" s="7" t="s">
        <v>11519</v>
      </c>
      <c r="D2184" s="7" t="s">
        <v>11520</v>
      </c>
      <c r="E2184" s="7" t="s">
        <v>11521</v>
      </c>
      <c r="F2184" s="7" t="s">
        <v>11522</v>
      </c>
      <c r="G2184" s="7"/>
      <c r="H2184" s="46" t="s">
        <v>249</v>
      </c>
      <c r="I2184" s="7" t="s">
        <v>160</v>
      </c>
      <c r="J2184" s="7" t="s">
        <v>148</v>
      </c>
      <c r="K2184" s="7"/>
      <c r="L2184" s="7"/>
      <c r="M2184" s="7"/>
    </row>
    <row r="2185" ht="15.75" customHeight="1">
      <c r="A2185" s="7" t="s">
        <v>11523</v>
      </c>
      <c r="B2185" s="45" t="s">
        <v>11524</v>
      </c>
      <c r="C2185" s="7" t="s">
        <v>11525</v>
      </c>
      <c r="D2185" s="7" t="s">
        <v>11526</v>
      </c>
      <c r="E2185" s="7" t="s">
        <v>11527</v>
      </c>
      <c r="F2185" s="7" t="s">
        <v>11528</v>
      </c>
      <c r="G2185" s="7"/>
      <c r="H2185" s="46" t="s">
        <v>249</v>
      </c>
      <c r="I2185" s="7" t="s">
        <v>160</v>
      </c>
      <c r="J2185" s="7" t="s">
        <v>148</v>
      </c>
      <c r="K2185" s="7"/>
      <c r="L2185" s="7"/>
      <c r="M2185" s="7"/>
    </row>
    <row r="2186" ht="15.75" customHeight="1">
      <c r="A2186" s="7" t="s">
        <v>11529</v>
      </c>
      <c r="B2186" s="45" t="s">
        <v>11530</v>
      </c>
      <c r="C2186" s="7" t="s">
        <v>11531</v>
      </c>
      <c r="D2186" s="7" t="s">
        <v>11532</v>
      </c>
      <c r="E2186" s="7" t="s">
        <v>11533</v>
      </c>
      <c r="F2186" s="7" t="s">
        <v>11528</v>
      </c>
      <c r="G2186" s="7"/>
      <c r="H2186" s="46" t="s">
        <v>249</v>
      </c>
      <c r="I2186" s="7" t="s">
        <v>160</v>
      </c>
      <c r="J2186" s="7" t="s">
        <v>148</v>
      </c>
      <c r="K2186" s="7"/>
      <c r="L2186" s="7"/>
      <c r="M2186" s="7"/>
    </row>
    <row r="2187" ht="15.75" customHeight="1">
      <c r="A2187" s="7" t="s">
        <v>11534</v>
      </c>
      <c r="B2187" s="45" t="s">
        <v>11535</v>
      </c>
      <c r="C2187" s="7" t="s">
        <v>11536</v>
      </c>
      <c r="D2187" s="7" t="s">
        <v>11537</v>
      </c>
      <c r="E2187" s="7" t="s">
        <v>11538</v>
      </c>
      <c r="F2187" s="7" t="s">
        <v>11539</v>
      </c>
      <c r="G2187" s="7"/>
      <c r="H2187" s="46" t="s">
        <v>249</v>
      </c>
      <c r="I2187" s="7" t="s">
        <v>160</v>
      </c>
      <c r="J2187" s="7" t="s">
        <v>148</v>
      </c>
      <c r="K2187" s="7"/>
      <c r="L2187" s="7"/>
      <c r="M2187" s="7"/>
    </row>
    <row r="2188" ht="15.75" customHeight="1">
      <c r="A2188" s="7" t="s">
        <v>11540</v>
      </c>
      <c r="B2188" s="45" t="s">
        <v>11541</v>
      </c>
      <c r="C2188" s="7" t="s">
        <v>11536</v>
      </c>
      <c r="D2188" s="7" t="s">
        <v>11542</v>
      </c>
      <c r="E2188" s="7" t="s">
        <v>11538</v>
      </c>
      <c r="F2188" s="7" t="s">
        <v>11539</v>
      </c>
      <c r="G2188" s="7"/>
      <c r="H2188" s="46" t="s">
        <v>249</v>
      </c>
      <c r="I2188" s="7" t="s">
        <v>160</v>
      </c>
      <c r="J2188" s="7" t="s">
        <v>148</v>
      </c>
      <c r="K2188" s="7"/>
      <c r="L2188" s="7"/>
      <c r="M2188" s="7"/>
    </row>
    <row r="2189" ht="15.75" customHeight="1">
      <c r="A2189" s="7" t="s">
        <v>11543</v>
      </c>
      <c r="B2189" s="45" t="s">
        <v>11544</v>
      </c>
      <c r="C2189" s="7" t="s">
        <v>10684</v>
      </c>
      <c r="D2189" s="7" t="s">
        <v>11545</v>
      </c>
      <c r="E2189" s="7" t="s">
        <v>10686</v>
      </c>
      <c r="F2189" s="7" t="s">
        <v>11546</v>
      </c>
      <c r="G2189" s="7"/>
      <c r="H2189" s="46" t="s">
        <v>249</v>
      </c>
      <c r="I2189" s="7" t="s">
        <v>160</v>
      </c>
      <c r="J2189" s="7" t="s">
        <v>148</v>
      </c>
      <c r="K2189" s="7"/>
      <c r="L2189" s="7"/>
      <c r="M2189" s="7"/>
    </row>
    <row r="2190" ht="15.75" customHeight="1">
      <c r="A2190" s="7" t="s">
        <v>11547</v>
      </c>
      <c r="B2190" s="45" t="s">
        <v>11548</v>
      </c>
      <c r="C2190" s="7" t="s">
        <v>11549</v>
      </c>
      <c r="D2190" s="7" t="s">
        <v>11550</v>
      </c>
      <c r="E2190" s="7" t="s">
        <v>10686</v>
      </c>
      <c r="F2190" s="7" t="s">
        <v>9403</v>
      </c>
      <c r="G2190" s="7"/>
      <c r="H2190" s="46" t="s">
        <v>249</v>
      </c>
      <c r="I2190" s="7" t="s">
        <v>160</v>
      </c>
      <c r="J2190" s="7" t="s">
        <v>148</v>
      </c>
      <c r="K2190" s="7"/>
      <c r="L2190" s="7"/>
      <c r="M2190" s="7"/>
    </row>
    <row r="2191" ht="15.75" customHeight="1">
      <c r="A2191" s="7" t="s">
        <v>11551</v>
      </c>
      <c r="B2191" s="45" t="s">
        <v>11552</v>
      </c>
      <c r="C2191" s="7" t="s">
        <v>11553</v>
      </c>
      <c r="D2191" s="7" t="s">
        <v>11554</v>
      </c>
      <c r="E2191" s="7" t="s">
        <v>11555</v>
      </c>
      <c r="F2191" s="7" t="s">
        <v>11556</v>
      </c>
      <c r="G2191" s="7"/>
      <c r="H2191" s="46" t="s">
        <v>249</v>
      </c>
      <c r="I2191" s="7" t="s">
        <v>160</v>
      </c>
      <c r="J2191" s="7" t="s">
        <v>148</v>
      </c>
      <c r="K2191" s="7"/>
      <c r="L2191" s="7"/>
      <c r="M2191" s="7"/>
    </row>
    <row r="2192" ht="15.75" customHeight="1">
      <c r="A2192" s="7" t="s">
        <v>11557</v>
      </c>
      <c r="B2192" s="45" t="s">
        <v>11558</v>
      </c>
      <c r="C2192" s="7" t="s">
        <v>11559</v>
      </c>
      <c r="D2192" s="7" t="s">
        <v>11560</v>
      </c>
      <c r="E2192" s="7" t="s">
        <v>11561</v>
      </c>
      <c r="F2192" s="7" t="s">
        <v>11562</v>
      </c>
      <c r="G2192" s="7"/>
      <c r="H2192" s="46" t="s">
        <v>249</v>
      </c>
      <c r="I2192" s="7" t="s">
        <v>160</v>
      </c>
      <c r="J2192" s="7" t="s">
        <v>148</v>
      </c>
      <c r="K2192" s="7"/>
      <c r="L2192" s="7"/>
      <c r="M2192" s="7"/>
    </row>
    <row r="2193" ht="15.75" customHeight="1">
      <c r="A2193" s="7" t="s">
        <v>11563</v>
      </c>
      <c r="B2193" s="45" t="s">
        <v>11564</v>
      </c>
      <c r="C2193" s="7" t="s">
        <v>11565</v>
      </c>
      <c r="D2193" s="7" t="s">
        <v>11566</v>
      </c>
      <c r="E2193" s="7" t="s">
        <v>11567</v>
      </c>
      <c r="F2193" s="7" t="s">
        <v>11568</v>
      </c>
      <c r="G2193" s="7" t="s">
        <v>11569</v>
      </c>
      <c r="H2193" s="46" t="s">
        <v>249</v>
      </c>
      <c r="I2193" s="7" t="s">
        <v>160</v>
      </c>
      <c r="J2193" s="7" t="s">
        <v>148</v>
      </c>
      <c r="K2193" s="7"/>
      <c r="L2193" s="7"/>
      <c r="M2193" s="7"/>
    </row>
    <row r="2194" ht="15.75" customHeight="1">
      <c r="A2194" s="7" t="s">
        <v>11570</v>
      </c>
      <c r="B2194" s="45" t="s">
        <v>11571</v>
      </c>
      <c r="C2194" s="7" t="s">
        <v>11572</v>
      </c>
      <c r="D2194" s="7" t="s">
        <v>11573</v>
      </c>
      <c r="E2194" s="7" t="s">
        <v>11574</v>
      </c>
      <c r="F2194" s="7" t="s">
        <v>11575</v>
      </c>
      <c r="G2194" s="7"/>
      <c r="H2194" s="46" t="s">
        <v>249</v>
      </c>
      <c r="I2194" s="7" t="s">
        <v>160</v>
      </c>
      <c r="J2194" s="7" t="s">
        <v>148</v>
      </c>
      <c r="K2194" s="7"/>
      <c r="L2194" s="7"/>
      <c r="M2194" s="7"/>
    </row>
    <row r="2195" ht="15.75" customHeight="1">
      <c r="A2195" s="7" t="s">
        <v>11576</v>
      </c>
      <c r="B2195" s="45" t="s">
        <v>11577</v>
      </c>
      <c r="C2195" s="7" t="s">
        <v>11578</v>
      </c>
      <c r="D2195" s="7" t="s">
        <v>11579</v>
      </c>
      <c r="E2195" s="7" t="s">
        <v>8947</v>
      </c>
      <c r="F2195" s="7" t="s">
        <v>11580</v>
      </c>
      <c r="G2195" s="7"/>
      <c r="H2195" s="46" t="s">
        <v>249</v>
      </c>
      <c r="I2195" s="7" t="s">
        <v>160</v>
      </c>
      <c r="J2195" s="7" t="s">
        <v>148</v>
      </c>
      <c r="K2195" s="7"/>
      <c r="L2195" s="7"/>
      <c r="M2195" s="7"/>
    </row>
    <row r="2196" ht="15.75" customHeight="1">
      <c r="A2196" s="7" t="s">
        <v>11581</v>
      </c>
      <c r="B2196" s="45" t="s">
        <v>11582</v>
      </c>
      <c r="C2196" s="7" t="s">
        <v>11583</v>
      </c>
      <c r="D2196" s="7" t="s">
        <v>11584</v>
      </c>
      <c r="E2196" s="7" t="s">
        <v>11585</v>
      </c>
      <c r="F2196" s="7" t="s">
        <v>11586</v>
      </c>
      <c r="G2196" s="7"/>
      <c r="H2196" s="46" t="s">
        <v>249</v>
      </c>
      <c r="I2196" s="7" t="s">
        <v>160</v>
      </c>
      <c r="J2196" s="7" t="s">
        <v>148</v>
      </c>
      <c r="K2196" s="7"/>
      <c r="L2196" s="7"/>
      <c r="M2196" s="7"/>
    </row>
    <row r="2197" ht="15.75" customHeight="1">
      <c r="A2197" s="7" t="s">
        <v>11587</v>
      </c>
      <c r="B2197" s="45" t="s">
        <v>11588</v>
      </c>
      <c r="C2197" s="7" t="s">
        <v>10352</v>
      </c>
      <c r="D2197" s="7" t="s">
        <v>11589</v>
      </c>
      <c r="E2197" s="7" t="s">
        <v>10354</v>
      </c>
      <c r="F2197" s="7" t="s">
        <v>10355</v>
      </c>
      <c r="G2197" s="7"/>
      <c r="H2197" s="46" t="s">
        <v>249</v>
      </c>
      <c r="I2197" s="7" t="s">
        <v>160</v>
      </c>
      <c r="J2197" s="7" t="s">
        <v>148</v>
      </c>
      <c r="K2197" s="7"/>
      <c r="L2197" s="7"/>
      <c r="M2197" s="7"/>
    </row>
    <row r="2198" ht="15.75" customHeight="1">
      <c r="A2198" s="7" t="s">
        <v>11590</v>
      </c>
      <c r="B2198" s="45" t="s">
        <v>11591</v>
      </c>
      <c r="C2198" s="7" t="s">
        <v>11592</v>
      </c>
      <c r="D2198" s="7" t="s">
        <v>11593</v>
      </c>
      <c r="E2198" s="7" t="s">
        <v>8947</v>
      </c>
      <c r="F2198" s="7" t="s">
        <v>11580</v>
      </c>
      <c r="G2198" s="7"/>
      <c r="H2198" s="46" t="s">
        <v>249</v>
      </c>
      <c r="I2198" s="7" t="s">
        <v>160</v>
      </c>
      <c r="J2198" s="7" t="s">
        <v>148</v>
      </c>
      <c r="K2198" s="7"/>
      <c r="L2198" s="7"/>
      <c r="M2198" s="7"/>
    </row>
    <row r="2199" ht="15.75" customHeight="1">
      <c r="A2199" s="7" t="s">
        <v>11594</v>
      </c>
      <c r="B2199" s="45" t="s">
        <v>11595</v>
      </c>
      <c r="C2199" s="7" t="s">
        <v>11592</v>
      </c>
      <c r="D2199" s="7" t="s">
        <v>11596</v>
      </c>
      <c r="E2199" s="7" t="s">
        <v>8942</v>
      </c>
      <c r="F2199" s="7" t="s">
        <v>11597</v>
      </c>
      <c r="G2199" s="7"/>
      <c r="H2199" s="46" t="s">
        <v>249</v>
      </c>
      <c r="I2199" s="7" t="s">
        <v>160</v>
      </c>
      <c r="J2199" s="7" t="s">
        <v>148</v>
      </c>
      <c r="K2199" s="7"/>
      <c r="L2199" s="7"/>
      <c r="M2199" s="7"/>
    </row>
    <row r="2200" ht="15.75" customHeight="1">
      <c r="A2200" s="7" t="s">
        <v>11598</v>
      </c>
      <c r="B2200" s="45" t="s">
        <v>11599</v>
      </c>
      <c r="C2200" s="7" t="s">
        <v>11600</v>
      </c>
      <c r="D2200" s="7" t="s">
        <v>11601</v>
      </c>
      <c r="E2200" s="7" t="s">
        <v>11602</v>
      </c>
      <c r="F2200" s="7" t="s">
        <v>11603</v>
      </c>
      <c r="G2200" s="7"/>
      <c r="H2200" s="46" t="s">
        <v>249</v>
      </c>
      <c r="I2200" s="7" t="s">
        <v>160</v>
      </c>
      <c r="J2200" s="7" t="s">
        <v>148</v>
      </c>
      <c r="K2200" s="7"/>
      <c r="L2200" s="7"/>
      <c r="M2200" s="7"/>
    </row>
    <row r="2201" ht="15.75" customHeight="1">
      <c r="A2201" s="7" t="s">
        <v>11604</v>
      </c>
      <c r="B2201" s="45" t="s">
        <v>11605</v>
      </c>
      <c r="C2201" s="7" t="s">
        <v>11606</v>
      </c>
      <c r="D2201" s="7" t="s">
        <v>11607</v>
      </c>
      <c r="E2201" s="7" t="s">
        <v>11608</v>
      </c>
      <c r="F2201" s="7" t="s">
        <v>11609</v>
      </c>
      <c r="G2201" s="7"/>
      <c r="H2201" s="46" t="s">
        <v>249</v>
      </c>
      <c r="I2201" s="7" t="s">
        <v>160</v>
      </c>
      <c r="J2201" s="7" t="s">
        <v>148</v>
      </c>
      <c r="K2201" s="7"/>
      <c r="L2201" s="7"/>
      <c r="M2201" s="7"/>
    </row>
    <row r="2202" ht="15.75" customHeight="1">
      <c r="A2202" s="7" t="s">
        <v>11610</v>
      </c>
      <c r="B2202" s="45" t="s">
        <v>11611</v>
      </c>
      <c r="C2202" s="7" t="s">
        <v>11612</v>
      </c>
      <c r="D2202" s="7" t="s">
        <v>11613</v>
      </c>
      <c r="E2202" s="7" t="s">
        <v>11614</v>
      </c>
      <c r="F2202" s="7" t="s">
        <v>11615</v>
      </c>
      <c r="G2202" s="7"/>
      <c r="H2202" s="46" t="s">
        <v>249</v>
      </c>
      <c r="I2202" s="7" t="s">
        <v>160</v>
      </c>
      <c r="J2202" s="7" t="s">
        <v>148</v>
      </c>
      <c r="K2202" s="7"/>
      <c r="L2202" s="7"/>
      <c r="M2202" s="7"/>
    </row>
    <row r="2203" ht="15.75" customHeight="1">
      <c r="A2203" s="7" t="s">
        <v>11616</v>
      </c>
      <c r="B2203" s="45" t="s">
        <v>11617</v>
      </c>
      <c r="C2203" s="7" t="s">
        <v>11612</v>
      </c>
      <c r="D2203" s="7" t="s">
        <v>11618</v>
      </c>
      <c r="E2203" s="7" t="s">
        <v>11619</v>
      </c>
      <c r="F2203" s="7" t="s">
        <v>11615</v>
      </c>
      <c r="G2203" s="7"/>
      <c r="H2203" s="46" t="s">
        <v>249</v>
      </c>
      <c r="I2203" s="7" t="s">
        <v>160</v>
      </c>
      <c r="J2203" s="7" t="s">
        <v>148</v>
      </c>
      <c r="K2203" s="7"/>
      <c r="L2203" s="7"/>
      <c r="M2203" s="7"/>
    </row>
    <row r="2204" ht="15.75" customHeight="1">
      <c r="A2204" s="7" t="s">
        <v>11620</v>
      </c>
      <c r="B2204" s="45" t="s">
        <v>11621</v>
      </c>
      <c r="C2204" s="7" t="s">
        <v>11612</v>
      </c>
      <c r="D2204" s="7" t="s">
        <v>11622</v>
      </c>
      <c r="E2204" s="7" t="s">
        <v>11623</v>
      </c>
      <c r="F2204" s="7" t="s">
        <v>11624</v>
      </c>
      <c r="G2204" s="7"/>
      <c r="H2204" s="46" t="s">
        <v>249</v>
      </c>
      <c r="I2204" s="7" t="s">
        <v>160</v>
      </c>
      <c r="J2204" s="7" t="s">
        <v>148</v>
      </c>
      <c r="K2204" s="7"/>
      <c r="L2204" s="7"/>
      <c r="M2204" s="7"/>
    </row>
    <row r="2205" ht="15.75" customHeight="1">
      <c r="A2205" s="7" t="s">
        <v>11625</v>
      </c>
      <c r="B2205" s="45" t="s">
        <v>11626</v>
      </c>
      <c r="C2205" s="7" t="s">
        <v>11627</v>
      </c>
      <c r="D2205" s="7" t="s">
        <v>11628</v>
      </c>
      <c r="E2205" s="7" t="s">
        <v>11629</v>
      </c>
      <c r="F2205" s="7" t="s">
        <v>11630</v>
      </c>
      <c r="G2205" s="7"/>
      <c r="H2205" s="46" t="s">
        <v>249</v>
      </c>
      <c r="I2205" s="7" t="s">
        <v>160</v>
      </c>
      <c r="J2205" s="7" t="s">
        <v>148</v>
      </c>
      <c r="K2205" s="7"/>
      <c r="L2205" s="7"/>
      <c r="M2205" s="7"/>
    </row>
    <row r="2206" ht="15.75" customHeight="1">
      <c r="A2206" s="7" t="s">
        <v>11631</v>
      </c>
      <c r="B2206" s="45" t="s">
        <v>11632</v>
      </c>
      <c r="C2206" s="7" t="s">
        <v>11633</v>
      </c>
      <c r="D2206" s="7" t="s">
        <v>11634</v>
      </c>
      <c r="E2206" s="7" t="s">
        <v>11635</v>
      </c>
      <c r="F2206" s="7" t="s">
        <v>11630</v>
      </c>
      <c r="G2206" s="7"/>
      <c r="H2206" s="46" t="s">
        <v>249</v>
      </c>
      <c r="I2206" s="7" t="s">
        <v>160</v>
      </c>
      <c r="J2206" s="7" t="s">
        <v>148</v>
      </c>
      <c r="K2206" s="7"/>
      <c r="L2206" s="7"/>
      <c r="M2206" s="7"/>
    </row>
    <row r="2207" ht="15.75" customHeight="1">
      <c r="A2207" s="7" t="s">
        <v>11636</v>
      </c>
      <c r="B2207" s="45" t="s">
        <v>11637</v>
      </c>
      <c r="C2207" s="7" t="s">
        <v>11638</v>
      </c>
      <c r="D2207" s="7" t="s">
        <v>11639</v>
      </c>
      <c r="E2207" s="7" t="s">
        <v>11640</v>
      </c>
      <c r="F2207" s="7" t="s">
        <v>11641</v>
      </c>
      <c r="G2207" s="7"/>
      <c r="H2207" s="46" t="s">
        <v>249</v>
      </c>
      <c r="I2207" s="7" t="s">
        <v>160</v>
      </c>
      <c r="J2207" s="7" t="s">
        <v>148</v>
      </c>
      <c r="K2207" s="7"/>
      <c r="L2207" s="7"/>
      <c r="M2207" s="7"/>
    </row>
    <row r="2208" ht="15.75" customHeight="1">
      <c r="A2208" s="7" t="s">
        <v>11642</v>
      </c>
      <c r="B2208" s="45" t="s">
        <v>11643</v>
      </c>
      <c r="C2208" s="7" t="s">
        <v>11644</v>
      </c>
      <c r="D2208" s="7" t="s">
        <v>11645</v>
      </c>
      <c r="E2208" s="7" t="s">
        <v>11646</v>
      </c>
      <c r="F2208" s="7" t="s">
        <v>11647</v>
      </c>
      <c r="G2208" s="7"/>
      <c r="H2208" s="46" t="s">
        <v>249</v>
      </c>
      <c r="I2208" s="7" t="s">
        <v>160</v>
      </c>
      <c r="J2208" s="7" t="s">
        <v>148</v>
      </c>
      <c r="K2208" s="7"/>
      <c r="L2208" s="7"/>
      <c r="M2208" s="7"/>
    </row>
    <row r="2209" ht="15.75" customHeight="1">
      <c r="A2209" s="7" t="s">
        <v>11648</v>
      </c>
      <c r="B2209" s="45" t="s">
        <v>11649</v>
      </c>
      <c r="C2209" s="7" t="s">
        <v>11650</v>
      </c>
      <c r="D2209" s="7" t="s">
        <v>11651</v>
      </c>
      <c r="E2209" s="7" t="s">
        <v>11652</v>
      </c>
      <c r="F2209" s="7" t="s">
        <v>11653</v>
      </c>
      <c r="G2209" s="7"/>
      <c r="H2209" s="46" t="s">
        <v>249</v>
      </c>
      <c r="I2209" s="7" t="s">
        <v>160</v>
      </c>
      <c r="J2209" s="7" t="s">
        <v>148</v>
      </c>
      <c r="K2209" s="7"/>
      <c r="L2209" s="7"/>
      <c r="M2209" s="7"/>
    </row>
    <row r="2210" ht="15.75" customHeight="1">
      <c r="A2210" s="7" t="s">
        <v>11654</v>
      </c>
      <c r="B2210" s="45" t="s">
        <v>11655</v>
      </c>
      <c r="C2210" s="7" t="s">
        <v>11656</v>
      </c>
      <c r="D2210" s="7" t="s">
        <v>11657</v>
      </c>
      <c r="E2210" s="7" t="s">
        <v>11658</v>
      </c>
      <c r="F2210" s="7" t="s">
        <v>11659</v>
      </c>
      <c r="G2210" s="7"/>
      <c r="H2210" s="46" t="s">
        <v>249</v>
      </c>
      <c r="I2210" s="7" t="s">
        <v>160</v>
      </c>
      <c r="J2210" s="7" t="s">
        <v>148</v>
      </c>
      <c r="K2210" s="7"/>
      <c r="L2210" s="7"/>
      <c r="M2210" s="7"/>
    </row>
    <row r="2211" ht="15.75" customHeight="1">
      <c r="A2211" s="7" t="s">
        <v>11660</v>
      </c>
      <c r="B2211" s="45" t="s">
        <v>11661</v>
      </c>
      <c r="C2211" s="7" t="s">
        <v>11662</v>
      </c>
      <c r="D2211" s="7" t="s">
        <v>11663</v>
      </c>
      <c r="E2211" s="7" t="s">
        <v>11664</v>
      </c>
      <c r="F2211" s="7" t="s">
        <v>11665</v>
      </c>
      <c r="G2211" s="7"/>
      <c r="H2211" s="46" t="s">
        <v>249</v>
      </c>
      <c r="I2211" s="7" t="s">
        <v>160</v>
      </c>
      <c r="J2211" s="7" t="s">
        <v>148</v>
      </c>
      <c r="K2211" s="7"/>
      <c r="L2211" s="7"/>
      <c r="M2211" s="7"/>
    </row>
    <row r="2212" ht="15.75" customHeight="1">
      <c r="A2212" s="7" t="s">
        <v>11666</v>
      </c>
      <c r="B2212" s="45" t="s">
        <v>11667</v>
      </c>
      <c r="C2212" s="7" t="s">
        <v>11668</v>
      </c>
      <c r="D2212" s="7" t="s">
        <v>11669</v>
      </c>
      <c r="E2212" s="7" t="s">
        <v>11670</v>
      </c>
      <c r="F2212" s="7" t="s">
        <v>11671</v>
      </c>
      <c r="G2212" s="7"/>
      <c r="H2212" s="46" t="s">
        <v>249</v>
      </c>
      <c r="I2212" s="7" t="s">
        <v>160</v>
      </c>
      <c r="J2212" s="7" t="s">
        <v>148</v>
      </c>
      <c r="K2212" s="7"/>
      <c r="L2212" s="7"/>
      <c r="M2212" s="7"/>
    </row>
    <row r="2213" ht="15.75" customHeight="1">
      <c r="A2213" s="7" t="s">
        <v>11672</v>
      </c>
      <c r="B2213" s="45" t="s">
        <v>11673</v>
      </c>
      <c r="C2213" s="7" t="s">
        <v>4504</v>
      </c>
      <c r="D2213" s="7" t="s">
        <v>11674</v>
      </c>
      <c r="E2213" s="7" t="s">
        <v>4506</v>
      </c>
      <c r="F2213" s="7" t="s">
        <v>11675</v>
      </c>
      <c r="G2213" s="7"/>
      <c r="H2213" s="46" t="s">
        <v>249</v>
      </c>
      <c r="I2213" s="7" t="s">
        <v>160</v>
      </c>
      <c r="J2213" s="7" t="s">
        <v>148</v>
      </c>
      <c r="K2213" s="7"/>
      <c r="L2213" s="7"/>
      <c r="M2213" s="7"/>
    </row>
    <row r="2214" ht="15.75" customHeight="1">
      <c r="A2214" s="7" t="s">
        <v>11676</v>
      </c>
      <c r="B2214" s="45" t="s">
        <v>11677</v>
      </c>
      <c r="C2214" s="7" t="s">
        <v>4504</v>
      </c>
      <c r="D2214" s="7" t="s">
        <v>11678</v>
      </c>
      <c r="E2214" s="7" t="s">
        <v>4506</v>
      </c>
      <c r="F2214" s="7" t="s">
        <v>11679</v>
      </c>
      <c r="G2214" s="7" t="s">
        <v>11680</v>
      </c>
      <c r="H2214" s="46" t="s">
        <v>249</v>
      </c>
      <c r="I2214" s="7" t="s">
        <v>160</v>
      </c>
      <c r="J2214" s="7" t="s">
        <v>148</v>
      </c>
      <c r="K2214" s="7"/>
      <c r="L2214" s="7"/>
      <c r="M2214" s="7"/>
    </row>
    <row r="2215" ht="15.75" customHeight="1">
      <c r="A2215" s="7" t="s">
        <v>11681</v>
      </c>
      <c r="B2215" s="45" t="s">
        <v>11682</v>
      </c>
      <c r="C2215" s="7" t="s">
        <v>11683</v>
      </c>
      <c r="D2215" s="7" t="s">
        <v>11684</v>
      </c>
      <c r="E2215" s="7" t="s">
        <v>11685</v>
      </c>
      <c r="F2215" s="7" t="s">
        <v>11686</v>
      </c>
      <c r="G2215" s="7"/>
      <c r="H2215" s="46" t="s">
        <v>249</v>
      </c>
      <c r="I2215" s="7" t="s">
        <v>160</v>
      </c>
      <c r="J2215" s="7" t="s">
        <v>148</v>
      </c>
      <c r="K2215" s="7"/>
      <c r="L2215" s="7"/>
      <c r="M2215" s="7"/>
    </row>
    <row r="2216" ht="15.75" customHeight="1">
      <c r="A2216" s="7" t="s">
        <v>11687</v>
      </c>
      <c r="B2216" s="45" t="s">
        <v>11688</v>
      </c>
      <c r="C2216" s="7" t="s">
        <v>4498</v>
      </c>
      <c r="D2216" s="7" t="s">
        <v>11689</v>
      </c>
      <c r="E2216" s="7" t="s">
        <v>4500</v>
      </c>
      <c r="F2216" s="7" t="s">
        <v>11690</v>
      </c>
      <c r="G2216" s="7"/>
      <c r="H2216" s="46" t="s">
        <v>249</v>
      </c>
      <c r="I2216" s="7" t="s">
        <v>160</v>
      </c>
      <c r="J2216" s="7" t="s">
        <v>148</v>
      </c>
      <c r="K2216" s="7"/>
      <c r="L2216" s="7"/>
      <c r="M2216" s="7"/>
    </row>
    <row r="2217" ht="15.75" customHeight="1">
      <c r="A2217" s="7" t="s">
        <v>11691</v>
      </c>
      <c r="B2217" s="45" t="s">
        <v>11692</v>
      </c>
      <c r="C2217" s="7" t="s">
        <v>4498</v>
      </c>
      <c r="D2217" s="7" t="s">
        <v>11693</v>
      </c>
      <c r="E2217" s="7" t="s">
        <v>4500</v>
      </c>
      <c r="F2217" s="7" t="s">
        <v>7549</v>
      </c>
      <c r="G2217" s="7"/>
      <c r="H2217" s="46" t="s">
        <v>249</v>
      </c>
      <c r="I2217" s="7" t="s">
        <v>160</v>
      </c>
      <c r="J2217" s="7" t="s">
        <v>148</v>
      </c>
      <c r="K2217" s="7"/>
      <c r="L2217" s="7"/>
      <c r="M2217" s="7"/>
    </row>
    <row r="2218" ht="15.75" customHeight="1">
      <c r="A2218" s="7" t="s">
        <v>11694</v>
      </c>
      <c r="B2218" s="45" t="s">
        <v>11695</v>
      </c>
      <c r="C2218" s="7" t="s">
        <v>4297</v>
      </c>
      <c r="D2218" s="7" t="s">
        <v>11696</v>
      </c>
      <c r="E2218" s="7" t="s">
        <v>11697</v>
      </c>
      <c r="F2218" s="7" t="s">
        <v>4300</v>
      </c>
      <c r="G2218" s="7"/>
      <c r="H2218" s="46" t="s">
        <v>249</v>
      </c>
      <c r="I2218" s="7" t="s">
        <v>160</v>
      </c>
      <c r="J2218" s="7" t="s">
        <v>148</v>
      </c>
      <c r="K2218" s="7"/>
      <c r="L2218" s="7"/>
      <c r="M2218" s="7"/>
    </row>
    <row r="2219" ht="15.75" customHeight="1">
      <c r="A2219" s="7" t="s">
        <v>11698</v>
      </c>
      <c r="B2219" s="45" t="s">
        <v>11699</v>
      </c>
      <c r="C2219" s="7" t="s">
        <v>11700</v>
      </c>
      <c r="D2219" s="7" t="s">
        <v>11701</v>
      </c>
      <c r="E2219" s="7" t="s">
        <v>11702</v>
      </c>
      <c r="F2219" s="7" t="s">
        <v>11703</v>
      </c>
      <c r="G2219" s="7"/>
      <c r="H2219" s="46" t="s">
        <v>249</v>
      </c>
      <c r="I2219" s="7" t="s">
        <v>160</v>
      </c>
      <c r="J2219" s="7" t="s">
        <v>148</v>
      </c>
      <c r="K2219" s="7"/>
      <c r="L2219" s="7"/>
      <c r="M2219" s="7"/>
    </row>
    <row r="2220" ht="15.75" customHeight="1">
      <c r="A2220" s="7" t="s">
        <v>11704</v>
      </c>
      <c r="B2220" s="45" t="s">
        <v>11705</v>
      </c>
      <c r="C2220" s="7" t="s">
        <v>11706</v>
      </c>
      <c r="D2220" s="7" t="s">
        <v>11701</v>
      </c>
      <c r="E2220" s="7" t="s">
        <v>11702</v>
      </c>
      <c r="F2220" s="7" t="s">
        <v>11703</v>
      </c>
      <c r="G2220" s="7"/>
      <c r="H2220" s="46" t="s">
        <v>249</v>
      </c>
      <c r="I2220" s="7" t="s">
        <v>160</v>
      </c>
      <c r="J2220" s="7" t="s">
        <v>148</v>
      </c>
      <c r="K2220" s="7"/>
      <c r="L2220" s="7"/>
      <c r="M2220" s="7"/>
    </row>
    <row r="2221" ht="15.75" customHeight="1">
      <c r="A2221" s="7" t="s">
        <v>11707</v>
      </c>
      <c r="B2221" s="45" t="s">
        <v>11708</v>
      </c>
      <c r="C2221" s="7" t="s">
        <v>11709</v>
      </c>
      <c r="D2221" s="7" t="s">
        <v>11710</v>
      </c>
      <c r="E2221" s="7" t="s">
        <v>11711</v>
      </c>
      <c r="F2221" s="7" t="s">
        <v>11712</v>
      </c>
      <c r="G2221" s="7"/>
      <c r="H2221" s="46" t="s">
        <v>249</v>
      </c>
      <c r="I2221" s="7" t="s">
        <v>160</v>
      </c>
      <c r="J2221" s="7" t="s">
        <v>148</v>
      </c>
      <c r="K2221" s="7"/>
      <c r="L2221" s="7"/>
      <c r="M2221" s="7"/>
    </row>
    <row r="2222" ht="15.75" customHeight="1">
      <c r="A2222" s="7" t="s">
        <v>11713</v>
      </c>
      <c r="B2222" s="45" t="s">
        <v>11714</v>
      </c>
      <c r="C2222" s="7" t="s">
        <v>11715</v>
      </c>
      <c r="D2222" s="7" t="s">
        <v>11716</v>
      </c>
      <c r="E2222" s="7" t="s">
        <v>11711</v>
      </c>
      <c r="F2222" s="7" t="s">
        <v>11717</v>
      </c>
      <c r="G2222" s="7"/>
      <c r="H2222" s="46" t="s">
        <v>249</v>
      </c>
      <c r="I2222" s="7" t="s">
        <v>160</v>
      </c>
      <c r="J2222" s="7" t="s">
        <v>148</v>
      </c>
      <c r="K2222" s="7"/>
      <c r="L2222" s="7"/>
      <c r="M2222" s="7"/>
    </row>
    <row r="2223" ht="15.75" customHeight="1">
      <c r="A2223" s="7" t="s">
        <v>11718</v>
      </c>
      <c r="B2223" s="45" t="s">
        <v>11719</v>
      </c>
      <c r="C2223" s="7" t="s">
        <v>11720</v>
      </c>
      <c r="D2223" s="7" t="s">
        <v>11721</v>
      </c>
      <c r="E2223" s="7" t="s">
        <v>11722</v>
      </c>
      <c r="F2223" s="7" t="s">
        <v>11723</v>
      </c>
      <c r="G2223" s="7"/>
      <c r="H2223" s="46" t="s">
        <v>249</v>
      </c>
      <c r="I2223" s="7" t="s">
        <v>160</v>
      </c>
      <c r="J2223" s="7" t="s">
        <v>148</v>
      </c>
      <c r="K2223" s="7"/>
      <c r="L2223" s="7"/>
      <c r="M2223" s="7"/>
    </row>
    <row r="2224" ht="15.75" customHeight="1">
      <c r="A2224" s="7" t="s">
        <v>11724</v>
      </c>
      <c r="B2224" s="45" t="s">
        <v>11725</v>
      </c>
      <c r="C2224" s="7" t="s">
        <v>11726</v>
      </c>
      <c r="D2224" s="7" t="s">
        <v>11727</v>
      </c>
      <c r="E2224" s="7" t="s">
        <v>11728</v>
      </c>
      <c r="F2224" s="7" t="s">
        <v>11729</v>
      </c>
      <c r="G2224" s="7"/>
      <c r="H2224" s="46" t="s">
        <v>249</v>
      </c>
      <c r="I2224" s="7" t="s">
        <v>160</v>
      </c>
      <c r="J2224" s="7" t="s">
        <v>148</v>
      </c>
      <c r="K2224" s="7"/>
      <c r="L2224" s="7"/>
      <c r="M2224" s="7"/>
    </row>
    <row r="2225" ht="15.75" customHeight="1">
      <c r="A2225" s="7" t="s">
        <v>11730</v>
      </c>
      <c r="B2225" s="45" t="s">
        <v>11731</v>
      </c>
      <c r="C2225" s="7" t="s">
        <v>11732</v>
      </c>
      <c r="D2225" s="7" t="s">
        <v>11733</v>
      </c>
      <c r="E2225" s="7" t="s">
        <v>11734</v>
      </c>
      <c r="F2225" s="7" t="s">
        <v>11735</v>
      </c>
      <c r="G2225" s="7"/>
      <c r="H2225" s="46" t="s">
        <v>249</v>
      </c>
      <c r="I2225" s="7" t="s">
        <v>160</v>
      </c>
      <c r="J2225" s="7" t="s">
        <v>148</v>
      </c>
      <c r="K2225" s="7"/>
      <c r="L2225" s="7"/>
      <c r="M2225" s="7"/>
    </row>
    <row r="2226" ht="15.75" customHeight="1">
      <c r="A2226" s="7" t="s">
        <v>11736</v>
      </c>
      <c r="B2226" s="45" t="s">
        <v>11737</v>
      </c>
      <c r="C2226" s="7" t="s">
        <v>11738</v>
      </c>
      <c r="D2226" s="7" t="s">
        <v>11739</v>
      </c>
      <c r="E2226" s="7" t="s">
        <v>11740</v>
      </c>
      <c r="F2226" s="7" t="s">
        <v>11741</v>
      </c>
      <c r="G2226" s="7"/>
      <c r="H2226" s="46" t="s">
        <v>249</v>
      </c>
      <c r="I2226" s="7" t="s">
        <v>160</v>
      </c>
      <c r="J2226" s="7" t="s">
        <v>148</v>
      </c>
      <c r="K2226" s="7"/>
      <c r="L2226" s="7"/>
      <c r="M2226" s="7"/>
    </row>
    <row r="2227" ht="15.75" customHeight="1">
      <c r="A2227" s="7" t="s">
        <v>11742</v>
      </c>
      <c r="B2227" s="45" t="s">
        <v>11743</v>
      </c>
      <c r="C2227" s="7" t="s">
        <v>11744</v>
      </c>
      <c r="D2227" s="7" t="s">
        <v>11745</v>
      </c>
      <c r="E2227" s="7" t="s">
        <v>11746</v>
      </c>
      <c r="F2227" s="7" t="s">
        <v>1683</v>
      </c>
      <c r="G2227" s="7" t="s">
        <v>11747</v>
      </c>
      <c r="H2227" s="46" t="s">
        <v>249</v>
      </c>
      <c r="I2227" s="7" t="s">
        <v>160</v>
      </c>
      <c r="J2227" s="7" t="s">
        <v>148</v>
      </c>
      <c r="K2227" s="7"/>
      <c r="L2227" s="7"/>
      <c r="M2227" s="7"/>
    </row>
    <row r="2228" ht="15.75" customHeight="1">
      <c r="A2228" s="7" t="s">
        <v>11748</v>
      </c>
      <c r="B2228" s="45" t="s">
        <v>11749</v>
      </c>
      <c r="C2228" s="7" t="s">
        <v>11750</v>
      </c>
      <c r="D2228" s="7" t="s">
        <v>11751</v>
      </c>
      <c r="E2228" s="7" t="s">
        <v>11752</v>
      </c>
      <c r="F2228" s="7" t="s">
        <v>11753</v>
      </c>
      <c r="G2228" s="7"/>
      <c r="H2228" s="46" t="s">
        <v>249</v>
      </c>
      <c r="I2228" s="7" t="s">
        <v>160</v>
      </c>
      <c r="J2228" s="7" t="s">
        <v>148</v>
      </c>
      <c r="K2228" s="7"/>
      <c r="L2228" s="7"/>
      <c r="M2228" s="7"/>
    </row>
    <row r="2229" ht="15.75" customHeight="1">
      <c r="A2229" s="7" t="s">
        <v>11754</v>
      </c>
      <c r="B2229" s="45" t="s">
        <v>11755</v>
      </c>
      <c r="C2229" s="7" t="s">
        <v>11756</v>
      </c>
      <c r="D2229" s="7" t="s">
        <v>11757</v>
      </c>
      <c r="E2229" s="7" t="s">
        <v>11758</v>
      </c>
      <c r="F2229" s="7" t="s">
        <v>11759</v>
      </c>
      <c r="G2229" s="7"/>
      <c r="H2229" s="46" t="s">
        <v>249</v>
      </c>
      <c r="I2229" s="7" t="s">
        <v>160</v>
      </c>
      <c r="J2229" s="7" t="s">
        <v>148</v>
      </c>
      <c r="K2229" s="7"/>
      <c r="L2229" s="7"/>
      <c r="M2229" s="7"/>
    </row>
    <row r="2230" ht="15.75" customHeight="1">
      <c r="A2230" s="7" t="s">
        <v>11760</v>
      </c>
      <c r="B2230" s="45" t="s">
        <v>11761</v>
      </c>
      <c r="C2230" s="7" t="s">
        <v>11762</v>
      </c>
      <c r="D2230" s="7" t="s">
        <v>11763</v>
      </c>
      <c r="E2230" s="7" t="s">
        <v>11764</v>
      </c>
      <c r="F2230" s="7" t="s">
        <v>11765</v>
      </c>
      <c r="G2230" s="7"/>
      <c r="H2230" s="46" t="s">
        <v>249</v>
      </c>
      <c r="I2230" s="7" t="s">
        <v>160</v>
      </c>
      <c r="J2230" s="7" t="s">
        <v>148</v>
      </c>
      <c r="K2230" s="7"/>
      <c r="L2230" s="7"/>
      <c r="M2230" s="7"/>
    </row>
    <row r="2231" ht="15.75" customHeight="1">
      <c r="A2231" s="7" t="s">
        <v>11766</v>
      </c>
      <c r="B2231" s="45" t="s">
        <v>11767</v>
      </c>
      <c r="C2231" s="7" t="s">
        <v>11768</v>
      </c>
      <c r="D2231" s="7" t="s">
        <v>11769</v>
      </c>
      <c r="E2231" s="7" t="s">
        <v>11770</v>
      </c>
      <c r="F2231" s="7" t="s">
        <v>11771</v>
      </c>
      <c r="G2231" s="7"/>
      <c r="H2231" s="46" t="s">
        <v>249</v>
      </c>
      <c r="I2231" s="7" t="s">
        <v>160</v>
      </c>
      <c r="J2231" s="7" t="s">
        <v>148</v>
      </c>
      <c r="K2231" s="7"/>
      <c r="L2231" s="7"/>
      <c r="M2231" s="7"/>
    </row>
    <row r="2232" ht="15.75" customHeight="1">
      <c r="A2232" s="7" t="s">
        <v>11772</v>
      </c>
      <c r="B2232" s="45" t="s">
        <v>11773</v>
      </c>
      <c r="C2232" s="7" t="s">
        <v>11774</v>
      </c>
      <c r="D2232" s="7" t="s">
        <v>11775</v>
      </c>
      <c r="E2232" s="7" t="s">
        <v>11776</v>
      </c>
      <c r="F2232" s="7" t="s">
        <v>11777</v>
      </c>
      <c r="G2232" s="7"/>
      <c r="H2232" s="46" t="s">
        <v>249</v>
      </c>
      <c r="I2232" s="7" t="s">
        <v>160</v>
      </c>
      <c r="J2232" s="7" t="s">
        <v>148</v>
      </c>
      <c r="K2232" s="7"/>
      <c r="L2232" s="7"/>
      <c r="M2232" s="7"/>
    </row>
    <row r="2233" ht="15.75" customHeight="1">
      <c r="A2233" s="7" t="s">
        <v>11778</v>
      </c>
      <c r="B2233" s="45" t="s">
        <v>11779</v>
      </c>
      <c r="C2233" s="7" t="s">
        <v>11780</v>
      </c>
      <c r="D2233" s="7" t="s">
        <v>11781</v>
      </c>
      <c r="E2233" s="7" t="s">
        <v>11782</v>
      </c>
      <c r="F2233" s="7" t="s">
        <v>11783</v>
      </c>
      <c r="G2233" s="7"/>
      <c r="H2233" s="46" t="s">
        <v>249</v>
      </c>
      <c r="I2233" s="7" t="s">
        <v>160</v>
      </c>
      <c r="J2233" s="7" t="s">
        <v>148</v>
      </c>
      <c r="K2233" s="7"/>
      <c r="L2233" s="7"/>
      <c r="M2233" s="7"/>
    </row>
    <row r="2234" ht="15.75" customHeight="1">
      <c r="A2234" s="7" t="s">
        <v>11784</v>
      </c>
      <c r="B2234" s="45" t="s">
        <v>11785</v>
      </c>
      <c r="C2234" s="7" t="s">
        <v>11786</v>
      </c>
      <c r="D2234" s="7" t="s">
        <v>11787</v>
      </c>
      <c r="E2234" s="7" t="s">
        <v>11788</v>
      </c>
      <c r="F2234" s="7" t="s">
        <v>11789</v>
      </c>
      <c r="G2234" s="7"/>
      <c r="H2234" s="46" t="s">
        <v>249</v>
      </c>
      <c r="I2234" s="7" t="s">
        <v>160</v>
      </c>
      <c r="J2234" s="7" t="s">
        <v>148</v>
      </c>
      <c r="K2234" s="7"/>
      <c r="L2234" s="7"/>
      <c r="M2234" s="7"/>
    </row>
    <row r="2235" ht="15.75" customHeight="1">
      <c r="A2235" s="7" t="s">
        <v>11790</v>
      </c>
      <c r="B2235" s="45" t="s">
        <v>11791</v>
      </c>
      <c r="C2235" s="7" t="s">
        <v>11792</v>
      </c>
      <c r="D2235" s="7" t="s">
        <v>11793</v>
      </c>
      <c r="E2235" s="7" t="s">
        <v>11794</v>
      </c>
      <c r="F2235" s="7" t="s">
        <v>11795</v>
      </c>
      <c r="G2235" s="7"/>
      <c r="H2235" s="46" t="s">
        <v>249</v>
      </c>
      <c r="I2235" s="7" t="s">
        <v>160</v>
      </c>
      <c r="J2235" s="7" t="s">
        <v>148</v>
      </c>
      <c r="K2235" s="7"/>
      <c r="L2235" s="7"/>
      <c r="M2235" s="7"/>
    </row>
    <row r="2236" ht="15.75" customHeight="1">
      <c r="A2236" s="7" t="s">
        <v>11796</v>
      </c>
      <c r="B2236" s="45" t="s">
        <v>11797</v>
      </c>
      <c r="C2236" s="7" t="s">
        <v>11798</v>
      </c>
      <c r="D2236" s="7" t="s">
        <v>11799</v>
      </c>
      <c r="E2236" s="7" t="s">
        <v>11800</v>
      </c>
      <c r="F2236" s="7" t="s">
        <v>11801</v>
      </c>
      <c r="G2236" s="7"/>
      <c r="H2236" s="46" t="s">
        <v>249</v>
      </c>
      <c r="I2236" s="7" t="s">
        <v>160</v>
      </c>
      <c r="J2236" s="7" t="s">
        <v>148</v>
      </c>
      <c r="K2236" s="7"/>
      <c r="L2236" s="7"/>
      <c r="M2236" s="7"/>
    </row>
    <row r="2237" ht="15.75" customHeight="1">
      <c r="A2237" s="7" t="s">
        <v>11802</v>
      </c>
      <c r="B2237" s="45" t="s">
        <v>11803</v>
      </c>
      <c r="C2237" s="7" t="s">
        <v>11786</v>
      </c>
      <c r="D2237" s="7" t="s">
        <v>11804</v>
      </c>
      <c r="E2237" s="7" t="s">
        <v>11805</v>
      </c>
      <c r="F2237" s="7" t="s">
        <v>11789</v>
      </c>
      <c r="G2237" s="7"/>
      <c r="H2237" s="46" t="s">
        <v>249</v>
      </c>
      <c r="I2237" s="7" t="s">
        <v>160</v>
      </c>
      <c r="J2237" s="7" t="s">
        <v>148</v>
      </c>
      <c r="K2237" s="7"/>
      <c r="L2237" s="7"/>
      <c r="M2237" s="7"/>
    </row>
    <row r="2238" ht="15.75" customHeight="1">
      <c r="A2238" s="7" t="s">
        <v>11806</v>
      </c>
      <c r="B2238" s="45" t="s">
        <v>11807</v>
      </c>
      <c r="C2238" s="7" t="s">
        <v>11808</v>
      </c>
      <c r="D2238" s="7" t="s">
        <v>11809</v>
      </c>
      <c r="E2238" s="7" t="s">
        <v>11810</v>
      </c>
      <c r="F2238" s="7" t="s">
        <v>11811</v>
      </c>
      <c r="G2238" s="7" t="s">
        <v>11812</v>
      </c>
      <c r="H2238" s="46" t="s">
        <v>249</v>
      </c>
      <c r="I2238" s="7" t="s">
        <v>160</v>
      </c>
      <c r="J2238" s="7" t="s">
        <v>148</v>
      </c>
      <c r="K2238" s="7"/>
      <c r="L2238" s="7"/>
      <c r="M2238" s="7"/>
    </row>
    <row r="2239" ht="15.75" customHeight="1">
      <c r="A2239" s="7" t="s">
        <v>11813</v>
      </c>
      <c r="B2239" s="45" t="s">
        <v>11814</v>
      </c>
      <c r="C2239" s="7" t="s">
        <v>11815</v>
      </c>
      <c r="D2239" s="7" t="s">
        <v>11816</v>
      </c>
      <c r="E2239" s="7" t="s">
        <v>11817</v>
      </c>
      <c r="F2239" s="7" t="s">
        <v>11811</v>
      </c>
      <c r="G2239" s="7"/>
      <c r="H2239" s="46" t="s">
        <v>249</v>
      </c>
      <c r="I2239" s="7" t="s">
        <v>160</v>
      </c>
      <c r="J2239" s="7" t="s">
        <v>148</v>
      </c>
      <c r="K2239" s="7"/>
      <c r="L2239" s="7"/>
      <c r="M2239" s="7"/>
    </row>
    <row r="2240" ht="15.75" customHeight="1">
      <c r="A2240" s="7" t="s">
        <v>11818</v>
      </c>
      <c r="B2240" s="45" t="s">
        <v>11819</v>
      </c>
      <c r="C2240" s="7" t="s">
        <v>11820</v>
      </c>
      <c r="D2240" s="7" t="s">
        <v>11821</v>
      </c>
      <c r="E2240" s="7" t="s">
        <v>11822</v>
      </c>
      <c r="F2240" s="7" t="s">
        <v>11823</v>
      </c>
      <c r="G2240" s="7"/>
      <c r="H2240" s="46" t="s">
        <v>249</v>
      </c>
      <c r="I2240" s="7" t="s">
        <v>160</v>
      </c>
      <c r="J2240" s="7" t="s">
        <v>148</v>
      </c>
      <c r="K2240" s="7"/>
      <c r="L2240" s="7"/>
      <c r="M2240" s="7"/>
    </row>
    <row r="2241" ht="15.75" customHeight="1">
      <c r="A2241" s="7" t="s">
        <v>11824</v>
      </c>
      <c r="B2241" s="45" t="s">
        <v>11825</v>
      </c>
      <c r="C2241" s="7" t="s">
        <v>11826</v>
      </c>
      <c r="D2241" s="7" t="s">
        <v>11827</v>
      </c>
      <c r="E2241" s="7" t="s">
        <v>11828</v>
      </c>
      <c r="F2241" s="7" t="s">
        <v>4343</v>
      </c>
      <c r="G2241" s="7"/>
      <c r="H2241" s="46" t="s">
        <v>249</v>
      </c>
      <c r="I2241" s="7" t="s">
        <v>160</v>
      </c>
      <c r="J2241" s="7" t="s">
        <v>148</v>
      </c>
      <c r="K2241" s="7"/>
      <c r="L2241" s="7"/>
      <c r="M2241" s="7"/>
    </row>
    <row r="2242" ht="15.75" customHeight="1">
      <c r="A2242" s="7" t="s">
        <v>11829</v>
      </c>
      <c r="B2242" s="45" t="s">
        <v>11830</v>
      </c>
      <c r="C2242" s="7" t="s">
        <v>4346</v>
      </c>
      <c r="D2242" s="7" t="s">
        <v>11831</v>
      </c>
      <c r="E2242" s="7" t="s">
        <v>4348</v>
      </c>
      <c r="F2242" s="7" t="s">
        <v>4343</v>
      </c>
      <c r="G2242" s="7"/>
      <c r="H2242" s="46" t="s">
        <v>249</v>
      </c>
      <c r="I2242" s="7" t="s">
        <v>160</v>
      </c>
      <c r="J2242" s="7" t="s">
        <v>148</v>
      </c>
      <c r="K2242" s="7"/>
      <c r="L2242" s="7"/>
      <c r="M2242" s="7"/>
    </row>
    <row r="2243" ht="15.75" customHeight="1">
      <c r="A2243" s="7" t="s">
        <v>11832</v>
      </c>
      <c r="B2243" s="45" t="s">
        <v>11833</v>
      </c>
      <c r="C2243" s="7" t="s">
        <v>11834</v>
      </c>
      <c r="D2243" s="7" t="s">
        <v>11835</v>
      </c>
      <c r="E2243" s="7" t="s">
        <v>11836</v>
      </c>
      <c r="F2243" s="7" t="s">
        <v>11837</v>
      </c>
      <c r="G2243" s="7"/>
      <c r="H2243" s="46" t="s">
        <v>249</v>
      </c>
      <c r="I2243" s="7" t="s">
        <v>160</v>
      </c>
      <c r="J2243" s="7" t="s">
        <v>148</v>
      </c>
      <c r="K2243" s="7"/>
      <c r="L2243" s="7"/>
      <c r="M2243" s="7"/>
    </row>
    <row r="2244" ht="15.75" customHeight="1">
      <c r="A2244" s="7" t="s">
        <v>11838</v>
      </c>
      <c r="B2244" s="45" t="s">
        <v>11839</v>
      </c>
      <c r="C2244" s="7" t="s">
        <v>11840</v>
      </c>
      <c r="D2244" s="7" t="s">
        <v>11684</v>
      </c>
      <c r="E2244" s="7" t="s">
        <v>11841</v>
      </c>
      <c r="F2244" s="7" t="s">
        <v>11686</v>
      </c>
      <c r="G2244" s="7" t="s">
        <v>11842</v>
      </c>
      <c r="H2244" s="46" t="s">
        <v>249</v>
      </c>
      <c r="I2244" s="7" t="s">
        <v>160</v>
      </c>
      <c r="J2244" s="7" t="s">
        <v>148</v>
      </c>
      <c r="K2244" s="7"/>
      <c r="L2244" s="7"/>
      <c r="M2244" s="7"/>
    </row>
    <row r="2245" ht="15.75" customHeight="1">
      <c r="A2245" s="7" t="s">
        <v>11843</v>
      </c>
      <c r="B2245" s="45" t="s">
        <v>11844</v>
      </c>
      <c r="C2245" s="7" t="s">
        <v>11845</v>
      </c>
      <c r="D2245" s="7" t="s">
        <v>11846</v>
      </c>
      <c r="E2245" s="7" t="s">
        <v>11847</v>
      </c>
      <c r="F2245" s="7" t="s">
        <v>11848</v>
      </c>
      <c r="G2245" s="7"/>
      <c r="H2245" s="46" t="s">
        <v>249</v>
      </c>
      <c r="I2245" s="7" t="s">
        <v>160</v>
      </c>
      <c r="J2245" s="7" t="s">
        <v>148</v>
      </c>
      <c r="K2245" s="7"/>
      <c r="L2245" s="7"/>
      <c r="M2245" s="7"/>
    </row>
    <row r="2246" ht="15.75" customHeight="1">
      <c r="A2246" s="7" t="s">
        <v>11849</v>
      </c>
      <c r="B2246" s="45" t="s">
        <v>11850</v>
      </c>
      <c r="C2246" s="7" t="s">
        <v>11851</v>
      </c>
      <c r="D2246" s="7" t="s">
        <v>11852</v>
      </c>
      <c r="E2246" s="7" t="s">
        <v>11853</v>
      </c>
      <c r="F2246" s="7" t="s">
        <v>11854</v>
      </c>
      <c r="G2246" s="7"/>
      <c r="H2246" s="46" t="s">
        <v>249</v>
      </c>
      <c r="I2246" s="7" t="s">
        <v>160</v>
      </c>
      <c r="J2246" s="7" t="s">
        <v>148</v>
      </c>
      <c r="K2246" s="7"/>
      <c r="L2246" s="7"/>
      <c r="M2246" s="7"/>
    </row>
    <row r="2247" ht="15.75" customHeight="1">
      <c r="A2247" s="7" t="s">
        <v>11855</v>
      </c>
      <c r="B2247" s="45" t="s">
        <v>11856</v>
      </c>
      <c r="C2247" s="7" t="s">
        <v>11857</v>
      </c>
      <c r="D2247" s="7" t="s">
        <v>11858</v>
      </c>
      <c r="E2247" s="7" t="s">
        <v>11859</v>
      </c>
      <c r="F2247" s="7" t="s">
        <v>11860</v>
      </c>
      <c r="G2247" s="7"/>
      <c r="H2247" s="46" t="s">
        <v>249</v>
      </c>
      <c r="I2247" s="7" t="s">
        <v>160</v>
      </c>
      <c r="J2247" s="7" t="s">
        <v>148</v>
      </c>
      <c r="K2247" s="7"/>
      <c r="L2247" s="7"/>
      <c r="M2247" s="7"/>
    </row>
    <row r="2248" ht="15.75" customHeight="1">
      <c r="A2248" s="7" t="s">
        <v>11861</v>
      </c>
      <c r="B2248" s="45" t="s">
        <v>11862</v>
      </c>
      <c r="C2248" s="7" t="s">
        <v>7798</v>
      </c>
      <c r="D2248" s="7" t="s">
        <v>11863</v>
      </c>
      <c r="E2248" s="7" t="s">
        <v>11864</v>
      </c>
      <c r="F2248" s="7" t="s">
        <v>7801</v>
      </c>
      <c r="G2248" s="7"/>
      <c r="H2248" s="46" t="s">
        <v>249</v>
      </c>
      <c r="I2248" s="7" t="s">
        <v>160</v>
      </c>
      <c r="J2248" s="7" t="s">
        <v>148</v>
      </c>
      <c r="K2248" s="7"/>
      <c r="L2248" s="7"/>
      <c r="M2248" s="7"/>
    </row>
    <row r="2249" ht="15.75" customHeight="1">
      <c r="A2249" s="7" t="s">
        <v>11865</v>
      </c>
      <c r="B2249" s="45" t="s">
        <v>11866</v>
      </c>
      <c r="C2249" s="7" t="s">
        <v>11867</v>
      </c>
      <c r="D2249" s="7" t="s">
        <v>11868</v>
      </c>
      <c r="E2249" s="7" t="s">
        <v>11869</v>
      </c>
      <c r="F2249" s="7" t="s">
        <v>11870</v>
      </c>
      <c r="G2249" s="7"/>
      <c r="H2249" s="46" t="s">
        <v>249</v>
      </c>
      <c r="I2249" s="7" t="s">
        <v>160</v>
      </c>
      <c r="J2249" s="7" t="s">
        <v>148</v>
      </c>
      <c r="K2249" s="7"/>
      <c r="L2249" s="7"/>
      <c r="M2249" s="7"/>
    </row>
    <row r="2250" ht="15.75" customHeight="1">
      <c r="A2250" s="7" t="s">
        <v>11871</v>
      </c>
      <c r="B2250" s="45" t="s">
        <v>11872</v>
      </c>
      <c r="C2250" s="7" t="s">
        <v>11873</v>
      </c>
      <c r="D2250" s="7" t="s">
        <v>11874</v>
      </c>
      <c r="E2250" s="7" t="s">
        <v>11875</v>
      </c>
      <c r="F2250" s="7" t="s">
        <v>11876</v>
      </c>
      <c r="G2250" s="7"/>
      <c r="H2250" s="46" t="s">
        <v>249</v>
      </c>
      <c r="I2250" s="7" t="s">
        <v>160</v>
      </c>
      <c r="J2250" s="7" t="s">
        <v>148</v>
      </c>
      <c r="K2250" s="7"/>
      <c r="L2250" s="7"/>
      <c r="M2250" s="7"/>
    </row>
    <row r="2251" ht="15.75" customHeight="1">
      <c r="A2251" s="7" t="s">
        <v>11877</v>
      </c>
      <c r="B2251" s="45" t="s">
        <v>11878</v>
      </c>
      <c r="C2251" s="7" t="s">
        <v>11879</v>
      </c>
      <c r="D2251" s="7" t="s">
        <v>11880</v>
      </c>
      <c r="E2251" s="7" t="s">
        <v>11881</v>
      </c>
      <c r="F2251" s="7" t="s">
        <v>11882</v>
      </c>
      <c r="G2251" s="7"/>
      <c r="H2251" s="46" t="s">
        <v>249</v>
      </c>
      <c r="I2251" s="7" t="s">
        <v>160</v>
      </c>
      <c r="J2251" s="7" t="s">
        <v>148</v>
      </c>
      <c r="K2251" s="7"/>
      <c r="L2251" s="7"/>
      <c r="M2251" s="7"/>
    </row>
    <row r="2252" ht="15.75" customHeight="1">
      <c r="A2252" s="7" t="s">
        <v>11883</v>
      </c>
      <c r="B2252" s="45" t="s">
        <v>11884</v>
      </c>
      <c r="C2252" s="7" t="s">
        <v>11885</v>
      </c>
      <c r="D2252" s="7" t="s">
        <v>11886</v>
      </c>
      <c r="E2252" s="7" t="s">
        <v>11887</v>
      </c>
      <c r="F2252" s="7" t="s">
        <v>11888</v>
      </c>
      <c r="G2252" s="7"/>
      <c r="H2252" s="46" t="s">
        <v>249</v>
      </c>
      <c r="I2252" s="7" t="s">
        <v>160</v>
      </c>
      <c r="J2252" s="7" t="s">
        <v>148</v>
      </c>
      <c r="K2252" s="7"/>
      <c r="L2252" s="7"/>
      <c r="M2252" s="7"/>
    </row>
    <row r="2253" ht="15.75" customHeight="1">
      <c r="A2253" s="7" t="s">
        <v>11889</v>
      </c>
      <c r="B2253" s="45" t="s">
        <v>11890</v>
      </c>
      <c r="C2253" s="7" t="s">
        <v>11885</v>
      </c>
      <c r="D2253" s="7" t="s">
        <v>11891</v>
      </c>
      <c r="E2253" s="7" t="s">
        <v>11887</v>
      </c>
      <c r="F2253" s="7" t="s">
        <v>11888</v>
      </c>
      <c r="G2253" s="7"/>
      <c r="H2253" s="46" t="s">
        <v>249</v>
      </c>
      <c r="I2253" s="7" t="s">
        <v>160</v>
      </c>
      <c r="J2253" s="7" t="s">
        <v>148</v>
      </c>
      <c r="K2253" s="7"/>
      <c r="L2253" s="7"/>
      <c r="M2253" s="7"/>
    </row>
    <row r="2254" ht="15.75" customHeight="1">
      <c r="A2254" s="7" t="s">
        <v>11892</v>
      </c>
      <c r="B2254" s="45" t="s">
        <v>11893</v>
      </c>
      <c r="C2254" s="7" t="s">
        <v>11894</v>
      </c>
      <c r="D2254" s="7" t="s">
        <v>11895</v>
      </c>
      <c r="E2254" s="7" t="s">
        <v>11896</v>
      </c>
      <c r="F2254" s="7" t="s">
        <v>11897</v>
      </c>
      <c r="G2254" s="7"/>
      <c r="H2254" s="46" t="s">
        <v>249</v>
      </c>
      <c r="I2254" s="7" t="s">
        <v>160</v>
      </c>
      <c r="J2254" s="7" t="s">
        <v>148</v>
      </c>
      <c r="K2254" s="7"/>
      <c r="L2254" s="7"/>
      <c r="M2254" s="7"/>
    </row>
    <row r="2255" ht="15.75" customHeight="1">
      <c r="A2255" s="7" t="s">
        <v>11898</v>
      </c>
      <c r="B2255" s="45" t="s">
        <v>11899</v>
      </c>
      <c r="C2255" s="7" t="s">
        <v>11900</v>
      </c>
      <c r="D2255" s="7" t="s">
        <v>11901</v>
      </c>
      <c r="E2255" s="7" t="s">
        <v>11902</v>
      </c>
      <c r="F2255" s="7" t="s">
        <v>11903</v>
      </c>
      <c r="G2255" s="7"/>
      <c r="H2255" s="46" t="s">
        <v>249</v>
      </c>
      <c r="I2255" s="7" t="s">
        <v>160</v>
      </c>
      <c r="J2255" s="7" t="s">
        <v>148</v>
      </c>
      <c r="K2255" s="7"/>
      <c r="L2255" s="7"/>
      <c r="M2255" s="7"/>
    </row>
    <row r="2256" ht="15.75" customHeight="1">
      <c r="A2256" s="7" t="s">
        <v>11904</v>
      </c>
      <c r="B2256" s="45" t="s">
        <v>11905</v>
      </c>
      <c r="C2256" s="7" t="s">
        <v>11906</v>
      </c>
      <c r="D2256" s="7" t="s">
        <v>11907</v>
      </c>
      <c r="E2256" s="7" t="s">
        <v>11908</v>
      </c>
      <c r="F2256" s="7" t="s">
        <v>2086</v>
      </c>
      <c r="G2256" s="7"/>
      <c r="H2256" s="46" t="s">
        <v>249</v>
      </c>
      <c r="I2256" s="7" t="s">
        <v>160</v>
      </c>
      <c r="J2256" s="7" t="s">
        <v>148</v>
      </c>
      <c r="K2256" s="7"/>
      <c r="L2256" s="7"/>
      <c r="M2256" s="7"/>
    </row>
    <row r="2257" ht="15.75" customHeight="1">
      <c r="A2257" s="7" t="s">
        <v>11909</v>
      </c>
      <c r="B2257" s="45" t="s">
        <v>11910</v>
      </c>
      <c r="C2257" s="7" t="s">
        <v>11906</v>
      </c>
      <c r="D2257" s="7" t="s">
        <v>11911</v>
      </c>
      <c r="E2257" s="7" t="s">
        <v>11912</v>
      </c>
      <c r="F2257" s="7" t="s">
        <v>11913</v>
      </c>
      <c r="G2257" s="7"/>
      <c r="H2257" s="46" t="s">
        <v>249</v>
      </c>
      <c r="I2257" s="7" t="s">
        <v>160</v>
      </c>
      <c r="J2257" s="7" t="s">
        <v>148</v>
      </c>
      <c r="K2257" s="7"/>
      <c r="L2257" s="7"/>
      <c r="M2257" s="7"/>
    </row>
    <row r="2258" ht="15.75" customHeight="1">
      <c r="A2258" s="7" t="s">
        <v>11914</v>
      </c>
      <c r="B2258" s="45" t="s">
        <v>11915</v>
      </c>
      <c r="C2258" s="7" t="s">
        <v>11906</v>
      </c>
      <c r="D2258" s="7" t="s">
        <v>11916</v>
      </c>
      <c r="E2258" s="7" t="s">
        <v>11917</v>
      </c>
      <c r="F2258" s="7" t="s">
        <v>2086</v>
      </c>
      <c r="G2258" s="7"/>
      <c r="H2258" s="46" t="s">
        <v>249</v>
      </c>
      <c r="I2258" s="7" t="s">
        <v>160</v>
      </c>
      <c r="J2258" s="7" t="s">
        <v>148</v>
      </c>
      <c r="K2258" s="7"/>
      <c r="L2258" s="7"/>
      <c r="M2258" s="7"/>
    </row>
    <row r="2259" ht="15.75" customHeight="1">
      <c r="A2259" s="7" t="s">
        <v>11918</v>
      </c>
      <c r="B2259" s="45" t="s">
        <v>11919</v>
      </c>
      <c r="C2259" s="7" t="s">
        <v>11920</v>
      </c>
      <c r="D2259" s="7" t="s">
        <v>11921</v>
      </c>
      <c r="E2259" s="7" t="s">
        <v>11922</v>
      </c>
      <c r="F2259" s="7" t="s">
        <v>11923</v>
      </c>
      <c r="G2259" s="7"/>
      <c r="H2259" s="46" t="s">
        <v>249</v>
      </c>
      <c r="I2259" s="7" t="s">
        <v>160</v>
      </c>
      <c r="J2259" s="7" t="s">
        <v>148</v>
      </c>
      <c r="K2259" s="7"/>
      <c r="L2259" s="7"/>
      <c r="M2259" s="7"/>
    </row>
    <row r="2260" ht="15.75" customHeight="1">
      <c r="A2260" s="7" t="s">
        <v>11924</v>
      </c>
      <c r="B2260" s="45" t="s">
        <v>11925</v>
      </c>
      <c r="C2260" s="7" t="s">
        <v>11920</v>
      </c>
      <c r="D2260" s="7" t="s">
        <v>11926</v>
      </c>
      <c r="E2260" s="7" t="s">
        <v>11927</v>
      </c>
      <c r="F2260" s="7" t="s">
        <v>11928</v>
      </c>
      <c r="G2260" s="7"/>
      <c r="H2260" s="46" t="s">
        <v>249</v>
      </c>
      <c r="I2260" s="7" t="s">
        <v>160</v>
      </c>
      <c r="J2260" s="7" t="s">
        <v>148</v>
      </c>
      <c r="K2260" s="7"/>
      <c r="L2260" s="7"/>
      <c r="M2260" s="7"/>
    </row>
    <row r="2261" ht="15.75" customHeight="1">
      <c r="A2261" s="7" t="s">
        <v>11929</v>
      </c>
      <c r="B2261" s="45" t="s">
        <v>11930</v>
      </c>
      <c r="C2261" s="7" t="s">
        <v>11920</v>
      </c>
      <c r="D2261" s="7" t="s">
        <v>11931</v>
      </c>
      <c r="E2261" s="7" t="s">
        <v>11932</v>
      </c>
      <c r="F2261" s="7" t="s">
        <v>11928</v>
      </c>
      <c r="G2261" s="7"/>
      <c r="H2261" s="46" t="s">
        <v>249</v>
      </c>
      <c r="I2261" s="7" t="s">
        <v>160</v>
      </c>
      <c r="J2261" s="7" t="s">
        <v>148</v>
      </c>
      <c r="K2261" s="7"/>
      <c r="L2261" s="7"/>
      <c r="M2261" s="7"/>
    </row>
    <row r="2262" ht="15.75" customHeight="1">
      <c r="A2262" s="7" t="s">
        <v>11933</v>
      </c>
      <c r="B2262" s="45" t="s">
        <v>11934</v>
      </c>
      <c r="C2262" s="7" t="s">
        <v>11920</v>
      </c>
      <c r="D2262" s="7" t="s">
        <v>11935</v>
      </c>
      <c r="E2262" s="7" t="s">
        <v>11936</v>
      </c>
      <c r="F2262" s="7" t="s">
        <v>11937</v>
      </c>
      <c r="G2262" s="7"/>
      <c r="H2262" s="46" t="s">
        <v>249</v>
      </c>
      <c r="I2262" s="7" t="s">
        <v>160</v>
      </c>
      <c r="J2262" s="7" t="s">
        <v>148</v>
      </c>
      <c r="K2262" s="7"/>
      <c r="L2262" s="7"/>
      <c r="M2262" s="7"/>
    </row>
    <row r="2263" ht="15.75" customHeight="1">
      <c r="A2263" s="7" t="s">
        <v>11938</v>
      </c>
      <c r="B2263" s="45" t="s">
        <v>11939</v>
      </c>
      <c r="C2263" s="7" t="s">
        <v>2083</v>
      </c>
      <c r="D2263" s="7" t="s">
        <v>2084</v>
      </c>
      <c r="E2263" s="7" t="s">
        <v>2085</v>
      </c>
      <c r="F2263" s="7" t="s">
        <v>2086</v>
      </c>
      <c r="G2263" s="7"/>
      <c r="H2263" s="46" t="s">
        <v>249</v>
      </c>
      <c r="I2263" s="7" t="s">
        <v>160</v>
      </c>
      <c r="J2263" s="7" t="s">
        <v>148</v>
      </c>
      <c r="K2263" s="7"/>
      <c r="L2263" s="7"/>
      <c r="M2263" s="7"/>
    </row>
    <row r="2264" ht="15.75" customHeight="1">
      <c r="A2264" s="7" t="s">
        <v>11940</v>
      </c>
      <c r="B2264" s="45" t="s">
        <v>11941</v>
      </c>
      <c r="C2264" s="7" t="s">
        <v>11942</v>
      </c>
      <c r="D2264" s="7" t="s">
        <v>11943</v>
      </c>
      <c r="E2264" s="7" t="s">
        <v>11944</v>
      </c>
      <c r="F2264" s="7" t="s">
        <v>11945</v>
      </c>
      <c r="G2264" s="7"/>
      <c r="H2264" s="46" t="s">
        <v>249</v>
      </c>
      <c r="I2264" s="7" t="s">
        <v>160</v>
      </c>
      <c r="J2264" s="7" t="s">
        <v>148</v>
      </c>
      <c r="K2264" s="7"/>
      <c r="L2264" s="7"/>
      <c r="M2264" s="7"/>
    </row>
    <row r="2265" ht="15.75" customHeight="1">
      <c r="A2265" s="7" t="s">
        <v>11946</v>
      </c>
      <c r="B2265" s="45" t="s">
        <v>11947</v>
      </c>
      <c r="C2265" s="7" t="s">
        <v>11948</v>
      </c>
      <c r="D2265" s="7" t="s">
        <v>11949</v>
      </c>
      <c r="E2265" s="7" t="s">
        <v>11950</v>
      </c>
      <c r="F2265" s="7" t="s">
        <v>11951</v>
      </c>
      <c r="G2265" s="7"/>
      <c r="H2265" s="46" t="s">
        <v>249</v>
      </c>
      <c r="I2265" s="7" t="s">
        <v>160</v>
      </c>
      <c r="J2265" s="7" t="s">
        <v>148</v>
      </c>
      <c r="K2265" s="7"/>
      <c r="L2265" s="7"/>
      <c r="M2265" s="7"/>
    </row>
    <row r="2266" ht="15.75" customHeight="1">
      <c r="A2266" s="7" t="s">
        <v>11952</v>
      </c>
      <c r="B2266" s="45" t="s">
        <v>11953</v>
      </c>
      <c r="C2266" s="7" t="s">
        <v>11954</v>
      </c>
      <c r="D2266" s="7" t="s">
        <v>11955</v>
      </c>
      <c r="E2266" s="7" t="s">
        <v>11956</v>
      </c>
      <c r="F2266" s="7" t="s">
        <v>11957</v>
      </c>
      <c r="G2266" s="7"/>
      <c r="H2266" s="46" t="s">
        <v>249</v>
      </c>
      <c r="I2266" s="7" t="s">
        <v>160</v>
      </c>
      <c r="J2266" s="7" t="s">
        <v>148</v>
      </c>
      <c r="K2266" s="7"/>
      <c r="L2266" s="7"/>
      <c r="M2266" s="7"/>
    </row>
    <row r="2267" ht="15.75" customHeight="1">
      <c r="A2267" s="7" t="s">
        <v>11958</v>
      </c>
      <c r="B2267" s="45" t="s">
        <v>11959</v>
      </c>
      <c r="C2267" s="7" t="s">
        <v>11960</v>
      </c>
      <c r="D2267" s="7" t="s">
        <v>11961</v>
      </c>
      <c r="E2267" s="7" t="s">
        <v>11962</v>
      </c>
      <c r="F2267" s="7" t="s">
        <v>11963</v>
      </c>
      <c r="G2267" s="7"/>
      <c r="H2267" s="46" t="s">
        <v>249</v>
      </c>
      <c r="I2267" s="7" t="s">
        <v>160</v>
      </c>
      <c r="J2267" s="7" t="s">
        <v>148</v>
      </c>
      <c r="K2267" s="7"/>
      <c r="L2267" s="7"/>
      <c r="M2267" s="7"/>
    </row>
    <row r="2268" ht="15.75" customHeight="1">
      <c r="A2268" s="7" t="s">
        <v>11964</v>
      </c>
      <c r="B2268" s="45" t="s">
        <v>11965</v>
      </c>
      <c r="C2268" s="7" t="s">
        <v>11966</v>
      </c>
      <c r="D2268" s="7" t="s">
        <v>11967</v>
      </c>
      <c r="E2268" s="7" t="s">
        <v>11968</v>
      </c>
      <c r="F2268" s="7" t="s">
        <v>11969</v>
      </c>
      <c r="G2268" s="7"/>
      <c r="H2268" s="46" t="s">
        <v>249</v>
      </c>
      <c r="I2268" s="7" t="s">
        <v>160</v>
      </c>
      <c r="J2268" s="7" t="s">
        <v>148</v>
      </c>
      <c r="K2268" s="7"/>
      <c r="L2268" s="7"/>
      <c r="M2268" s="7"/>
    </row>
    <row r="2269" ht="15.75" customHeight="1">
      <c r="A2269" s="7" t="s">
        <v>11970</v>
      </c>
      <c r="B2269" s="45" t="s">
        <v>11971</v>
      </c>
      <c r="C2269" s="7" t="s">
        <v>11972</v>
      </c>
      <c r="D2269" s="7" t="s">
        <v>11973</v>
      </c>
      <c r="E2269" s="7" t="s">
        <v>11974</v>
      </c>
      <c r="F2269" s="7" t="s">
        <v>11975</v>
      </c>
      <c r="G2269" s="7"/>
      <c r="H2269" s="46" t="s">
        <v>249</v>
      </c>
      <c r="I2269" s="7" t="s">
        <v>160</v>
      </c>
      <c r="J2269" s="7" t="s">
        <v>148</v>
      </c>
      <c r="K2269" s="7"/>
      <c r="L2269" s="7"/>
      <c r="M2269" s="7"/>
    </row>
    <row r="2270" ht="15.75" customHeight="1">
      <c r="A2270" s="7" t="s">
        <v>11976</v>
      </c>
      <c r="B2270" s="45" t="s">
        <v>11977</v>
      </c>
      <c r="C2270" s="7" t="s">
        <v>11978</v>
      </c>
      <c r="D2270" s="7" t="s">
        <v>11979</v>
      </c>
      <c r="E2270" s="7" t="s">
        <v>11980</v>
      </c>
      <c r="F2270" s="7" t="s">
        <v>11981</v>
      </c>
      <c r="G2270" s="7"/>
      <c r="H2270" s="46" t="s">
        <v>249</v>
      </c>
      <c r="I2270" s="7" t="s">
        <v>160</v>
      </c>
      <c r="J2270" s="7" t="s">
        <v>148</v>
      </c>
      <c r="K2270" s="7"/>
      <c r="L2270" s="7"/>
      <c r="M2270" s="7"/>
    </row>
    <row r="2271" ht="15.75" customHeight="1">
      <c r="A2271" s="7" t="s">
        <v>11982</v>
      </c>
      <c r="B2271" s="45" t="s">
        <v>11983</v>
      </c>
      <c r="C2271" s="7" t="s">
        <v>11984</v>
      </c>
      <c r="D2271" s="7" t="s">
        <v>11985</v>
      </c>
      <c r="E2271" s="7" t="s">
        <v>11986</v>
      </c>
      <c r="F2271" s="7" t="s">
        <v>11987</v>
      </c>
      <c r="G2271" s="7" t="s">
        <v>11988</v>
      </c>
      <c r="H2271" s="46" t="s">
        <v>249</v>
      </c>
      <c r="I2271" s="7" t="s">
        <v>160</v>
      </c>
      <c r="J2271" s="7" t="s">
        <v>148</v>
      </c>
      <c r="K2271" s="7"/>
      <c r="L2271" s="7"/>
      <c r="M2271" s="7"/>
    </row>
    <row r="2272" ht="15.75" customHeight="1">
      <c r="A2272" s="7" t="s">
        <v>11989</v>
      </c>
      <c r="B2272" s="45" t="s">
        <v>11990</v>
      </c>
      <c r="C2272" s="7" t="s">
        <v>11991</v>
      </c>
      <c r="D2272" s="7" t="s">
        <v>11992</v>
      </c>
      <c r="E2272" s="7" t="s">
        <v>11993</v>
      </c>
      <c r="F2272" s="7" t="s">
        <v>11994</v>
      </c>
      <c r="G2272" s="7"/>
      <c r="H2272" s="46" t="s">
        <v>249</v>
      </c>
      <c r="I2272" s="7" t="s">
        <v>160</v>
      </c>
      <c r="J2272" s="7" t="s">
        <v>148</v>
      </c>
      <c r="K2272" s="7"/>
      <c r="L2272" s="7"/>
      <c r="M2272" s="7"/>
    </row>
    <row r="2273" ht="15.75" customHeight="1">
      <c r="A2273" s="7" t="s">
        <v>11995</v>
      </c>
      <c r="B2273" s="45" t="s">
        <v>11996</v>
      </c>
      <c r="C2273" s="7" t="s">
        <v>11997</v>
      </c>
      <c r="D2273" s="7" t="s">
        <v>11998</v>
      </c>
      <c r="E2273" s="7" t="s">
        <v>11999</v>
      </c>
      <c r="F2273" s="7" t="s">
        <v>12000</v>
      </c>
      <c r="G2273" s="7"/>
      <c r="H2273" s="46" t="s">
        <v>249</v>
      </c>
      <c r="I2273" s="7" t="s">
        <v>160</v>
      </c>
      <c r="J2273" s="7" t="s">
        <v>148</v>
      </c>
      <c r="K2273" s="7"/>
      <c r="L2273" s="7"/>
      <c r="M2273" s="7"/>
    </row>
    <row r="2274" ht="15.75" customHeight="1">
      <c r="A2274" s="7" t="s">
        <v>12001</v>
      </c>
      <c r="B2274" s="45" t="s">
        <v>12002</v>
      </c>
      <c r="C2274" s="7" t="s">
        <v>12003</v>
      </c>
      <c r="D2274" s="7" t="s">
        <v>12004</v>
      </c>
      <c r="E2274" s="7" t="s">
        <v>12005</v>
      </c>
      <c r="F2274" s="7" t="s">
        <v>12006</v>
      </c>
      <c r="G2274" s="7" t="s">
        <v>4042</v>
      </c>
      <c r="H2274" s="46" t="s">
        <v>249</v>
      </c>
      <c r="I2274" s="7" t="s">
        <v>160</v>
      </c>
      <c r="J2274" s="7" t="s">
        <v>148</v>
      </c>
      <c r="K2274" s="7"/>
      <c r="L2274" s="7"/>
      <c r="M2274" s="7"/>
    </row>
    <row r="2275" ht="15.75" customHeight="1">
      <c r="A2275" s="7" t="s">
        <v>12007</v>
      </c>
      <c r="B2275" s="45" t="s">
        <v>12008</v>
      </c>
      <c r="C2275" s="7" t="s">
        <v>4317</v>
      </c>
      <c r="D2275" s="7" t="s">
        <v>12009</v>
      </c>
      <c r="E2275" s="7" t="s">
        <v>12010</v>
      </c>
      <c r="F2275" s="7" t="s">
        <v>1521</v>
      </c>
      <c r="G2275" s="7"/>
      <c r="H2275" s="46" t="s">
        <v>249</v>
      </c>
      <c r="I2275" s="7" t="s">
        <v>160</v>
      </c>
      <c r="J2275" s="7" t="s">
        <v>148</v>
      </c>
      <c r="K2275" s="7"/>
      <c r="L2275" s="7"/>
      <c r="M2275" s="7"/>
    </row>
    <row r="2276" ht="15.75" customHeight="1">
      <c r="A2276" s="7" t="s">
        <v>12011</v>
      </c>
      <c r="B2276" s="45" t="s">
        <v>12012</v>
      </c>
      <c r="C2276" s="7" t="s">
        <v>8563</v>
      </c>
      <c r="D2276" s="7" t="s">
        <v>12013</v>
      </c>
      <c r="E2276" s="7" t="s">
        <v>12014</v>
      </c>
      <c r="F2276" s="7" t="s">
        <v>1072</v>
      </c>
      <c r="G2276" s="7"/>
      <c r="H2276" s="46" t="s">
        <v>249</v>
      </c>
      <c r="I2276" s="7" t="s">
        <v>160</v>
      </c>
      <c r="J2276" s="7" t="s">
        <v>148</v>
      </c>
      <c r="K2276" s="7"/>
      <c r="L2276" s="7"/>
      <c r="M2276" s="7"/>
    </row>
    <row r="2277" ht="15.75" customHeight="1">
      <c r="A2277" s="7" t="s">
        <v>12015</v>
      </c>
      <c r="B2277" s="45" t="s">
        <v>12016</v>
      </c>
      <c r="C2277" s="7" t="s">
        <v>12017</v>
      </c>
      <c r="D2277" s="7" t="s">
        <v>12018</v>
      </c>
      <c r="E2277" s="7" t="s">
        <v>12019</v>
      </c>
      <c r="F2277" s="7" t="s">
        <v>12020</v>
      </c>
      <c r="G2277" s="7"/>
      <c r="H2277" s="46" t="s">
        <v>249</v>
      </c>
      <c r="I2277" s="7" t="s">
        <v>160</v>
      </c>
      <c r="J2277" s="7" t="s">
        <v>148</v>
      </c>
      <c r="K2277" s="7"/>
      <c r="L2277" s="7"/>
      <c r="M2277" s="7"/>
    </row>
    <row r="2278" ht="15.75" customHeight="1">
      <c r="A2278" s="7" t="s">
        <v>12021</v>
      </c>
      <c r="B2278" s="45" t="s">
        <v>12022</v>
      </c>
      <c r="C2278" s="7" t="s">
        <v>12023</v>
      </c>
      <c r="D2278" s="7" t="s">
        <v>12024</v>
      </c>
      <c r="E2278" s="7" t="s">
        <v>12025</v>
      </c>
      <c r="F2278" s="7" t="s">
        <v>12026</v>
      </c>
      <c r="G2278" s="7"/>
      <c r="H2278" s="46" t="s">
        <v>249</v>
      </c>
      <c r="I2278" s="7" t="s">
        <v>160</v>
      </c>
      <c r="J2278" s="7" t="s">
        <v>148</v>
      </c>
      <c r="K2278" s="7"/>
      <c r="L2278" s="7"/>
      <c r="M2278" s="7"/>
    </row>
    <row r="2279" ht="15.75" customHeight="1">
      <c r="A2279" s="7" t="s">
        <v>12027</v>
      </c>
      <c r="B2279" s="45" t="s">
        <v>12028</v>
      </c>
      <c r="C2279" s="7" t="s">
        <v>12029</v>
      </c>
      <c r="D2279" s="7" t="s">
        <v>12030</v>
      </c>
      <c r="E2279" s="7" t="s">
        <v>12031</v>
      </c>
      <c r="F2279" s="7" t="s">
        <v>12032</v>
      </c>
      <c r="G2279" s="7"/>
      <c r="H2279" s="46" t="s">
        <v>249</v>
      </c>
      <c r="I2279" s="7" t="s">
        <v>160</v>
      </c>
      <c r="J2279" s="7" t="s">
        <v>148</v>
      </c>
      <c r="K2279" s="7"/>
      <c r="L2279" s="7"/>
      <c r="M2279" s="7"/>
    </row>
    <row r="2280" ht="15.75" customHeight="1">
      <c r="A2280" s="7" t="s">
        <v>12033</v>
      </c>
      <c r="B2280" s="45" t="s">
        <v>12034</v>
      </c>
      <c r="C2280" s="7" t="s">
        <v>12035</v>
      </c>
      <c r="D2280" s="7" t="s">
        <v>12036</v>
      </c>
      <c r="E2280" s="7" t="s">
        <v>12037</v>
      </c>
      <c r="F2280" s="7" t="s">
        <v>12038</v>
      </c>
      <c r="G2280" s="7"/>
      <c r="H2280" s="46" t="s">
        <v>249</v>
      </c>
      <c r="I2280" s="7" t="s">
        <v>160</v>
      </c>
      <c r="J2280" s="7" t="s">
        <v>148</v>
      </c>
      <c r="K2280" s="7"/>
      <c r="L2280" s="7"/>
      <c r="M2280" s="7"/>
    </row>
    <row r="2281" ht="15.75" customHeight="1">
      <c r="A2281" s="7" t="s">
        <v>12039</v>
      </c>
      <c r="B2281" s="45" t="s">
        <v>12040</v>
      </c>
      <c r="C2281" s="7" t="s">
        <v>12041</v>
      </c>
      <c r="D2281" s="7" t="s">
        <v>12042</v>
      </c>
      <c r="E2281" s="7" t="s">
        <v>12043</v>
      </c>
      <c r="F2281" s="7" t="s">
        <v>12044</v>
      </c>
      <c r="G2281" s="7"/>
      <c r="H2281" s="46" t="s">
        <v>249</v>
      </c>
      <c r="I2281" s="7" t="s">
        <v>160</v>
      </c>
      <c r="J2281" s="7" t="s">
        <v>148</v>
      </c>
      <c r="K2281" s="7"/>
      <c r="L2281" s="7"/>
      <c r="M2281" s="7"/>
    </row>
    <row r="2282" ht="15.75" customHeight="1">
      <c r="A2282" s="7" t="s">
        <v>12045</v>
      </c>
      <c r="B2282" s="45" t="s">
        <v>12046</v>
      </c>
      <c r="C2282" s="7" t="s">
        <v>12047</v>
      </c>
      <c r="D2282" s="7" t="s">
        <v>12048</v>
      </c>
      <c r="E2282" s="7" t="s">
        <v>12049</v>
      </c>
      <c r="F2282" s="7" t="s">
        <v>12050</v>
      </c>
      <c r="G2282" s="7"/>
      <c r="H2282" s="46" t="s">
        <v>249</v>
      </c>
      <c r="I2282" s="7" t="s">
        <v>160</v>
      </c>
      <c r="J2282" s="7" t="s">
        <v>148</v>
      </c>
      <c r="K2282" s="7"/>
      <c r="L2282" s="7"/>
      <c r="M2282" s="7"/>
    </row>
    <row r="2283" ht="15.75" customHeight="1">
      <c r="A2283" s="7" t="s">
        <v>12051</v>
      </c>
      <c r="B2283" s="45" t="s">
        <v>12052</v>
      </c>
      <c r="C2283" s="7" t="s">
        <v>12053</v>
      </c>
      <c r="D2283" s="7" t="s">
        <v>12054</v>
      </c>
      <c r="E2283" s="7" t="s">
        <v>12055</v>
      </c>
      <c r="F2283" s="7" t="s">
        <v>12056</v>
      </c>
      <c r="G2283" s="7"/>
      <c r="H2283" s="46" t="s">
        <v>249</v>
      </c>
      <c r="I2283" s="7" t="s">
        <v>160</v>
      </c>
      <c r="J2283" s="7" t="s">
        <v>148</v>
      </c>
      <c r="K2283" s="7"/>
      <c r="L2283" s="7"/>
      <c r="M2283" s="7"/>
    </row>
    <row r="2284" ht="15.75" customHeight="1">
      <c r="A2284" s="7" t="s">
        <v>12057</v>
      </c>
      <c r="B2284" s="45" t="s">
        <v>12058</v>
      </c>
      <c r="C2284" s="7" t="s">
        <v>12059</v>
      </c>
      <c r="D2284" s="7" t="s">
        <v>12060</v>
      </c>
      <c r="E2284" s="7" t="s">
        <v>12061</v>
      </c>
      <c r="F2284" s="7" t="s">
        <v>12062</v>
      </c>
      <c r="G2284" s="7"/>
      <c r="H2284" s="46" t="s">
        <v>249</v>
      </c>
      <c r="I2284" s="7" t="s">
        <v>160</v>
      </c>
      <c r="J2284" s="7" t="s">
        <v>148</v>
      </c>
      <c r="K2284" s="7"/>
      <c r="L2284" s="7"/>
      <c r="M2284" s="7"/>
    </row>
    <row r="2285" ht="15.75" customHeight="1">
      <c r="A2285" s="7" t="s">
        <v>12063</v>
      </c>
      <c r="B2285" s="45" t="s">
        <v>12064</v>
      </c>
      <c r="C2285" s="7" t="s">
        <v>12065</v>
      </c>
      <c r="D2285" s="7" t="s">
        <v>12066</v>
      </c>
      <c r="E2285" s="7" t="s">
        <v>12067</v>
      </c>
      <c r="F2285" s="7" t="s">
        <v>12068</v>
      </c>
      <c r="G2285" s="7"/>
      <c r="H2285" s="46" t="s">
        <v>249</v>
      </c>
      <c r="I2285" s="7" t="s">
        <v>160</v>
      </c>
      <c r="J2285" s="7" t="s">
        <v>148</v>
      </c>
      <c r="K2285" s="7"/>
      <c r="L2285" s="7"/>
      <c r="M2285" s="7"/>
    </row>
    <row r="2286" ht="15.75" customHeight="1">
      <c r="A2286" s="7" t="s">
        <v>12069</v>
      </c>
      <c r="B2286" s="45" t="s">
        <v>12070</v>
      </c>
      <c r="C2286" s="7" t="s">
        <v>12071</v>
      </c>
      <c r="D2286" s="7" t="s">
        <v>12072</v>
      </c>
      <c r="E2286" s="7" t="s">
        <v>12073</v>
      </c>
      <c r="F2286" s="7" t="s">
        <v>12074</v>
      </c>
      <c r="G2286" s="7"/>
      <c r="H2286" s="46" t="s">
        <v>249</v>
      </c>
      <c r="I2286" s="7" t="s">
        <v>160</v>
      </c>
      <c r="J2286" s="7" t="s">
        <v>148</v>
      </c>
      <c r="K2286" s="7"/>
      <c r="L2286" s="7"/>
      <c r="M2286" s="7"/>
    </row>
    <row r="2287" ht="15.75" customHeight="1">
      <c r="A2287" s="7" t="s">
        <v>12075</v>
      </c>
      <c r="B2287" s="45" t="s">
        <v>12076</v>
      </c>
      <c r="C2287" s="7" t="s">
        <v>12071</v>
      </c>
      <c r="D2287" s="7" t="s">
        <v>12077</v>
      </c>
      <c r="E2287" s="7" t="s">
        <v>12078</v>
      </c>
      <c r="F2287" s="7" t="s">
        <v>12074</v>
      </c>
      <c r="G2287" s="7"/>
      <c r="H2287" s="46" t="s">
        <v>249</v>
      </c>
      <c r="I2287" s="7" t="s">
        <v>160</v>
      </c>
      <c r="J2287" s="7" t="s">
        <v>148</v>
      </c>
      <c r="K2287" s="7"/>
      <c r="L2287" s="7"/>
      <c r="M2287" s="7"/>
    </row>
    <row r="2288" ht="15.75" customHeight="1">
      <c r="A2288" s="7" t="s">
        <v>12079</v>
      </c>
      <c r="B2288" s="45" t="s">
        <v>12080</v>
      </c>
      <c r="C2288" s="7" t="s">
        <v>12081</v>
      </c>
      <c r="D2288" s="7" t="s">
        <v>12082</v>
      </c>
      <c r="E2288" s="7" t="s">
        <v>12083</v>
      </c>
      <c r="F2288" s="7" t="s">
        <v>12084</v>
      </c>
      <c r="G2288" s="7"/>
      <c r="H2288" s="46" t="s">
        <v>249</v>
      </c>
      <c r="I2288" s="7" t="s">
        <v>160</v>
      </c>
      <c r="J2288" s="7" t="s">
        <v>148</v>
      </c>
      <c r="K2288" s="7"/>
      <c r="L2288" s="7"/>
      <c r="M2288" s="7"/>
    </row>
    <row r="2289" ht="15.75" customHeight="1">
      <c r="A2289" s="7" t="s">
        <v>12085</v>
      </c>
      <c r="B2289" s="45" t="s">
        <v>12086</v>
      </c>
      <c r="C2289" s="7" t="s">
        <v>12087</v>
      </c>
      <c r="D2289" s="7" t="s">
        <v>12088</v>
      </c>
      <c r="E2289" s="7" t="s">
        <v>12089</v>
      </c>
      <c r="F2289" s="7" t="s">
        <v>12090</v>
      </c>
      <c r="G2289" s="7"/>
      <c r="H2289" s="46" t="s">
        <v>249</v>
      </c>
      <c r="I2289" s="7" t="s">
        <v>160</v>
      </c>
      <c r="J2289" s="7" t="s">
        <v>148</v>
      </c>
      <c r="K2289" s="7"/>
      <c r="L2289" s="7"/>
      <c r="M2289" s="7"/>
    </row>
    <row r="2290" ht="15.75" customHeight="1">
      <c r="A2290" s="7" t="s">
        <v>12091</v>
      </c>
      <c r="B2290" s="45" t="s">
        <v>12092</v>
      </c>
      <c r="C2290" s="7" t="s">
        <v>12093</v>
      </c>
      <c r="D2290" s="7" t="s">
        <v>12094</v>
      </c>
      <c r="E2290" s="7" t="s">
        <v>12095</v>
      </c>
      <c r="F2290" s="7" t="s">
        <v>12096</v>
      </c>
      <c r="G2290" s="7"/>
      <c r="H2290" s="46" t="s">
        <v>249</v>
      </c>
      <c r="I2290" s="7" t="s">
        <v>160</v>
      </c>
      <c r="J2290" s="7" t="s">
        <v>148</v>
      </c>
      <c r="K2290" s="7"/>
      <c r="L2290" s="7"/>
      <c r="M2290" s="7"/>
    </row>
    <row r="2291" ht="15.75" customHeight="1">
      <c r="A2291" s="7" t="s">
        <v>12097</v>
      </c>
      <c r="B2291" s="45" t="s">
        <v>12098</v>
      </c>
      <c r="C2291" s="7" t="s">
        <v>12099</v>
      </c>
      <c r="D2291" s="7" t="s">
        <v>12094</v>
      </c>
      <c r="E2291" s="7" t="s">
        <v>12095</v>
      </c>
      <c r="F2291" s="7" t="s">
        <v>12096</v>
      </c>
      <c r="G2291" s="7"/>
      <c r="H2291" s="46" t="s">
        <v>249</v>
      </c>
      <c r="I2291" s="7" t="s">
        <v>160</v>
      </c>
      <c r="J2291" s="7" t="s">
        <v>148</v>
      </c>
      <c r="K2291" s="7"/>
      <c r="L2291" s="7"/>
      <c r="M2291" s="7"/>
    </row>
    <row r="2292" ht="15.75" customHeight="1">
      <c r="A2292" s="7" t="s">
        <v>12100</v>
      </c>
      <c r="B2292" s="45" t="s">
        <v>12101</v>
      </c>
      <c r="C2292" s="7" t="s">
        <v>12102</v>
      </c>
      <c r="D2292" s="7" t="s">
        <v>12103</v>
      </c>
      <c r="E2292" s="7" t="s">
        <v>12104</v>
      </c>
      <c r="F2292" s="7" t="s">
        <v>12105</v>
      </c>
      <c r="G2292" s="7"/>
      <c r="H2292" s="46" t="s">
        <v>249</v>
      </c>
      <c r="I2292" s="7" t="s">
        <v>160</v>
      </c>
      <c r="J2292" s="7" t="s">
        <v>148</v>
      </c>
      <c r="K2292" s="7"/>
      <c r="L2292" s="7"/>
      <c r="M2292" s="7"/>
    </row>
    <row r="2293" ht="15.75" customHeight="1">
      <c r="A2293" s="7" t="s">
        <v>12106</v>
      </c>
      <c r="B2293" s="45" t="s">
        <v>12107</v>
      </c>
      <c r="C2293" s="7" t="s">
        <v>12108</v>
      </c>
      <c r="D2293" s="7" t="s">
        <v>12109</v>
      </c>
      <c r="E2293" s="7" t="s">
        <v>12110</v>
      </c>
      <c r="F2293" s="7" t="s">
        <v>12111</v>
      </c>
      <c r="G2293" s="7"/>
      <c r="H2293" s="46" t="s">
        <v>249</v>
      </c>
      <c r="I2293" s="7" t="s">
        <v>160</v>
      </c>
      <c r="J2293" s="7" t="s">
        <v>148</v>
      </c>
      <c r="K2293" s="7"/>
      <c r="L2293" s="7"/>
      <c r="M2293" s="7"/>
    </row>
    <row r="2294" ht="15.75" customHeight="1">
      <c r="A2294" s="7" t="s">
        <v>12112</v>
      </c>
      <c r="B2294" s="45" t="s">
        <v>12113</v>
      </c>
      <c r="C2294" s="7" t="s">
        <v>12114</v>
      </c>
      <c r="D2294" s="7" t="s">
        <v>12115</v>
      </c>
      <c r="E2294" s="7" t="s">
        <v>12116</v>
      </c>
      <c r="F2294" s="7" t="s">
        <v>12117</v>
      </c>
      <c r="G2294" s="7"/>
      <c r="H2294" s="46" t="s">
        <v>249</v>
      </c>
      <c r="I2294" s="7" t="s">
        <v>160</v>
      </c>
      <c r="J2294" s="7" t="s">
        <v>148</v>
      </c>
      <c r="K2294" s="7"/>
      <c r="L2294" s="7"/>
      <c r="M2294" s="7"/>
    </row>
    <row r="2295" ht="15.75" customHeight="1">
      <c r="A2295" s="7" t="s">
        <v>12118</v>
      </c>
      <c r="B2295" s="45" t="s">
        <v>12119</v>
      </c>
      <c r="C2295" s="7" t="s">
        <v>12120</v>
      </c>
      <c r="D2295" s="7" t="s">
        <v>12121</v>
      </c>
      <c r="E2295" s="7" t="s">
        <v>12122</v>
      </c>
      <c r="F2295" s="7" t="s">
        <v>12123</v>
      </c>
      <c r="G2295" s="7"/>
      <c r="H2295" s="46" t="s">
        <v>249</v>
      </c>
      <c r="I2295" s="7" t="s">
        <v>160</v>
      </c>
      <c r="J2295" s="7" t="s">
        <v>148</v>
      </c>
      <c r="K2295" s="7"/>
      <c r="L2295" s="7"/>
      <c r="M2295" s="7"/>
    </row>
    <row r="2296" ht="15.75" customHeight="1">
      <c r="A2296" s="7" t="s">
        <v>12124</v>
      </c>
      <c r="B2296" s="45" t="s">
        <v>12125</v>
      </c>
      <c r="C2296" s="7" t="s">
        <v>12120</v>
      </c>
      <c r="D2296" s="7" t="s">
        <v>12126</v>
      </c>
      <c r="E2296" s="7" t="s">
        <v>12122</v>
      </c>
      <c r="F2296" s="7" t="s">
        <v>12127</v>
      </c>
      <c r="G2296" s="7" t="s">
        <v>12127</v>
      </c>
      <c r="H2296" s="46" t="s">
        <v>249</v>
      </c>
      <c r="I2296" s="7" t="s">
        <v>160</v>
      </c>
      <c r="J2296" s="7" t="s">
        <v>148</v>
      </c>
      <c r="K2296" s="7"/>
      <c r="L2296" s="7"/>
      <c r="M2296" s="7"/>
    </row>
    <row r="2297" ht="15.75" customHeight="1">
      <c r="A2297" s="7" t="s">
        <v>12128</v>
      </c>
      <c r="B2297" s="45" t="s">
        <v>12129</v>
      </c>
      <c r="C2297" s="7" t="s">
        <v>12130</v>
      </c>
      <c r="D2297" s="7" t="s">
        <v>12131</v>
      </c>
      <c r="E2297" s="7" t="s">
        <v>12132</v>
      </c>
      <c r="F2297" s="7" t="s">
        <v>12133</v>
      </c>
      <c r="G2297" s="7"/>
      <c r="H2297" s="46" t="s">
        <v>249</v>
      </c>
      <c r="I2297" s="7" t="s">
        <v>160</v>
      </c>
      <c r="J2297" s="7" t="s">
        <v>148</v>
      </c>
      <c r="K2297" s="7"/>
      <c r="L2297" s="7"/>
      <c r="M2297" s="7"/>
    </row>
    <row r="2298" ht="15.75" customHeight="1">
      <c r="A2298" s="7" t="s">
        <v>12134</v>
      </c>
      <c r="B2298" s="45" t="s">
        <v>12135</v>
      </c>
      <c r="C2298" s="7" t="s">
        <v>12136</v>
      </c>
      <c r="D2298" s="7" t="s">
        <v>12137</v>
      </c>
      <c r="E2298" s="7" t="s">
        <v>12138</v>
      </c>
      <c r="F2298" s="7" t="s">
        <v>12139</v>
      </c>
      <c r="G2298" s="7"/>
      <c r="H2298" s="46" t="s">
        <v>249</v>
      </c>
      <c r="I2298" s="7" t="s">
        <v>160</v>
      </c>
      <c r="J2298" s="7" t="s">
        <v>148</v>
      </c>
      <c r="K2298" s="7"/>
      <c r="L2298" s="7"/>
      <c r="M2298" s="7"/>
    </row>
    <row r="2299" ht="15.75" customHeight="1">
      <c r="A2299" s="7" t="s">
        <v>12140</v>
      </c>
      <c r="B2299" s="45" t="s">
        <v>12141</v>
      </c>
      <c r="C2299" s="7" t="s">
        <v>12142</v>
      </c>
      <c r="D2299" s="7" t="s">
        <v>12143</v>
      </c>
      <c r="E2299" s="7" t="s">
        <v>12144</v>
      </c>
      <c r="F2299" s="7" t="s">
        <v>12145</v>
      </c>
      <c r="G2299" s="7"/>
      <c r="H2299" s="46" t="s">
        <v>249</v>
      </c>
      <c r="I2299" s="7" t="s">
        <v>160</v>
      </c>
      <c r="J2299" s="7" t="s">
        <v>148</v>
      </c>
      <c r="K2299" s="7"/>
      <c r="L2299" s="7"/>
      <c r="M2299" s="7"/>
    </row>
    <row r="2300" ht="15.75" customHeight="1">
      <c r="A2300" s="7" t="s">
        <v>12146</v>
      </c>
      <c r="B2300" s="45" t="s">
        <v>12147</v>
      </c>
      <c r="C2300" s="7" t="s">
        <v>12148</v>
      </c>
      <c r="D2300" s="7" t="s">
        <v>12149</v>
      </c>
      <c r="E2300" s="7" t="s">
        <v>7428</v>
      </c>
      <c r="F2300" s="7" t="s">
        <v>12150</v>
      </c>
      <c r="G2300" s="7"/>
      <c r="H2300" s="46" t="s">
        <v>249</v>
      </c>
      <c r="I2300" s="7" t="s">
        <v>160</v>
      </c>
      <c r="J2300" s="7" t="s">
        <v>148</v>
      </c>
      <c r="K2300" s="7"/>
      <c r="L2300" s="7"/>
      <c r="M2300" s="7"/>
    </row>
    <row r="2301" ht="15.75" customHeight="1">
      <c r="A2301" s="7" t="s">
        <v>12151</v>
      </c>
      <c r="B2301" s="45" t="s">
        <v>12152</v>
      </c>
      <c r="C2301" s="7" t="s">
        <v>12153</v>
      </c>
      <c r="D2301" s="7" t="s">
        <v>12154</v>
      </c>
      <c r="E2301" s="7" t="s">
        <v>12155</v>
      </c>
      <c r="F2301" s="7" t="s">
        <v>12156</v>
      </c>
      <c r="G2301" s="7"/>
      <c r="H2301" s="46" t="s">
        <v>249</v>
      </c>
      <c r="I2301" s="7" t="s">
        <v>160</v>
      </c>
      <c r="J2301" s="7" t="s">
        <v>148</v>
      </c>
      <c r="K2301" s="7"/>
      <c r="L2301" s="7"/>
      <c r="M2301" s="7"/>
    </row>
    <row r="2302" ht="15.75" customHeight="1">
      <c r="A2302" s="7" t="s">
        <v>12157</v>
      </c>
      <c r="B2302" s="45" t="s">
        <v>12158</v>
      </c>
      <c r="C2302" s="7" t="s">
        <v>12159</v>
      </c>
      <c r="D2302" s="7" t="s">
        <v>12160</v>
      </c>
      <c r="E2302" s="7" t="s">
        <v>12161</v>
      </c>
      <c r="F2302" s="7" t="s">
        <v>12162</v>
      </c>
      <c r="G2302" s="7"/>
      <c r="H2302" s="46" t="s">
        <v>249</v>
      </c>
      <c r="I2302" s="7" t="s">
        <v>160</v>
      </c>
      <c r="J2302" s="7" t="s">
        <v>148</v>
      </c>
      <c r="K2302" s="7"/>
      <c r="L2302" s="7"/>
      <c r="M2302" s="7"/>
    </row>
    <row r="2303" ht="15.75" customHeight="1">
      <c r="A2303" s="7" t="s">
        <v>12163</v>
      </c>
      <c r="B2303" s="45" t="s">
        <v>12164</v>
      </c>
      <c r="C2303" s="7" t="s">
        <v>12165</v>
      </c>
      <c r="D2303" s="7" t="s">
        <v>12166</v>
      </c>
      <c r="E2303" s="7" t="s">
        <v>12167</v>
      </c>
      <c r="F2303" s="7" t="s">
        <v>12168</v>
      </c>
      <c r="G2303" s="7"/>
      <c r="H2303" s="46" t="s">
        <v>249</v>
      </c>
      <c r="I2303" s="7" t="s">
        <v>160</v>
      </c>
      <c r="J2303" s="7" t="s">
        <v>148</v>
      </c>
      <c r="K2303" s="7"/>
      <c r="L2303" s="7"/>
      <c r="M2303" s="7"/>
    </row>
    <row r="2304" ht="15.75" customHeight="1">
      <c r="A2304" s="7" t="s">
        <v>12169</v>
      </c>
      <c r="B2304" s="45" t="s">
        <v>12170</v>
      </c>
      <c r="C2304" s="7" t="s">
        <v>12171</v>
      </c>
      <c r="D2304" s="7" t="s">
        <v>12172</v>
      </c>
      <c r="E2304" s="7" t="s">
        <v>12173</v>
      </c>
      <c r="F2304" s="7" t="s">
        <v>12174</v>
      </c>
      <c r="G2304" s="7"/>
      <c r="H2304" s="46" t="s">
        <v>249</v>
      </c>
      <c r="I2304" s="7" t="s">
        <v>160</v>
      </c>
      <c r="J2304" s="7" t="s">
        <v>148</v>
      </c>
      <c r="K2304" s="7"/>
      <c r="L2304" s="7"/>
      <c r="M2304" s="7"/>
    </row>
    <row r="2305" ht="15.75" customHeight="1">
      <c r="A2305" s="7" t="s">
        <v>12175</v>
      </c>
      <c r="B2305" s="45" t="s">
        <v>12176</v>
      </c>
      <c r="C2305" s="7" t="s">
        <v>12177</v>
      </c>
      <c r="D2305" s="7" t="s">
        <v>12178</v>
      </c>
      <c r="E2305" s="7" t="s">
        <v>2640</v>
      </c>
      <c r="F2305" s="7" t="s">
        <v>2641</v>
      </c>
      <c r="G2305" s="7"/>
      <c r="H2305" s="46" t="s">
        <v>249</v>
      </c>
      <c r="I2305" s="7" t="s">
        <v>160</v>
      </c>
      <c r="J2305" s="7" t="s">
        <v>148</v>
      </c>
      <c r="K2305" s="7"/>
      <c r="L2305" s="7"/>
      <c r="M2305" s="7"/>
    </row>
    <row r="2306" ht="15.75" customHeight="1">
      <c r="A2306" s="7" t="s">
        <v>12179</v>
      </c>
      <c r="B2306" s="45" t="s">
        <v>12180</v>
      </c>
      <c r="C2306" s="7" t="s">
        <v>12181</v>
      </c>
      <c r="D2306" s="7" t="s">
        <v>12182</v>
      </c>
      <c r="E2306" s="7" t="s">
        <v>7583</v>
      </c>
      <c r="F2306" s="7" t="s">
        <v>1563</v>
      </c>
      <c r="G2306" s="7"/>
      <c r="H2306" s="46" t="s">
        <v>249</v>
      </c>
      <c r="I2306" s="7" t="s">
        <v>160</v>
      </c>
      <c r="J2306" s="7" t="s">
        <v>148</v>
      </c>
      <c r="K2306" s="7"/>
      <c r="L2306" s="7"/>
      <c r="M2306" s="7"/>
    </row>
    <row r="2307" ht="15.75" customHeight="1">
      <c r="A2307" s="7" t="s">
        <v>12183</v>
      </c>
      <c r="B2307" s="45" t="s">
        <v>12184</v>
      </c>
      <c r="C2307" s="7" t="s">
        <v>6657</v>
      </c>
      <c r="D2307" s="7" t="s">
        <v>12185</v>
      </c>
      <c r="E2307" s="7" t="s">
        <v>12186</v>
      </c>
      <c r="F2307" s="7" t="s">
        <v>8906</v>
      </c>
      <c r="G2307" s="7"/>
      <c r="H2307" s="46" t="s">
        <v>249</v>
      </c>
      <c r="I2307" s="7" t="s">
        <v>160</v>
      </c>
      <c r="J2307" s="7" t="s">
        <v>148</v>
      </c>
      <c r="K2307" s="7"/>
      <c r="L2307" s="7"/>
      <c r="M2307" s="7"/>
    </row>
    <row r="2308" ht="15.75" customHeight="1">
      <c r="A2308" s="7" t="s">
        <v>12187</v>
      </c>
      <c r="B2308" s="45" t="s">
        <v>12188</v>
      </c>
      <c r="C2308" s="7" t="s">
        <v>12189</v>
      </c>
      <c r="D2308" s="7" t="s">
        <v>12190</v>
      </c>
      <c r="E2308" s="7" t="s">
        <v>12191</v>
      </c>
      <c r="F2308" s="7" t="s">
        <v>2641</v>
      </c>
      <c r="G2308" s="7"/>
      <c r="H2308" s="46" t="s">
        <v>249</v>
      </c>
      <c r="I2308" s="7" t="s">
        <v>160</v>
      </c>
      <c r="J2308" s="7" t="s">
        <v>148</v>
      </c>
      <c r="K2308" s="7"/>
      <c r="L2308" s="7"/>
      <c r="M2308" s="7"/>
    </row>
    <row r="2309" ht="15.75" customHeight="1">
      <c r="A2309" s="7" t="s">
        <v>12192</v>
      </c>
      <c r="B2309" s="45" t="s">
        <v>12193</v>
      </c>
      <c r="C2309" s="7" t="s">
        <v>12194</v>
      </c>
      <c r="D2309" s="7" t="s">
        <v>12195</v>
      </c>
      <c r="E2309" s="7" t="s">
        <v>7583</v>
      </c>
      <c r="F2309" s="7" t="s">
        <v>1563</v>
      </c>
      <c r="G2309" s="7"/>
      <c r="H2309" s="46" t="s">
        <v>249</v>
      </c>
      <c r="I2309" s="7" t="s">
        <v>160</v>
      </c>
      <c r="J2309" s="7" t="s">
        <v>148</v>
      </c>
      <c r="K2309" s="7"/>
      <c r="L2309" s="7"/>
      <c r="M2309" s="7"/>
    </row>
    <row r="2310" ht="15.75" customHeight="1">
      <c r="A2310" s="7" t="s">
        <v>12196</v>
      </c>
      <c r="B2310" s="45" t="s">
        <v>12197</v>
      </c>
      <c r="C2310" s="7" t="s">
        <v>12198</v>
      </c>
      <c r="D2310" s="7" t="s">
        <v>12199</v>
      </c>
      <c r="E2310" s="7" t="s">
        <v>1339</v>
      </c>
      <c r="F2310" s="7" t="s">
        <v>12200</v>
      </c>
      <c r="G2310" s="7"/>
      <c r="H2310" s="46" t="s">
        <v>249</v>
      </c>
      <c r="I2310" s="7" t="s">
        <v>160</v>
      </c>
      <c r="J2310" s="7" t="s">
        <v>148</v>
      </c>
      <c r="K2310" s="7"/>
      <c r="L2310" s="7"/>
      <c r="M2310" s="7"/>
    </row>
    <row r="2311" ht="15.75" customHeight="1">
      <c r="A2311" s="7" t="s">
        <v>12201</v>
      </c>
      <c r="B2311" s="45" t="s">
        <v>12202</v>
      </c>
      <c r="C2311" s="7" t="s">
        <v>1525</v>
      </c>
      <c r="D2311" s="7" t="s">
        <v>12203</v>
      </c>
      <c r="E2311" s="7" t="s">
        <v>1527</v>
      </c>
      <c r="F2311" s="7" t="s">
        <v>1528</v>
      </c>
      <c r="G2311" s="7"/>
      <c r="H2311" s="46" t="s">
        <v>249</v>
      </c>
      <c r="I2311" s="7" t="s">
        <v>160</v>
      </c>
      <c r="J2311" s="7" t="s">
        <v>148</v>
      </c>
      <c r="K2311" s="7"/>
      <c r="L2311" s="7"/>
      <c r="M2311" s="7"/>
    </row>
    <row r="2312" ht="15.75" customHeight="1">
      <c r="A2312" s="7" t="s">
        <v>12204</v>
      </c>
      <c r="B2312" s="45" t="s">
        <v>12205</v>
      </c>
      <c r="C2312" s="7" t="s">
        <v>12189</v>
      </c>
      <c r="D2312" s="7" t="s">
        <v>12206</v>
      </c>
      <c r="E2312" s="7" t="s">
        <v>2640</v>
      </c>
      <c r="F2312" s="7" t="s">
        <v>2641</v>
      </c>
      <c r="G2312" s="7"/>
      <c r="H2312" s="46" t="s">
        <v>249</v>
      </c>
      <c r="I2312" s="7" t="s">
        <v>160</v>
      </c>
      <c r="J2312" s="7" t="s">
        <v>148</v>
      </c>
      <c r="K2312" s="7"/>
      <c r="L2312" s="7"/>
      <c r="M2312" s="7"/>
    </row>
    <row r="2313" ht="15.75" customHeight="1">
      <c r="A2313" s="7" t="s">
        <v>12207</v>
      </c>
      <c r="B2313" s="45" t="s">
        <v>12208</v>
      </c>
      <c r="C2313" s="7" t="s">
        <v>12194</v>
      </c>
      <c r="D2313" s="7" t="s">
        <v>12209</v>
      </c>
      <c r="E2313" s="7" t="s">
        <v>7583</v>
      </c>
      <c r="F2313" s="7" t="s">
        <v>1563</v>
      </c>
      <c r="G2313" s="7"/>
      <c r="H2313" s="46" t="s">
        <v>249</v>
      </c>
      <c r="I2313" s="7" t="s">
        <v>160</v>
      </c>
      <c r="J2313" s="7" t="s">
        <v>148</v>
      </c>
      <c r="K2313" s="7"/>
      <c r="L2313" s="7"/>
      <c r="M2313" s="7"/>
    </row>
    <row r="2314" ht="15.75" customHeight="1">
      <c r="A2314" s="7" t="s">
        <v>12210</v>
      </c>
      <c r="B2314" s="45" t="s">
        <v>12211</v>
      </c>
      <c r="C2314" s="7" t="s">
        <v>9952</v>
      </c>
      <c r="D2314" s="7" t="s">
        <v>12212</v>
      </c>
      <c r="E2314" s="7" t="s">
        <v>7583</v>
      </c>
      <c r="F2314" s="7" t="s">
        <v>1563</v>
      </c>
      <c r="G2314" s="7"/>
      <c r="H2314" s="46" t="s">
        <v>249</v>
      </c>
      <c r="I2314" s="7" t="s">
        <v>160</v>
      </c>
      <c r="J2314" s="7" t="s">
        <v>148</v>
      </c>
      <c r="K2314" s="7"/>
      <c r="L2314" s="7"/>
      <c r="M2314" s="7"/>
    </row>
    <row r="2315" ht="15.75" customHeight="1">
      <c r="A2315" s="7" t="s">
        <v>12213</v>
      </c>
      <c r="B2315" s="45" t="s">
        <v>12214</v>
      </c>
      <c r="C2315" s="7" t="s">
        <v>6657</v>
      </c>
      <c r="D2315" s="7" t="s">
        <v>12215</v>
      </c>
      <c r="E2315" s="7" t="s">
        <v>6659</v>
      </c>
      <c r="F2315" s="7" t="s">
        <v>8906</v>
      </c>
      <c r="G2315" s="7"/>
      <c r="H2315" s="46" t="s">
        <v>249</v>
      </c>
      <c r="I2315" s="7" t="s">
        <v>160</v>
      </c>
      <c r="J2315" s="7" t="s">
        <v>148</v>
      </c>
      <c r="K2315" s="7"/>
      <c r="L2315" s="7"/>
      <c r="M2315" s="7"/>
    </row>
    <row r="2316" ht="15.75" customHeight="1">
      <c r="A2316" s="7" t="s">
        <v>12216</v>
      </c>
      <c r="B2316" s="45" t="s">
        <v>12217</v>
      </c>
      <c r="C2316" s="7" t="s">
        <v>3342</v>
      </c>
      <c r="D2316" s="7" t="s">
        <v>12218</v>
      </c>
      <c r="E2316" s="7" t="s">
        <v>12219</v>
      </c>
      <c r="F2316" s="7" t="s">
        <v>12220</v>
      </c>
      <c r="G2316" s="7"/>
      <c r="H2316" s="46" t="s">
        <v>249</v>
      </c>
      <c r="I2316" s="7" t="s">
        <v>160</v>
      </c>
      <c r="J2316" s="7" t="s">
        <v>148</v>
      </c>
      <c r="K2316" s="7"/>
      <c r="L2316" s="7"/>
      <c r="M2316" s="7"/>
    </row>
    <row r="2317" ht="15.75" customHeight="1">
      <c r="A2317" s="7" t="s">
        <v>12221</v>
      </c>
      <c r="B2317" s="45" t="s">
        <v>12222</v>
      </c>
      <c r="C2317" s="7" t="s">
        <v>12181</v>
      </c>
      <c r="D2317" s="7" t="s">
        <v>12223</v>
      </c>
      <c r="E2317" s="7" t="s">
        <v>7583</v>
      </c>
      <c r="F2317" s="7" t="s">
        <v>1563</v>
      </c>
      <c r="G2317" s="7"/>
      <c r="H2317" s="46" t="s">
        <v>249</v>
      </c>
      <c r="I2317" s="7" t="s">
        <v>160</v>
      </c>
      <c r="J2317" s="7" t="s">
        <v>148</v>
      </c>
      <c r="K2317" s="7"/>
      <c r="L2317" s="7"/>
      <c r="M2317" s="7"/>
    </row>
    <row r="2318" ht="15.75" customHeight="1">
      <c r="A2318" s="7" t="s">
        <v>12224</v>
      </c>
      <c r="B2318" s="45" t="s">
        <v>12225</v>
      </c>
      <c r="C2318" s="7" t="s">
        <v>12181</v>
      </c>
      <c r="D2318" s="7" t="s">
        <v>12226</v>
      </c>
      <c r="E2318" s="7" t="s">
        <v>7583</v>
      </c>
      <c r="F2318" s="7" t="s">
        <v>1563</v>
      </c>
      <c r="G2318" s="7"/>
      <c r="H2318" s="46" t="s">
        <v>249</v>
      </c>
      <c r="I2318" s="7" t="s">
        <v>160</v>
      </c>
      <c r="J2318" s="7" t="s">
        <v>148</v>
      </c>
      <c r="K2318" s="7"/>
      <c r="L2318" s="7"/>
      <c r="M2318" s="7"/>
    </row>
    <row r="2319" ht="15.75" customHeight="1">
      <c r="A2319" s="7" t="s">
        <v>12227</v>
      </c>
      <c r="B2319" s="45" t="s">
        <v>12228</v>
      </c>
      <c r="C2319" s="7" t="s">
        <v>7713</v>
      </c>
      <c r="D2319" s="7" t="s">
        <v>12229</v>
      </c>
      <c r="E2319" s="7" t="s">
        <v>12230</v>
      </c>
      <c r="F2319" s="7" t="s">
        <v>7716</v>
      </c>
      <c r="G2319" s="7"/>
      <c r="H2319" s="46" t="s">
        <v>249</v>
      </c>
      <c r="I2319" s="7" t="s">
        <v>160</v>
      </c>
      <c r="J2319" s="7" t="s">
        <v>148</v>
      </c>
      <c r="K2319" s="7"/>
      <c r="L2319" s="7"/>
      <c r="M2319" s="7"/>
    </row>
    <row r="2320" ht="15.75" customHeight="1">
      <c r="A2320" s="7" t="s">
        <v>12231</v>
      </c>
      <c r="B2320" s="45" t="s">
        <v>12232</v>
      </c>
      <c r="C2320" s="7" t="s">
        <v>7713</v>
      </c>
      <c r="D2320" s="7" t="s">
        <v>12233</v>
      </c>
      <c r="E2320" s="7" t="s">
        <v>12230</v>
      </c>
      <c r="F2320" s="7" t="s">
        <v>7716</v>
      </c>
      <c r="G2320" s="7"/>
      <c r="H2320" s="46" t="s">
        <v>249</v>
      </c>
      <c r="I2320" s="7" t="s">
        <v>160</v>
      </c>
      <c r="J2320" s="7" t="s">
        <v>148</v>
      </c>
      <c r="K2320" s="7"/>
      <c r="L2320" s="7"/>
      <c r="M2320" s="7"/>
    </row>
    <row r="2321" ht="15.75" customHeight="1">
      <c r="A2321" s="7" t="s">
        <v>12234</v>
      </c>
      <c r="B2321" s="45" t="s">
        <v>12235</v>
      </c>
      <c r="C2321" s="7" t="s">
        <v>12236</v>
      </c>
      <c r="D2321" s="7" t="s">
        <v>12237</v>
      </c>
      <c r="E2321" s="7" t="s">
        <v>12238</v>
      </c>
      <c r="F2321" s="7" t="s">
        <v>12239</v>
      </c>
      <c r="G2321" s="7"/>
      <c r="H2321" s="46" t="s">
        <v>249</v>
      </c>
      <c r="I2321" s="7" t="s">
        <v>160</v>
      </c>
      <c r="J2321" s="7" t="s">
        <v>148</v>
      </c>
      <c r="K2321" s="7"/>
      <c r="L2321" s="7"/>
      <c r="M2321" s="7"/>
    </row>
    <row r="2322" ht="15.75" customHeight="1">
      <c r="A2322" s="7" t="s">
        <v>12240</v>
      </c>
      <c r="B2322" s="45" t="s">
        <v>12241</v>
      </c>
      <c r="C2322" s="7" t="s">
        <v>12194</v>
      </c>
      <c r="D2322" s="7" t="s">
        <v>12242</v>
      </c>
      <c r="E2322" s="7" t="s">
        <v>7583</v>
      </c>
      <c r="F2322" s="7" t="s">
        <v>1563</v>
      </c>
      <c r="G2322" s="7"/>
      <c r="H2322" s="46" t="s">
        <v>249</v>
      </c>
      <c r="I2322" s="7" t="s">
        <v>160</v>
      </c>
      <c r="J2322" s="7" t="s">
        <v>148</v>
      </c>
      <c r="K2322" s="7"/>
      <c r="L2322" s="7"/>
      <c r="M2322" s="7"/>
    </row>
    <row r="2323" ht="15.75" customHeight="1">
      <c r="A2323" s="7" t="s">
        <v>12243</v>
      </c>
      <c r="B2323" s="45" t="s">
        <v>12244</v>
      </c>
      <c r="C2323" s="7" t="s">
        <v>9992</v>
      </c>
      <c r="D2323" s="7" t="s">
        <v>12245</v>
      </c>
      <c r="E2323" s="7" t="s">
        <v>9994</v>
      </c>
      <c r="F2323" s="7" t="s">
        <v>9995</v>
      </c>
      <c r="G2323" s="7"/>
      <c r="H2323" s="46" t="s">
        <v>249</v>
      </c>
      <c r="I2323" s="7" t="s">
        <v>160</v>
      </c>
      <c r="J2323" s="7" t="s">
        <v>148</v>
      </c>
      <c r="K2323" s="7"/>
      <c r="L2323" s="7"/>
      <c r="M2323" s="7"/>
    </row>
    <row r="2324" ht="15.75" customHeight="1">
      <c r="A2324" s="7" t="s">
        <v>12246</v>
      </c>
      <c r="B2324" s="45" t="s">
        <v>12247</v>
      </c>
      <c r="C2324" s="7" t="s">
        <v>12248</v>
      </c>
      <c r="D2324" s="7" t="s">
        <v>12249</v>
      </c>
      <c r="E2324" s="7" t="s">
        <v>12250</v>
      </c>
      <c r="F2324" s="7" t="s">
        <v>12251</v>
      </c>
      <c r="G2324" s="7"/>
      <c r="H2324" s="46" t="s">
        <v>249</v>
      </c>
      <c r="I2324" s="7" t="s">
        <v>160</v>
      </c>
      <c r="J2324" s="7" t="s">
        <v>148</v>
      </c>
      <c r="K2324" s="7"/>
      <c r="L2324" s="7"/>
      <c r="M2324" s="7"/>
    </row>
    <row r="2325" ht="15.75" customHeight="1">
      <c r="A2325" s="7" t="s">
        <v>12252</v>
      </c>
      <c r="B2325" s="45" t="s">
        <v>12253</v>
      </c>
      <c r="C2325" s="7" t="s">
        <v>12254</v>
      </c>
      <c r="D2325" s="7" t="s">
        <v>12255</v>
      </c>
      <c r="E2325" s="7" t="s">
        <v>7583</v>
      </c>
      <c r="F2325" s="7" t="s">
        <v>1563</v>
      </c>
      <c r="G2325" s="7"/>
      <c r="H2325" s="46" t="s">
        <v>249</v>
      </c>
      <c r="I2325" s="7" t="s">
        <v>160</v>
      </c>
      <c r="J2325" s="7" t="s">
        <v>148</v>
      </c>
      <c r="K2325" s="7"/>
      <c r="L2325" s="7"/>
      <c r="M2325" s="7"/>
    </row>
    <row r="2326" ht="15.75" customHeight="1">
      <c r="A2326" s="7" t="s">
        <v>12256</v>
      </c>
      <c r="B2326" s="45" t="s">
        <v>12257</v>
      </c>
      <c r="C2326" s="7" t="s">
        <v>12258</v>
      </c>
      <c r="D2326" s="7" t="s">
        <v>12259</v>
      </c>
      <c r="E2326" s="7" t="s">
        <v>2640</v>
      </c>
      <c r="F2326" s="7" t="s">
        <v>2641</v>
      </c>
      <c r="G2326" s="7"/>
      <c r="H2326" s="46" t="s">
        <v>249</v>
      </c>
      <c r="I2326" s="7" t="s">
        <v>160</v>
      </c>
      <c r="J2326" s="7" t="s">
        <v>148</v>
      </c>
      <c r="K2326" s="7"/>
      <c r="L2326" s="7"/>
      <c r="M2326" s="7"/>
    </row>
    <row r="2327" ht="15.75" customHeight="1">
      <c r="A2327" s="7" t="s">
        <v>12260</v>
      </c>
      <c r="B2327" s="45" t="s">
        <v>12261</v>
      </c>
      <c r="C2327" s="7" t="s">
        <v>3831</v>
      </c>
      <c r="D2327" s="7" t="s">
        <v>12262</v>
      </c>
      <c r="E2327" s="7" t="s">
        <v>3833</v>
      </c>
      <c r="F2327" s="7" t="s">
        <v>12263</v>
      </c>
      <c r="G2327" s="7"/>
      <c r="H2327" s="46" t="s">
        <v>249</v>
      </c>
      <c r="I2327" s="7" t="s">
        <v>160</v>
      </c>
      <c r="J2327" s="7" t="s">
        <v>148</v>
      </c>
      <c r="K2327" s="7"/>
      <c r="L2327" s="7"/>
      <c r="M2327" s="7"/>
    </row>
    <row r="2328" ht="15.75" customHeight="1">
      <c r="A2328" s="7" t="s">
        <v>12264</v>
      </c>
      <c r="B2328" s="45" t="s">
        <v>12265</v>
      </c>
      <c r="C2328" s="7" t="s">
        <v>12266</v>
      </c>
      <c r="D2328" s="7" t="s">
        <v>12267</v>
      </c>
      <c r="E2328" s="7" t="s">
        <v>7782</v>
      </c>
      <c r="F2328" s="7" t="s">
        <v>7875</v>
      </c>
      <c r="G2328" s="7"/>
      <c r="H2328" s="46" t="s">
        <v>249</v>
      </c>
      <c r="I2328" s="7" t="s">
        <v>160</v>
      </c>
      <c r="J2328" s="7" t="s">
        <v>148</v>
      </c>
      <c r="K2328" s="7"/>
      <c r="L2328" s="7"/>
      <c r="M2328" s="7"/>
    </row>
    <row r="2329" ht="15.75" customHeight="1">
      <c r="A2329" s="7" t="s">
        <v>12268</v>
      </c>
      <c r="B2329" s="45" t="s">
        <v>12269</v>
      </c>
      <c r="C2329" s="7" t="s">
        <v>9952</v>
      </c>
      <c r="D2329" s="7" t="s">
        <v>12270</v>
      </c>
      <c r="E2329" s="7" t="s">
        <v>7583</v>
      </c>
      <c r="F2329" s="7" t="s">
        <v>1563</v>
      </c>
      <c r="G2329" s="7"/>
      <c r="H2329" s="46" t="s">
        <v>249</v>
      </c>
      <c r="I2329" s="7" t="s">
        <v>160</v>
      </c>
      <c r="J2329" s="7" t="s">
        <v>148</v>
      </c>
      <c r="K2329" s="7"/>
      <c r="L2329" s="7"/>
      <c r="M2329" s="7"/>
    </row>
    <row r="2330" ht="15.75" customHeight="1">
      <c r="A2330" s="7" t="s">
        <v>12271</v>
      </c>
      <c r="B2330" s="45" t="s">
        <v>12272</v>
      </c>
      <c r="C2330" s="7" t="s">
        <v>1525</v>
      </c>
      <c r="D2330" s="7" t="s">
        <v>12273</v>
      </c>
      <c r="E2330" s="7" t="s">
        <v>1527</v>
      </c>
      <c r="F2330" s="7" t="s">
        <v>1528</v>
      </c>
      <c r="G2330" s="7"/>
      <c r="H2330" s="46" t="s">
        <v>249</v>
      </c>
      <c r="I2330" s="7" t="s">
        <v>160</v>
      </c>
      <c r="J2330" s="7" t="s">
        <v>148</v>
      </c>
      <c r="K2330" s="7"/>
      <c r="L2330" s="7"/>
      <c r="M2330" s="7"/>
    </row>
    <row r="2331" ht="15.75" customHeight="1">
      <c r="A2331" s="7" t="s">
        <v>12274</v>
      </c>
      <c r="B2331" s="45" t="s">
        <v>12275</v>
      </c>
      <c r="C2331" s="7" t="s">
        <v>12276</v>
      </c>
      <c r="D2331" s="7" t="s">
        <v>12277</v>
      </c>
      <c r="E2331" s="7" t="s">
        <v>12278</v>
      </c>
      <c r="F2331" s="7" t="s">
        <v>12279</v>
      </c>
      <c r="G2331" s="7"/>
      <c r="H2331" s="46" t="s">
        <v>249</v>
      </c>
      <c r="I2331" s="7" t="s">
        <v>160</v>
      </c>
      <c r="J2331" s="7" t="s">
        <v>148</v>
      </c>
      <c r="K2331" s="7"/>
      <c r="L2331" s="7"/>
      <c r="M2331" s="7"/>
    </row>
    <row r="2332" ht="15.75" customHeight="1">
      <c r="A2332" s="7" t="s">
        <v>12280</v>
      </c>
      <c r="B2332" s="45" t="s">
        <v>12281</v>
      </c>
      <c r="C2332" s="7" t="s">
        <v>330</v>
      </c>
      <c r="D2332" s="7" t="s">
        <v>12282</v>
      </c>
      <c r="E2332" s="7" t="s">
        <v>338</v>
      </c>
      <c r="F2332" s="7" t="s">
        <v>339</v>
      </c>
      <c r="G2332" s="7"/>
      <c r="H2332" s="46" t="s">
        <v>249</v>
      </c>
      <c r="I2332" s="7" t="s">
        <v>160</v>
      </c>
      <c r="J2332" s="7" t="s">
        <v>148</v>
      </c>
      <c r="K2332" s="7"/>
      <c r="L2332" s="7"/>
      <c r="M2332" s="7"/>
    </row>
    <row r="2333" ht="15.75" customHeight="1">
      <c r="A2333" s="7" t="s">
        <v>12283</v>
      </c>
      <c r="B2333" s="45" t="s">
        <v>12284</v>
      </c>
      <c r="C2333" s="7" t="s">
        <v>12285</v>
      </c>
      <c r="D2333" s="7" t="s">
        <v>12286</v>
      </c>
      <c r="E2333" s="7" t="s">
        <v>405</v>
      </c>
      <c r="F2333" s="7" t="s">
        <v>406</v>
      </c>
      <c r="G2333" s="7"/>
      <c r="H2333" s="46" t="s">
        <v>249</v>
      </c>
      <c r="I2333" s="7" t="s">
        <v>160</v>
      </c>
      <c r="J2333" s="7" t="s">
        <v>148</v>
      </c>
      <c r="K2333" s="7"/>
      <c r="L2333" s="7"/>
      <c r="M2333" s="7"/>
    </row>
    <row r="2334" ht="15.75" customHeight="1">
      <c r="A2334" s="7" t="s">
        <v>12287</v>
      </c>
      <c r="B2334" s="45" t="s">
        <v>12288</v>
      </c>
      <c r="C2334" s="7" t="s">
        <v>12189</v>
      </c>
      <c r="D2334" s="7" t="s">
        <v>12289</v>
      </c>
      <c r="E2334" s="7" t="s">
        <v>2640</v>
      </c>
      <c r="F2334" s="7" t="s">
        <v>2641</v>
      </c>
      <c r="G2334" s="7"/>
      <c r="H2334" s="46" t="s">
        <v>249</v>
      </c>
      <c r="I2334" s="7" t="s">
        <v>160</v>
      </c>
      <c r="J2334" s="7" t="s">
        <v>148</v>
      </c>
      <c r="K2334" s="7"/>
      <c r="L2334" s="7"/>
      <c r="M2334" s="7"/>
    </row>
    <row r="2335" ht="15.75" customHeight="1">
      <c r="A2335" s="7" t="s">
        <v>12290</v>
      </c>
      <c r="B2335" s="45" t="s">
        <v>12291</v>
      </c>
      <c r="C2335" s="7" t="s">
        <v>9952</v>
      </c>
      <c r="D2335" s="7" t="s">
        <v>12292</v>
      </c>
      <c r="E2335" s="7" t="s">
        <v>7583</v>
      </c>
      <c r="F2335" s="7" t="s">
        <v>1563</v>
      </c>
      <c r="G2335" s="7"/>
      <c r="H2335" s="46" t="s">
        <v>249</v>
      </c>
      <c r="I2335" s="7" t="s">
        <v>160</v>
      </c>
      <c r="J2335" s="7" t="s">
        <v>148</v>
      </c>
      <c r="K2335" s="7"/>
      <c r="L2335" s="7"/>
      <c r="M2335" s="7"/>
    </row>
    <row r="2336" ht="15.75" customHeight="1">
      <c r="A2336" s="7" t="s">
        <v>12293</v>
      </c>
      <c r="B2336" s="45" t="s">
        <v>12294</v>
      </c>
      <c r="C2336" s="7" t="s">
        <v>1525</v>
      </c>
      <c r="D2336" s="7" t="s">
        <v>12295</v>
      </c>
      <c r="E2336" s="7" t="s">
        <v>1527</v>
      </c>
      <c r="F2336" s="7" t="s">
        <v>1528</v>
      </c>
      <c r="G2336" s="7"/>
      <c r="H2336" s="46" t="s">
        <v>249</v>
      </c>
      <c r="I2336" s="7" t="s">
        <v>160</v>
      </c>
      <c r="J2336" s="7" t="s">
        <v>148</v>
      </c>
      <c r="K2336" s="7"/>
      <c r="L2336" s="7"/>
      <c r="M2336" s="7"/>
    </row>
    <row r="2337" ht="15.75" customHeight="1">
      <c r="A2337" s="7" t="s">
        <v>12296</v>
      </c>
      <c r="B2337" s="45" t="s">
        <v>12297</v>
      </c>
      <c r="C2337" s="7" t="s">
        <v>1525</v>
      </c>
      <c r="D2337" s="7" t="s">
        <v>12298</v>
      </c>
      <c r="E2337" s="7" t="s">
        <v>1527</v>
      </c>
      <c r="F2337" s="7" t="s">
        <v>1528</v>
      </c>
      <c r="G2337" s="7"/>
      <c r="H2337" s="46" t="s">
        <v>249</v>
      </c>
      <c r="I2337" s="7" t="s">
        <v>160</v>
      </c>
      <c r="J2337" s="7" t="s">
        <v>148</v>
      </c>
      <c r="K2337" s="7"/>
      <c r="L2337" s="7"/>
      <c r="M2337" s="7"/>
    </row>
    <row r="2338" ht="15.75" customHeight="1">
      <c r="A2338" s="7" t="s">
        <v>12299</v>
      </c>
      <c r="B2338" s="45" t="s">
        <v>12300</v>
      </c>
      <c r="C2338" s="7" t="s">
        <v>12301</v>
      </c>
      <c r="D2338" s="7" t="s">
        <v>12302</v>
      </c>
      <c r="E2338" s="7" t="s">
        <v>12303</v>
      </c>
      <c r="F2338" s="7" t="s">
        <v>12304</v>
      </c>
      <c r="G2338" s="7"/>
      <c r="H2338" s="46" t="s">
        <v>249</v>
      </c>
      <c r="I2338" s="7" t="s">
        <v>160</v>
      </c>
      <c r="J2338" s="7" t="s">
        <v>148</v>
      </c>
      <c r="K2338" s="7"/>
      <c r="L2338" s="7"/>
      <c r="M2338" s="7"/>
    </row>
    <row r="2339" ht="15.75" customHeight="1">
      <c r="A2339" s="7" t="s">
        <v>12305</v>
      </c>
      <c r="B2339" s="45" t="s">
        <v>12306</v>
      </c>
      <c r="C2339" s="7" t="s">
        <v>12307</v>
      </c>
      <c r="D2339" s="7" t="s">
        <v>12308</v>
      </c>
      <c r="E2339" s="7" t="s">
        <v>12309</v>
      </c>
      <c r="F2339" s="7" t="s">
        <v>12310</v>
      </c>
      <c r="G2339" s="7"/>
      <c r="H2339" s="46" t="s">
        <v>249</v>
      </c>
      <c r="I2339" s="7" t="s">
        <v>160</v>
      </c>
      <c r="J2339" s="7" t="s">
        <v>148</v>
      </c>
      <c r="K2339" s="7"/>
      <c r="L2339" s="7"/>
      <c r="M2339" s="7"/>
    </row>
    <row r="2340" ht="15.75" customHeight="1">
      <c r="A2340" s="7" t="s">
        <v>12311</v>
      </c>
      <c r="B2340" s="45" t="s">
        <v>12312</v>
      </c>
      <c r="C2340" s="7" t="s">
        <v>12313</v>
      </c>
      <c r="D2340" s="7" t="s">
        <v>12314</v>
      </c>
      <c r="E2340" s="7" t="s">
        <v>12315</v>
      </c>
      <c r="F2340" s="7" t="s">
        <v>12316</v>
      </c>
      <c r="G2340" s="7"/>
      <c r="H2340" s="46" t="s">
        <v>249</v>
      </c>
      <c r="I2340" s="7" t="s">
        <v>160</v>
      </c>
      <c r="J2340" s="7" t="s">
        <v>148</v>
      </c>
      <c r="K2340" s="7"/>
      <c r="L2340" s="7"/>
      <c r="M2340" s="7"/>
    </row>
    <row r="2341" ht="15.75" customHeight="1">
      <c r="A2341" s="7" t="s">
        <v>12317</v>
      </c>
      <c r="B2341" s="45" t="s">
        <v>12318</v>
      </c>
      <c r="C2341" s="7" t="s">
        <v>12319</v>
      </c>
      <c r="D2341" s="7" t="s">
        <v>12320</v>
      </c>
      <c r="E2341" s="7" t="s">
        <v>12321</v>
      </c>
      <c r="F2341" s="7" t="s">
        <v>12322</v>
      </c>
      <c r="G2341" s="7"/>
      <c r="H2341" s="46" t="s">
        <v>249</v>
      </c>
      <c r="I2341" s="7" t="s">
        <v>160</v>
      </c>
      <c r="J2341" s="7" t="s">
        <v>148</v>
      </c>
      <c r="K2341" s="7"/>
      <c r="L2341" s="7"/>
      <c r="M2341" s="7"/>
    </row>
    <row r="2342" ht="15.75" customHeight="1">
      <c r="A2342" s="7" t="s">
        <v>12323</v>
      </c>
      <c r="B2342" s="45" t="s">
        <v>12324</v>
      </c>
      <c r="C2342" s="7" t="s">
        <v>12325</v>
      </c>
      <c r="D2342" s="7" t="s">
        <v>12326</v>
      </c>
      <c r="E2342" s="7" t="s">
        <v>12327</v>
      </c>
      <c r="F2342" s="7" t="s">
        <v>12328</v>
      </c>
      <c r="G2342" s="7"/>
      <c r="H2342" s="46" t="s">
        <v>249</v>
      </c>
      <c r="I2342" s="7" t="s">
        <v>160</v>
      </c>
      <c r="J2342" s="7" t="s">
        <v>148</v>
      </c>
      <c r="K2342" s="7"/>
      <c r="L2342" s="7"/>
      <c r="M2342" s="7"/>
    </row>
    <row r="2343" ht="15.75" customHeight="1">
      <c r="A2343" s="7" t="s">
        <v>12329</v>
      </c>
      <c r="B2343" s="45" t="s">
        <v>12330</v>
      </c>
      <c r="C2343" s="7" t="s">
        <v>12331</v>
      </c>
      <c r="D2343" s="7" t="s">
        <v>12332</v>
      </c>
      <c r="E2343" s="7" t="s">
        <v>12327</v>
      </c>
      <c r="F2343" s="7" t="s">
        <v>12328</v>
      </c>
      <c r="G2343" s="7"/>
      <c r="H2343" s="46" t="s">
        <v>249</v>
      </c>
      <c r="I2343" s="7" t="s">
        <v>160</v>
      </c>
      <c r="J2343" s="7" t="s">
        <v>148</v>
      </c>
      <c r="K2343" s="7"/>
      <c r="L2343" s="7"/>
      <c r="M2343" s="7"/>
    </row>
    <row r="2344" ht="15.75" customHeight="1">
      <c r="A2344" s="7" t="s">
        <v>12333</v>
      </c>
      <c r="B2344" s="45" t="s">
        <v>12334</v>
      </c>
      <c r="C2344" s="7" t="s">
        <v>12335</v>
      </c>
      <c r="D2344" s="7" t="s">
        <v>12336</v>
      </c>
      <c r="E2344" s="7" t="s">
        <v>12337</v>
      </c>
      <c r="F2344" s="7" t="s">
        <v>12338</v>
      </c>
      <c r="G2344" s="7"/>
      <c r="H2344" s="46" t="s">
        <v>249</v>
      </c>
      <c r="I2344" s="7" t="s">
        <v>160</v>
      </c>
      <c r="J2344" s="7" t="s">
        <v>148</v>
      </c>
      <c r="K2344" s="7"/>
      <c r="L2344" s="7"/>
      <c r="M2344" s="7"/>
    </row>
    <row r="2345" ht="15.75" customHeight="1">
      <c r="A2345" s="7" t="s">
        <v>12339</v>
      </c>
      <c r="B2345" s="45" t="s">
        <v>12340</v>
      </c>
      <c r="C2345" s="7" t="s">
        <v>12341</v>
      </c>
      <c r="D2345" s="7" t="s">
        <v>12342</v>
      </c>
      <c r="E2345" s="7" t="s">
        <v>12343</v>
      </c>
      <c r="F2345" s="7" t="s">
        <v>12344</v>
      </c>
      <c r="G2345" s="7"/>
      <c r="H2345" s="46" t="s">
        <v>249</v>
      </c>
      <c r="I2345" s="7" t="s">
        <v>160</v>
      </c>
      <c r="J2345" s="7" t="s">
        <v>148</v>
      </c>
      <c r="K2345" s="7"/>
      <c r="L2345" s="7"/>
      <c r="M2345" s="7"/>
    </row>
    <row r="2346" ht="15.75" customHeight="1">
      <c r="A2346" s="7" t="s">
        <v>12345</v>
      </c>
      <c r="B2346" s="45" t="s">
        <v>12346</v>
      </c>
      <c r="C2346" s="7" t="s">
        <v>12347</v>
      </c>
      <c r="D2346" s="7" t="s">
        <v>12348</v>
      </c>
      <c r="E2346" s="7" t="s">
        <v>12349</v>
      </c>
      <c r="F2346" s="7" t="s">
        <v>12344</v>
      </c>
      <c r="G2346" s="7"/>
      <c r="H2346" s="46" t="s">
        <v>249</v>
      </c>
      <c r="I2346" s="7" t="s">
        <v>160</v>
      </c>
      <c r="J2346" s="7" t="s">
        <v>148</v>
      </c>
      <c r="K2346" s="7"/>
      <c r="L2346" s="7"/>
      <c r="M2346" s="7"/>
    </row>
    <row r="2347" ht="15.75" customHeight="1">
      <c r="A2347" s="7" t="s">
        <v>12350</v>
      </c>
      <c r="B2347" s="45" t="s">
        <v>12351</v>
      </c>
      <c r="C2347" s="7" t="s">
        <v>12341</v>
      </c>
      <c r="D2347" s="7" t="s">
        <v>12352</v>
      </c>
      <c r="E2347" s="7" t="s">
        <v>12353</v>
      </c>
      <c r="F2347" s="7" t="s">
        <v>12344</v>
      </c>
      <c r="G2347" s="7"/>
      <c r="H2347" s="46" t="s">
        <v>249</v>
      </c>
      <c r="I2347" s="7" t="s">
        <v>160</v>
      </c>
      <c r="J2347" s="7" t="s">
        <v>148</v>
      </c>
      <c r="K2347" s="7"/>
      <c r="L2347" s="7"/>
      <c r="M2347" s="7"/>
    </row>
    <row r="2348" ht="15.75" customHeight="1">
      <c r="A2348" s="7" t="s">
        <v>12354</v>
      </c>
      <c r="B2348" s="45" t="s">
        <v>12355</v>
      </c>
      <c r="C2348" s="7" t="s">
        <v>12356</v>
      </c>
      <c r="D2348" s="7" t="s">
        <v>12357</v>
      </c>
      <c r="E2348" s="7" t="s">
        <v>12358</v>
      </c>
      <c r="F2348" s="7" t="s">
        <v>12359</v>
      </c>
      <c r="G2348" s="7"/>
      <c r="H2348" s="46" t="s">
        <v>249</v>
      </c>
      <c r="I2348" s="7" t="s">
        <v>160</v>
      </c>
      <c r="J2348" s="7" t="s">
        <v>148</v>
      </c>
      <c r="K2348" s="7"/>
      <c r="L2348" s="7"/>
      <c r="M2348" s="7"/>
    </row>
    <row r="2349" ht="15.75" customHeight="1">
      <c r="A2349" s="7" t="s">
        <v>12360</v>
      </c>
      <c r="B2349" s="45" t="s">
        <v>12361</v>
      </c>
      <c r="C2349" s="7" t="s">
        <v>12362</v>
      </c>
      <c r="D2349" s="7" t="s">
        <v>12363</v>
      </c>
      <c r="E2349" s="7" t="s">
        <v>12364</v>
      </c>
      <c r="F2349" s="7" t="s">
        <v>12365</v>
      </c>
      <c r="G2349" s="7"/>
      <c r="H2349" s="46" t="s">
        <v>249</v>
      </c>
      <c r="I2349" s="7" t="s">
        <v>160</v>
      </c>
      <c r="J2349" s="7" t="s">
        <v>148</v>
      </c>
      <c r="K2349" s="7"/>
      <c r="L2349" s="7"/>
      <c r="M2349" s="7"/>
    </row>
    <row r="2350" ht="15.75" customHeight="1">
      <c r="A2350" s="7" t="s">
        <v>12366</v>
      </c>
      <c r="B2350" s="45" t="s">
        <v>12367</v>
      </c>
      <c r="C2350" s="7" t="s">
        <v>12368</v>
      </c>
      <c r="D2350" s="7" t="s">
        <v>12369</v>
      </c>
      <c r="E2350" s="7" t="s">
        <v>12370</v>
      </c>
      <c r="F2350" s="7" t="s">
        <v>12371</v>
      </c>
      <c r="G2350" s="7"/>
      <c r="H2350" s="46" t="s">
        <v>249</v>
      </c>
      <c r="I2350" s="7" t="s">
        <v>160</v>
      </c>
      <c r="J2350" s="7" t="s">
        <v>148</v>
      </c>
      <c r="K2350" s="7"/>
      <c r="L2350" s="7"/>
      <c r="M2350" s="7"/>
    </row>
    <row r="2351" ht="15.75" customHeight="1">
      <c r="A2351" s="7" t="s">
        <v>12372</v>
      </c>
      <c r="B2351" s="45" t="s">
        <v>12373</v>
      </c>
      <c r="C2351" s="7" t="s">
        <v>12374</v>
      </c>
      <c r="D2351" s="7" t="s">
        <v>12375</v>
      </c>
      <c r="E2351" s="7" t="s">
        <v>12376</v>
      </c>
      <c r="F2351" s="7" t="s">
        <v>12377</v>
      </c>
      <c r="G2351" s="7"/>
      <c r="H2351" s="46" t="s">
        <v>249</v>
      </c>
      <c r="I2351" s="7" t="s">
        <v>160</v>
      </c>
      <c r="J2351" s="7" t="s">
        <v>148</v>
      </c>
      <c r="K2351" s="7"/>
      <c r="L2351" s="7"/>
      <c r="M2351" s="7"/>
    </row>
    <row r="2352" ht="15.75" customHeight="1">
      <c r="A2352" s="7" t="s">
        <v>12378</v>
      </c>
      <c r="B2352" s="45" t="s">
        <v>12379</v>
      </c>
      <c r="C2352" s="7" t="s">
        <v>12380</v>
      </c>
      <c r="D2352" s="7" t="s">
        <v>12381</v>
      </c>
      <c r="E2352" s="7" t="s">
        <v>12382</v>
      </c>
      <c r="F2352" s="7" t="s">
        <v>12383</v>
      </c>
      <c r="G2352" s="7"/>
      <c r="H2352" s="46" t="s">
        <v>249</v>
      </c>
      <c r="I2352" s="7" t="s">
        <v>160</v>
      </c>
      <c r="J2352" s="7" t="s">
        <v>148</v>
      </c>
      <c r="K2352" s="7"/>
      <c r="L2352" s="7"/>
      <c r="M2352" s="7"/>
    </row>
    <row r="2353" ht="15.75" customHeight="1">
      <c r="A2353" s="7" t="s">
        <v>12384</v>
      </c>
      <c r="B2353" s="45" t="s">
        <v>12385</v>
      </c>
      <c r="C2353" s="7" t="s">
        <v>3307</v>
      </c>
      <c r="D2353" s="7" t="s">
        <v>12386</v>
      </c>
      <c r="E2353" s="7" t="s">
        <v>3309</v>
      </c>
      <c r="F2353" s="7" t="s">
        <v>3310</v>
      </c>
      <c r="G2353" s="7"/>
      <c r="H2353" s="46" t="s">
        <v>249</v>
      </c>
      <c r="I2353" s="7" t="s">
        <v>160</v>
      </c>
      <c r="J2353" s="7" t="s">
        <v>148</v>
      </c>
      <c r="K2353" s="7"/>
      <c r="L2353" s="7"/>
      <c r="M2353" s="7"/>
    </row>
    <row r="2354" ht="15.75" customHeight="1">
      <c r="A2354" s="7" t="s">
        <v>12387</v>
      </c>
      <c r="B2354" s="45" t="s">
        <v>12388</v>
      </c>
      <c r="C2354" s="7" t="s">
        <v>4594</v>
      </c>
      <c r="D2354" s="7" t="s">
        <v>12389</v>
      </c>
      <c r="E2354" s="7" t="s">
        <v>12390</v>
      </c>
      <c r="F2354" s="7" t="s">
        <v>4591</v>
      </c>
      <c r="G2354" s="7"/>
      <c r="H2354" s="46" t="s">
        <v>249</v>
      </c>
      <c r="I2354" s="7" t="s">
        <v>160</v>
      </c>
      <c r="J2354" s="7" t="s">
        <v>148</v>
      </c>
      <c r="K2354" s="7"/>
      <c r="L2354" s="7"/>
      <c r="M2354" s="7"/>
    </row>
    <row r="2355" ht="15.75" customHeight="1">
      <c r="A2355" s="7" t="s">
        <v>12391</v>
      </c>
      <c r="B2355" s="45" t="s">
        <v>12392</v>
      </c>
      <c r="C2355" s="7" t="s">
        <v>4594</v>
      </c>
      <c r="D2355" s="7" t="s">
        <v>12393</v>
      </c>
      <c r="E2355" s="7" t="s">
        <v>12390</v>
      </c>
      <c r="F2355" s="7" t="s">
        <v>4591</v>
      </c>
      <c r="G2355" s="7"/>
      <c r="H2355" s="46" t="s">
        <v>249</v>
      </c>
      <c r="I2355" s="7" t="s">
        <v>160</v>
      </c>
      <c r="J2355" s="7" t="s">
        <v>148</v>
      </c>
      <c r="K2355" s="7"/>
      <c r="L2355" s="7"/>
      <c r="M2355" s="7"/>
    </row>
    <row r="2356" ht="15.75" customHeight="1">
      <c r="A2356" s="7" t="s">
        <v>12394</v>
      </c>
      <c r="B2356" s="45" t="s">
        <v>12395</v>
      </c>
      <c r="C2356" s="7" t="s">
        <v>12396</v>
      </c>
      <c r="D2356" s="7" t="s">
        <v>12397</v>
      </c>
      <c r="E2356" s="7" t="s">
        <v>12398</v>
      </c>
      <c r="F2356" s="7" t="s">
        <v>12399</v>
      </c>
      <c r="G2356" s="7"/>
      <c r="H2356" s="46" t="s">
        <v>249</v>
      </c>
      <c r="I2356" s="7" t="s">
        <v>160</v>
      </c>
      <c r="J2356" s="7" t="s">
        <v>148</v>
      </c>
      <c r="K2356" s="7"/>
      <c r="L2356" s="7"/>
      <c r="M2356" s="7"/>
    </row>
    <row r="2357" ht="15.75" customHeight="1">
      <c r="A2357" s="7" t="s">
        <v>12400</v>
      </c>
      <c r="B2357" s="45" t="s">
        <v>12401</v>
      </c>
      <c r="C2357" s="7" t="s">
        <v>12402</v>
      </c>
      <c r="D2357" s="7" t="s">
        <v>12403</v>
      </c>
      <c r="E2357" s="7" t="s">
        <v>12404</v>
      </c>
      <c r="F2357" s="7" t="s">
        <v>12405</v>
      </c>
      <c r="G2357" s="7" t="s">
        <v>12406</v>
      </c>
      <c r="H2357" s="46" t="s">
        <v>249</v>
      </c>
      <c r="I2357" s="7" t="s">
        <v>160</v>
      </c>
      <c r="J2357" s="7" t="s">
        <v>148</v>
      </c>
      <c r="K2357" s="7"/>
      <c r="L2357" s="7"/>
      <c r="M2357" s="7"/>
    </row>
    <row r="2358" ht="15.75" customHeight="1">
      <c r="A2358" s="7" t="s">
        <v>12407</v>
      </c>
      <c r="B2358" s="45" t="s">
        <v>12408</v>
      </c>
      <c r="C2358" s="7" t="s">
        <v>12409</v>
      </c>
      <c r="D2358" s="7" t="s">
        <v>12410</v>
      </c>
      <c r="E2358" s="7" t="s">
        <v>12411</v>
      </c>
      <c r="F2358" s="7" t="s">
        <v>12412</v>
      </c>
      <c r="G2358" s="7"/>
      <c r="H2358" s="46" t="s">
        <v>249</v>
      </c>
      <c r="I2358" s="7" t="s">
        <v>160</v>
      </c>
      <c r="J2358" s="7" t="s">
        <v>148</v>
      </c>
      <c r="K2358" s="7"/>
      <c r="L2358" s="7"/>
      <c r="M2358" s="7"/>
    </row>
    <row r="2359" ht="15.75" customHeight="1">
      <c r="A2359" s="7" t="s">
        <v>12413</v>
      </c>
      <c r="B2359" s="45" t="s">
        <v>12414</v>
      </c>
      <c r="C2359" s="7" t="s">
        <v>12415</v>
      </c>
      <c r="D2359" s="7" t="s">
        <v>12416</v>
      </c>
      <c r="E2359" s="7" t="s">
        <v>12417</v>
      </c>
      <c r="F2359" s="7" t="s">
        <v>12418</v>
      </c>
      <c r="G2359" s="7"/>
      <c r="H2359" s="46" t="s">
        <v>249</v>
      </c>
      <c r="I2359" s="7" t="s">
        <v>160</v>
      </c>
      <c r="J2359" s="7" t="s">
        <v>148</v>
      </c>
      <c r="K2359" s="7"/>
      <c r="L2359" s="7"/>
      <c r="M2359" s="7"/>
    </row>
    <row r="2360" ht="15.75" customHeight="1">
      <c r="A2360" s="7" t="s">
        <v>12419</v>
      </c>
      <c r="B2360" s="45" t="s">
        <v>12420</v>
      </c>
      <c r="C2360" s="7" t="s">
        <v>12421</v>
      </c>
      <c r="D2360" s="7" t="s">
        <v>12422</v>
      </c>
      <c r="E2360" s="7" t="s">
        <v>12423</v>
      </c>
      <c r="F2360" s="7" t="s">
        <v>12424</v>
      </c>
      <c r="G2360" s="7"/>
      <c r="H2360" s="46" t="s">
        <v>249</v>
      </c>
      <c r="I2360" s="7" t="s">
        <v>160</v>
      </c>
      <c r="J2360" s="7" t="s">
        <v>148</v>
      </c>
      <c r="K2360" s="7"/>
      <c r="L2360" s="7"/>
      <c r="M2360" s="7"/>
    </row>
    <row r="2361" ht="15.75" customHeight="1">
      <c r="A2361" s="7" t="s">
        <v>12425</v>
      </c>
      <c r="B2361" s="45" t="s">
        <v>12426</v>
      </c>
      <c r="C2361" s="7" t="s">
        <v>12427</v>
      </c>
      <c r="D2361" s="7" t="s">
        <v>12428</v>
      </c>
      <c r="E2361" s="7" t="s">
        <v>12429</v>
      </c>
      <c r="F2361" s="7" t="s">
        <v>12430</v>
      </c>
      <c r="G2361" s="7" t="s">
        <v>12431</v>
      </c>
      <c r="H2361" s="46" t="s">
        <v>249</v>
      </c>
      <c r="I2361" s="7" t="s">
        <v>160</v>
      </c>
      <c r="J2361" s="7" t="s">
        <v>148</v>
      </c>
      <c r="K2361" s="7"/>
      <c r="L2361" s="7"/>
      <c r="M2361" s="7"/>
    </row>
    <row r="2362" ht="15.75" customHeight="1">
      <c r="A2362" s="7" t="s">
        <v>12432</v>
      </c>
      <c r="B2362" s="45" t="s">
        <v>12433</v>
      </c>
      <c r="C2362" s="7" t="s">
        <v>12434</v>
      </c>
      <c r="D2362" s="7" t="s">
        <v>12435</v>
      </c>
      <c r="E2362" s="7" t="s">
        <v>12436</v>
      </c>
      <c r="F2362" s="7" t="s">
        <v>12437</v>
      </c>
      <c r="G2362" s="7"/>
      <c r="H2362" s="46" t="s">
        <v>249</v>
      </c>
      <c r="I2362" s="7" t="s">
        <v>160</v>
      </c>
      <c r="J2362" s="7" t="s">
        <v>148</v>
      </c>
      <c r="K2362" s="7"/>
      <c r="L2362" s="7"/>
      <c r="M2362" s="7"/>
    </row>
    <row r="2363" ht="15.75" customHeight="1">
      <c r="A2363" s="7" t="s">
        <v>12438</v>
      </c>
      <c r="B2363" s="45" t="s">
        <v>12439</v>
      </c>
      <c r="C2363" s="7" t="s">
        <v>12434</v>
      </c>
      <c r="D2363" s="7" t="s">
        <v>12440</v>
      </c>
      <c r="E2363" s="7" t="s">
        <v>12441</v>
      </c>
      <c r="F2363" s="7" t="s">
        <v>12442</v>
      </c>
      <c r="G2363" s="7"/>
      <c r="H2363" s="46" t="s">
        <v>249</v>
      </c>
      <c r="I2363" s="7" t="s">
        <v>160</v>
      </c>
      <c r="J2363" s="7" t="s">
        <v>148</v>
      </c>
      <c r="K2363" s="7"/>
      <c r="L2363" s="7"/>
      <c r="M2363" s="7"/>
    </row>
    <row r="2364" ht="15.75" customHeight="1">
      <c r="A2364" s="7" t="s">
        <v>12443</v>
      </c>
      <c r="B2364" s="45" t="s">
        <v>12444</v>
      </c>
      <c r="C2364" s="7" t="s">
        <v>12445</v>
      </c>
      <c r="D2364" s="7" t="s">
        <v>12446</v>
      </c>
      <c r="E2364" s="7" t="s">
        <v>12447</v>
      </c>
      <c r="F2364" s="7" t="s">
        <v>12448</v>
      </c>
      <c r="G2364" s="7"/>
      <c r="H2364" s="46" t="s">
        <v>249</v>
      </c>
      <c r="I2364" s="7" t="s">
        <v>160</v>
      </c>
      <c r="J2364" s="7" t="s">
        <v>148</v>
      </c>
      <c r="K2364" s="7"/>
      <c r="L2364" s="7"/>
      <c r="M2364" s="7"/>
    </row>
    <row r="2365" ht="15.75" customHeight="1">
      <c r="A2365" s="7" t="s">
        <v>12449</v>
      </c>
      <c r="B2365" s="45" t="s">
        <v>12450</v>
      </c>
      <c r="C2365" s="7" t="s">
        <v>12451</v>
      </c>
      <c r="D2365" s="7" t="s">
        <v>12452</v>
      </c>
      <c r="E2365" s="7" t="s">
        <v>12453</v>
      </c>
      <c r="F2365" s="7" t="s">
        <v>12454</v>
      </c>
      <c r="G2365" s="7"/>
      <c r="H2365" s="46" t="s">
        <v>249</v>
      </c>
      <c r="I2365" s="7" t="s">
        <v>160</v>
      </c>
      <c r="J2365" s="7" t="s">
        <v>148</v>
      </c>
      <c r="K2365" s="7"/>
      <c r="L2365" s="7"/>
      <c r="M2365" s="7"/>
    </row>
    <row r="2366" ht="15.75" customHeight="1">
      <c r="A2366" s="7" t="s">
        <v>12455</v>
      </c>
      <c r="B2366" s="45" t="s">
        <v>12456</v>
      </c>
      <c r="C2366" s="7" t="s">
        <v>12457</v>
      </c>
      <c r="D2366" s="7" t="s">
        <v>12458</v>
      </c>
      <c r="E2366" s="7" t="s">
        <v>12459</v>
      </c>
      <c r="F2366" s="7" t="s">
        <v>12460</v>
      </c>
      <c r="G2366" s="7"/>
      <c r="H2366" s="46" t="s">
        <v>249</v>
      </c>
      <c r="I2366" s="7" t="s">
        <v>160</v>
      </c>
      <c r="J2366" s="7" t="s">
        <v>148</v>
      </c>
      <c r="K2366" s="7"/>
      <c r="L2366" s="7"/>
      <c r="M2366" s="7"/>
    </row>
    <row r="2367" ht="15.75" customHeight="1">
      <c r="A2367" s="7" t="s">
        <v>12461</v>
      </c>
      <c r="B2367" s="45" t="s">
        <v>12462</v>
      </c>
      <c r="C2367" s="7" t="s">
        <v>12463</v>
      </c>
      <c r="D2367" s="7" t="s">
        <v>12464</v>
      </c>
      <c r="E2367" s="7" t="s">
        <v>12465</v>
      </c>
      <c r="F2367" s="7" t="s">
        <v>12466</v>
      </c>
      <c r="G2367" s="7" t="s">
        <v>12467</v>
      </c>
      <c r="H2367" s="46" t="s">
        <v>249</v>
      </c>
      <c r="I2367" s="7" t="s">
        <v>160</v>
      </c>
      <c r="J2367" s="7" t="s">
        <v>148</v>
      </c>
      <c r="K2367" s="7"/>
      <c r="L2367" s="7"/>
      <c r="M2367" s="7"/>
    </row>
    <row r="2368" ht="15.75" customHeight="1">
      <c r="A2368" s="7" t="s">
        <v>12468</v>
      </c>
      <c r="B2368" s="45" t="s">
        <v>12469</v>
      </c>
      <c r="C2368" s="7" t="s">
        <v>12470</v>
      </c>
      <c r="D2368" s="7" t="s">
        <v>12471</v>
      </c>
      <c r="E2368" s="7" t="s">
        <v>12472</v>
      </c>
      <c r="F2368" s="7" t="s">
        <v>12473</v>
      </c>
      <c r="G2368" s="7"/>
      <c r="H2368" s="46" t="s">
        <v>249</v>
      </c>
      <c r="I2368" s="7" t="s">
        <v>160</v>
      </c>
      <c r="J2368" s="7" t="s">
        <v>148</v>
      </c>
      <c r="K2368" s="7"/>
      <c r="L2368" s="7"/>
      <c r="M2368" s="7"/>
    </row>
    <row r="2369" ht="15.75" customHeight="1">
      <c r="A2369" s="7" t="s">
        <v>12474</v>
      </c>
      <c r="B2369" s="45" t="s">
        <v>12475</v>
      </c>
      <c r="C2369" s="7" t="s">
        <v>12476</v>
      </c>
      <c r="D2369" s="7" t="s">
        <v>12477</v>
      </c>
      <c r="E2369" s="7" t="s">
        <v>12472</v>
      </c>
      <c r="F2369" s="7" t="s">
        <v>12473</v>
      </c>
      <c r="G2369" s="7"/>
      <c r="H2369" s="46" t="s">
        <v>249</v>
      </c>
      <c r="I2369" s="7" t="s">
        <v>160</v>
      </c>
      <c r="J2369" s="7" t="s">
        <v>148</v>
      </c>
      <c r="K2369" s="7"/>
      <c r="L2369" s="7"/>
      <c r="M2369" s="7"/>
    </row>
    <row r="2370" ht="15.75" customHeight="1">
      <c r="A2370" s="7" t="s">
        <v>12478</v>
      </c>
      <c r="B2370" s="45" t="s">
        <v>12479</v>
      </c>
      <c r="C2370" s="7" t="s">
        <v>12480</v>
      </c>
      <c r="D2370" s="7" t="s">
        <v>12481</v>
      </c>
      <c r="E2370" s="7" t="s">
        <v>12482</v>
      </c>
      <c r="F2370" s="7" t="s">
        <v>12483</v>
      </c>
      <c r="G2370" s="7"/>
      <c r="H2370" s="46" t="s">
        <v>249</v>
      </c>
      <c r="I2370" s="7" t="s">
        <v>160</v>
      </c>
      <c r="J2370" s="7" t="s">
        <v>148</v>
      </c>
      <c r="K2370" s="7"/>
      <c r="L2370" s="7"/>
      <c r="M2370" s="7"/>
    </row>
    <row r="2371" ht="15.75" customHeight="1">
      <c r="A2371" s="7" t="s">
        <v>12484</v>
      </c>
      <c r="B2371" s="45" t="s">
        <v>12485</v>
      </c>
      <c r="C2371" s="7" t="s">
        <v>12486</v>
      </c>
      <c r="D2371" s="7" t="s">
        <v>12487</v>
      </c>
      <c r="E2371" s="7" t="s">
        <v>12488</v>
      </c>
      <c r="F2371" s="7" t="s">
        <v>12489</v>
      </c>
      <c r="G2371" s="7"/>
      <c r="H2371" s="46" t="s">
        <v>249</v>
      </c>
      <c r="I2371" s="7" t="s">
        <v>160</v>
      </c>
      <c r="J2371" s="7" t="s">
        <v>148</v>
      </c>
      <c r="K2371" s="7"/>
      <c r="L2371" s="7"/>
      <c r="M2371" s="7"/>
    </row>
    <row r="2372" ht="15.75" customHeight="1">
      <c r="A2372" s="7" t="s">
        <v>12490</v>
      </c>
      <c r="B2372" s="45" t="s">
        <v>12491</v>
      </c>
      <c r="C2372" s="7" t="s">
        <v>12492</v>
      </c>
      <c r="D2372" s="7" t="s">
        <v>12493</v>
      </c>
      <c r="E2372" s="7" t="s">
        <v>12494</v>
      </c>
      <c r="F2372" s="7" t="s">
        <v>12495</v>
      </c>
      <c r="G2372" s="7"/>
      <c r="H2372" s="46" t="s">
        <v>249</v>
      </c>
      <c r="I2372" s="7" t="s">
        <v>160</v>
      </c>
      <c r="J2372" s="7" t="s">
        <v>148</v>
      </c>
      <c r="K2372" s="7"/>
      <c r="L2372" s="7"/>
      <c r="M2372" s="7"/>
    </row>
    <row r="2373" ht="15.75" customHeight="1">
      <c r="A2373" s="7" t="s">
        <v>12496</v>
      </c>
      <c r="B2373" s="45" t="s">
        <v>12497</v>
      </c>
      <c r="C2373" s="7" t="s">
        <v>12498</v>
      </c>
      <c r="D2373" s="7" t="s">
        <v>12499</v>
      </c>
      <c r="E2373" s="7" t="s">
        <v>12500</v>
      </c>
      <c r="F2373" s="7" t="s">
        <v>12501</v>
      </c>
      <c r="G2373" s="7"/>
      <c r="H2373" s="46" t="s">
        <v>249</v>
      </c>
      <c r="I2373" s="7" t="s">
        <v>160</v>
      </c>
      <c r="J2373" s="7" t="s">
        <v>148</v>
      </c>
      <c r="K2373" s="7"/>
      <c r="L2373" s="7"/>
      <c r="M2373" s="7"/>
    </row>
    <row r="2374" ht="15.75" customHeight="1">
      <c r="A2374" s="7" t="s">
        <v>12502</v>
      </c>
      <c r="B2374" s="45" t="s">
        <v>12503</v>
      </c>
      <c r="C2374" s="7" t="s">
        <v>12504</v>
      </c>
      <c r="D2374" s="7" t="s">
        <v>12505</v>
      </c>
      <c r="E2374" s="7" t="s">
        <v>12500</v>
      </c>
      <c r="F2374" s="7" t="s">
        <v>12506</v>
      </c>
      <c r="G2374" s="7"/>
      <c r="H2374" s="46" t="s">
        <v>249</v>
      </c>
      <c r="I2374" s="7" t="s">
        <v>160</v>
      </c>
      <c r="J2374" s="7" t="s">
        <v>148</v>
      </c>
      <c r="K2374" s="7"/>
      <c r="L2374" s="7"/>
      <c r="M2374" s="7"/>
    </row>
    <row r="2375" ht="15.75" customHeight="1">
      <c r="A2375" s="7" t="s">
        <v>12507</v>
      </c>
      <c r="B2375" s="45" t="s">
        <v>12508</v>
      </c>
      <c r="C2375" s="7" t="s">
        <v>12504</v>
      </c>
      <c r="D2375" s="7" t="s">
        <v>12509</v>
      </c>
      <c r="E2375" s="7" t="s">
        <v>12500</v>
      </c>
      <c r="F2375" s="7" t="s">
        <v>12510</v>
      </c>
      <c r="G2375" s="7"/>
      <c r="H2375" s="46" t="s">
        <v>249</v>
      </c>
      <c r="I2375" s="7" t="s">
        <v>160</v>
      </c>
      <c r="J2375" s="7" t="s">
        <v>148</v>
      </c>
      <c r="K2375" s="7"/>
      <c r="L2375" s="7"/>
      <c r="M2375" s="7"/>
    </row>
    <row r="2376" ht="15.75" customHeight="1">
      <c r="A2376" s="7" t="s">
        <v>12511</v>
      </c>
      <c r="B2376" s="45" t="s">
        <v>12512</v>
      </c>
      <c r="C2376" s="7" t="s">
        <v>12504</v>
      </c>
      <c r="D2376" s="7" t="s">
        <v>12513</v>
      </c>
      <c r="E2376" s="7" t="s">
        <v>12500</v>
      </c>
      <c r="F2376" s="7" t="s">
        <v>12514</v>
      </c>
      <c r="G2376" s="7"/>
      <c r="H2376" s="46" t="s">
        <v>249</v>
      </c>
      <c r="I2376" s="7" t="s">
        <v>160</v>
      </c>
      <c r="J2376" s="7" t="s">
        <v>148</v>
      </c>
      <c r="K2376" s="7"/>
      <c r="L2376" s="7"/>
      <c r="M2376" s="7"/>
    </row>
    <row r="2377" ht="15.75" customHeight="1">
      <c r="A2377" s="7" t="s">
        <v>12515</v>
      </c>
      <c r="B2377" s="45" t="s">
        <v>12516</v>
      </c>
      <c r="C2377" s="7" t="s">
        <v>12504</v>
      </c>
      <c r="D2377" s="7" t="s">
        <v>12517</v>
      </c>
      <c r="E2377" s="7" t="s">
        <v>12500</v>
      </c>
      <c r="F2377" s="7" t="s">
        <v>12518</v>
      </c>
      <c r="G2377" s="7"/>
      <c r="H2377" s="46" t="s">
        <v>249</v>
      </c>
      <c r="I2377" s="7" t="s">
        <v>160</v>
      </c>
      <c r="J2377" s="7" t="s">
        <v>148</v>
      </c>
      <c r="K2377" s="7"/>
      <c r="L2377" s="7"/>
      <c r="M2377" s="7"/>
    </row>
    <row r="2378" ht="15.75" customHeight="1">
      <c r="A2378" s="7" t="s">
        <v>12519</v>
      </c>
      <c r="B2378" s="45" t="s">
        <v>12520</v>
      </c>
      <c r="C2378" s="7" t="s">
        <v>12504</v>
      </c>
      <c r="D2378" s="7" t="s">
        <v>12521</v>
      </c>
      <c r="E2378" s="7" t="s">
        <v>12500</v>
      </c>
      <c r="F2378" s="7" t="s">
        <v>12522</v>
      </c>
      <c r="G2378" s="7"/>
      <c r="H2378" s="46" t="s">
        <v>249</v>
      </c>
      <c r="I2378" s="7" t="s">
        <v>160</v>
      </c>
      <c r="J2378" s="7" t="s">
        <v>148</v>
      </c>
      <c r="K2378" s="7"/>
      <c r="L2378" s="7"/>
      <c r="M2378" s="7"/>
    </row>
    <row r="2379" ht="15.75" customHeight="1">
      <c r="A2379" s="7" t="s">
        <v>12523</v>
      </c>
      <c r="B2379" s="45" t="s">
        <v>12524</v>
      </c>
      <c r="C2379" s="7" t="s">
        <v>12504</v>
      </c>
      <c r="D2379" s="7" t="s">
        <v>12525</v>
      </c>
      <c r="E2379" s="7" t="s">
        <v>12500</v>
      </c>
      <c r="F2379" s="7" t="s">
        <v>12526</v>
      </c>
      <c r="G2379" s="7"/>
      <c r="H2379" s="46" t="s">
        <v>249</v>
      </c>
      <c r="I2379" s="7" t="s">
        <v>160</v>
      </c>
      <c r="J2379" s="7" t="s">
        <v>148</v>
      </c>
      <c r="K2379" s="7"/>
      <c r="L2379" s="7"/>
      <c r="M2379" s="7"/>
    </row>
    <row r="2380" ht="15.75" customHeight="1">
      <c r="A2380" s="7" t="s">
        <v>12527</v>
      </c>
      <c r="B2380" s="45" t="s">
        <v>12528</v>
      </c>
      <c r="C2380" s="7" t="s">
        <v>12504</v>
      </c>
      <c r="D2380" s="7" t="s">
        <v>12529</v>
      </c>
      <c r="E2380" s="7" t="s">
        <v>12500</v>
      </c>
      <c r="F2380" s="7" t="s">
        <v>12530</v>
      </c>
      <c r="G2380" s="7"/>
      <c r="H2380" s="46" t="s">
        <v>249</v>
      </c>
      <c r="I2380" s="7" t="s">
        <v>160</v>
      </c>
      <c r="J2380" s="7" t="s">
        <v>148</v>
      </c>
      <c r="K2380" s="7"/>
      <c r="L2380" s="7"/>
      <c r="M2380" s="7"/>
    </row>
    <row r="2381" ht="15.75" customHeight="1">
      <c r="A2381" s="7" t="s">
        <v>12531</v>
      </c>
      <c r="B2381" s="45" t="s">
        <v>12532</v>
      </c>
      <c r="C2381" s="7" t="s">
        <v>12533</v>
      </c>
      <c r="D2381" s="7" t="s">
        <v>12534</v>
      </c>
      <c r="E2381" s="7" t="s">
        <v>12500</v>
      </c>
      <c r="F2381" s="7" t="s">
        <v>12522</v>
      </c>
      <c r="G2381" s="7" t="s">
        <v>12535</v>
      </c>
      <c r="H2381" s="46" t="s">
        <v>249</v>
      </c>
      <c r="I2381" s="7" t="s">
        <v>160</v>
      </c>
      <c r="J2381" s="7" t="s">
        <v>148</v>
      </c>
      <c r="K2381" s="7"/>
      <c r="L2381" s="7"/>
      <c r="M2381" s="7"/>
    </row>
    <row r="2382" ht="15.75" customHeight="1">
      <c r="A2382" s="7" t="s">
        <v>12536</v>
      </c>
      <c r="B2382" s="45" t="s">
        <v>12537</v>
      </c>
      <c r="C2382" s="7" t="s">
        <v>12538</v>
      </c>
      <c r="D2382" s="7" t="s">
        <v>5688</v>
      </c>
      <c r="E2382" s="7" t="s">
        <v>5689</v>
      </c>
      <c r="F2382" s="7" t="s">
        <v>12539</v>
      </c>
      <c r="G2382" s="7"/>
      <c r="H2382" s="46" t="s">
        <v>249</v>
      </c>
      <c r="I2382" s="7" t="s">
        <v>160</v>
      </c>
      <c r="J2382" s="7" t="s">
        <v>148</v>
      </c>
      <c r="K2382" s="7"/>
      <c r="L2382" s="7"/>
      <c r="M2382" s="7"/>
    </row>
    <row r="2383" ht="15.75" customHeight="1">
      <c r="A2383" s="7" t="s">
        <v>12540</v>
      </c>
      <c r="B2383" s="45" t="s">
        <v>12541</v>
      </c>
      <c r="C2383" s="7" t="s">
        <v>12542</v>
      </c>
      <c r="D2383" s="7" t="s">
        <v>12543</v>
      </c>
      <c r="E2383" s="7" t="s">
        <v>12544</v>
      </c>
      <c r="F2383" s="7" t="s">
        <v>12545</v>
      </c>
      <c r="G2383" s="7"/>
      <c r="H2383" s="46" t="s">
        <v>249</v>
      </c>
      <c r="I2383" s="7" t="s">
        <v>160</v>
      </c>
      <c r="J2383" s="7" t="s">
        <v>148</v>
      </c>
      <c r="K2383" s="7"/>
      <c r="L2383" s="7"/>
      <c r="M2383" s="7"/>
    </row>
    <row r="2384" ht="15.75" customHeight="1">
      <c r="A2384" s="7" t="s">
        <v>12546</v>
      </c>
      <c r="B2384" s="45" t="s">
        <v>12547</v>
      </c>
      <c r="C2384" s="7" t="s">
        <v>12548</v>
      </c>
      <c r="D2384" s="7" t="s">
        <v>12549</v>
      </c>
      <c r="E2384" s="7" t="s">
        <v>12550</v>
      </c>
      <c r="F2384" s="7" t="s">
        <v>12551</v>
      </c>
      <c r="G2384" s="7"/>
      <c r="H2384" s="46" t="s">
        <v>249</v>
      </c>
      <c r="I2384" s="7" t="s">
        <v>160</v>
      </c>
      <c r="J2384" s="7" t="s">
        <v>148</v>
      </c>
      <c r="K2384" s="7"/>
      <c r="L2384" s="7"/>
      <c r="M2384" s="7"/>
    </row>
    <row r="2385" ht="15.75" customHeight="1">
      <c r="A2385" s="7" t="s">
        <v>12552</v>
      </c>
      <c r="B2385" s="45" t="s">
        <v>12553</v>
      </c>
      <c r="C2385" s="7" t="s">
        <v>12554</v>
      </c>
      <c r="D2385" s="7" t="s">
        <v>12555</v>
      </c>
      <c r="E2385" s="7" t="s">
        <v>12550</v>
      </c>
      <c r="F2385" s="7" t="s">
        <v>12551</v>
      </c>
      <c r="G2385" s="7"/>
      <c r="H2385" s="46" t="s">
        <v>249</v>
      </c>
      <c r="I2385" s="7" t="s">
        <v>160</v>
      </c>
      <c r="J2385" s="7" t="s">
        <v>148</v>
      </c>
      <c r="K2385" s="7"/>
      <c r="L2385" s="7"/>
      <c r="M2385" s="7"/>
    </row>
    <row r="2386" ht="15.75" customHeight="1">
      <c r="A2386" s="7" t="s">
        <v>12556</v>
      </c>
      <c r="B2386" s="45" t="s">
        <v>12557</v>
      </c>
      <c r="C2386" s="7" t="s">
        <v>12558</v>
      </c>
      <c r="D2386" s="7" t="s">
        <v>12559</v>
      </c>
      <c r="E2386" s="7" t="s">
        <v>12550</v>
      </c>
      <c r="F2386" s="7" t="s">
        <v>12551</v>
      </c>
      <c r="G2386" s="7"/>
      <c r="H2386" s="46" t="s">
        <v>249</v>
      </c>
      <c r="I2386" s="7" t="s">
        <v>160</v>
      </c>
      <c r="J2386" s="7" t="s">
        <v>148</v>
      </c>
      <c r="K2386" s="7"/>
      <c r="L2386" s="7"/>
      <c r="M2386" s="7"/>
    </row>
    <row r="2387" ht="15.75" customHeight="1">
      <c r="A2387" s="7" t="s">
        <v>12560</v>
      </c>
      <c r="B2387" s="45" t="s">
        <v>12561</v>
      </c>
      <c r="C2387" s="7" t="s">
        <v>12562</v>
      </c>
      <c r="D2387" s="7" t="s">
        <v>12563</v>
      </c>
      <c r="E2387" s="7" t="s">
        <v>12550</v>
      </c>
      <c r="F2387" s="7" t="s">
        <v>12551</v>
      </c>
      <c r="G2387" s="7"/>
      <c r="H2387" s="46" t="s">
        <v>249</v>
      </c>
      <c r="I2387" s="7" t="s">
        <v>160</v>
      </c>
      <c r="J2387" s="7" t="s">
        <v>148</v>
      </c>
      <c r="K2387" s="7"/>
      <c r="L2387" s="7"/>
      <c r="M2387" s="7"/>
    </row>
    <row r="2388" ht="15.75" customHeight="1">
      <c r="A2388" s="7" t="s">
        <v>12564</v>
      </c>
      <c r="B2388" s="45" t="s">
        <v>12565</v>
      </c>
      <c r="C2388" s="7" t="s">
        <v>12566</v>
      </c>
      <c r="D2388" s="7" t="s">
        <v>12567</v>
      </c>
      <c r="E2388" s="7" t="s">
        <v>12568</v>
      </c>
      <c r="F2388" s="7" t="s">
        <v>12569</v>
      </c>
      <c r="G2388" s="7" t="s">
        <v>12570</v>
      </c>
      <c r="H2388" s="46" t="s">
        <v>249</v>
      </c>
      <c r="I2388" s="7" t="s">
        <v>160</v>
      </c>
      <c r="J2388" s="7" t="s">
        <v>148</v>
      </c>
      <c r="K2388" s="7"/>
      <c r="L2388" s="7"/>
      <c r="M2388" s="7"/>
    </row>
    <row r="2389" ht="15.75" customHeight="1">
      <c r="A2389" s="7" t="s">
        <v>12571</v>
      </c>
      <c r="B2389" s="45" t="s">
        <v>12572</v>
      </c>
      <c r="C2389" s="7" t="s">
        <v>12566</v>
      </c>
      <c r="D2389" s="7" t="s">
        <v>12567</v>
      </c>
      <c r="E2389" s="7" t="s">
        <v>12568</v>
      </c>
      <c r="F2389" s="7" t="s">
        <v>12569</v>
      </c>
      <c r="G2389" s="7"/>
      <c r="H2389" s="46" t="s">
        <v>249</v>
      </c>
      <c r="I2389" s="7" t="s">
        <v>160</v>
      </c>
      <c r="J2389" s="7" t="s">
        <v>148</v>
      </c>
      <c r="K2389" s="7"/>
      <c r="L2389" s="7"/>
      <c r="M2389" s="7"/>
    </row>
    <row r="2390" ht="15.75" customHeight="1">
      <c r="A2390" s="7" t="s">
        <v>12573</v>
      </c>
      <c r="B2390" s="45" t="s">
        <v>12574</v>
      </c>
      <c r="C2390" s="7" t="s">
        <v>12575</v>
      </c>
      <c r="D2390" s="7" t="s">
        <v>12576</v>
      </c>
      <c r="E2390" s="7" t="s">
        <v>12577</v>
      </c>
      <c r="F2390" s="7" t="s">
        <v>12578</v>
      </c>
      <c r="G2390" s="7"/>
      <c r="H2390" s="46" t="s">
        <v>249</v>
      </c>
      <c r="I2390" s="7" t="s">
        <v>160</v>
      </c>
      <c r="J2390" s="7" t="s">
        <v>148</v>
      </c>
      <c r="K2390" s="7"/>
      <c r="L2390" s="7"/>
      <c r="M2390" s="7"/>
    </row>
    <row r="2391" ht="15.75" customHeight="1">
      <c r="A2391" s="7" t="s">
        <v>12579</v>
      </c>
      <c r="B2391" s="45" t="s">
        <v>12580</v>
      </c>
      <c r="C2391" s="7" t="s">
        <v>12581</v>
      </c>
      <c r="D2391" s="7" t="s">
        <v>12582</v>
      </c>
      <c r="E2391" s="7" t="s">
        <v>12583</v>
      </c>
      <c r="F2391" s="7" t="s">
        <v>12584</v>
      </c>
      <c r="G2391" s="7"/>
      <c r="H2391" s="46" t="s">
        <v>249</v>
      </c>
      <c r="I2391" s="7" t="s">
        <v>160</v>
      </c>
      <c r="J2391" s="7" t="s">
        <v>148</v>
      </c>
      <c r="K2391" s="7"/>
      <c r="L2391" s="7"/>
      <c r="M2391" s="7"/>
    </row>
    <row r="2392" ht="15.75" customHeight="1">
      <c r="A2392" s="7" t="s">
        <v>12585</v>
      </c>
      <c r="B2392" s="45" t="s">
        <v>12586</v>
      </c>
      <c r="C2392" s="7" t="s">
        <v>12587</v>
      </c>
      <c r="D2392" s="7" t="s">
        <v>12588</v>
      </c>
      <c r="E2392" s="7" t="s">
        <v>12589</v>
      </c>
      <c r="F2392" s="7" t="s">
        <v>9035</v>
      </c>
      <c r="G2392" s="7"/>
      <c r="H2392" s="46" t="s">
        <v>249</v>
      </c>
      <c r="I2392" s="7" t="s">
        <v>160</v>
      </c>
      <c r="J2392" s="7" t="s">
        <v>148</v>
      </c>
      <c r="K2392" s="7"/>
      <c r="L2392" s="7"/>
      <c r="M2392" s="7"/>
    </row>
    <row r="2393" ht="15.75" customHeight="1">
      <c r="A2393" s="7" t="s">
        <v>12590</v>
      </c>
      <c r="B2393" s="45" t="s">
        <v>12591</v>
      </c>
      <c r="C2393" s="7" t="s">
        <v>12592</v>
      </c>
      <c r="D2393" s="7" t="s">
        <v>12593</v>
      </c>
      <c r="E2393" s="7" t="s">
        <v>12594</v>
      </c>
      <c r="F2393" s="7" t="s">
        <v>12595</v>
      </c>
      <c r="G2393" s="7"/>
      <c r="H2393" s="46" t="s">
        <v>249</v>
      </c>
      <c r="I2393" s="7" t="s">
        <v>160</v>
      </c>
      <c r="J2393" s="7" t="s">
        <v>148</v>
      </c>
      <c r="K2393" s="7"/>
      <c r="L2393" s="7"/>
      <c r="M2393" s="7"/>
    </row>
    <row r="2394" ht="15.75" customHeight="1">
      <c r="A2394" s="7" t="s">
        <v>12596</v>
      </c>
      <c r="B2394" s="45" t="s">
        <v>12597</v>
      </c>
      <c r="C2394" s="7" t="s">
        <v>12598</v>
      </c>
      <c r="D2394" s="7" t="s">
        <v>12599</v>
      </c>
      <c r="E2394" s="7" t="s">
        <v>12600</v>
      </c>
      <c r="F2394" s="7" t="s">
        <v>12601</v>
      </c>
      <c r="G2394" s="7"/>
      <c r="H2394" s="46" t="s">
        <v>249</v>
      </c>
      <c r="I2394" s="7" t="s">
        <v>160</v>
      </c>
      <c r="J2394" s="7" t="s">
        <v>148</v>
      </c>
      <c r="K2394" s="7"/>
      <c r="L2394" s="7"/>
      <c r="M2394" s="7"/>
    </row>
    <row r="2395" ht="15.75" customHeight="1">
      <c r="A2395" s="7" t="s">
        <v>12602</v>
      </c>
      <c r="B2395" s="45" t="s">
        <v>12603</v>
      </c>
      <c r="C2395" s="7" t="s">
        <v>12604</v>
      </c>
      <c r="D2395" s="7" t="s">
        <v>12605</v>
      </c>
      <c r="E2395" s="7" t="s">
        <v>12606</v>
      </c>
      <c r="F2395" s="7" t="s">
        <v>12607</v>
      </c>
      <c r="G2395" s="7"/>
      <c r="H2395" s="46" t="s">
        <v>249</v>
      </c>
      <c r="I2395" s="7" t="s">
        <v>160</v>
      </c>
      <c r="J2395" s="7" t="s">
        <v>148</v>
      </c>
      <c r="K2395" s="7"/>
      <c r="L2395" s="7"/>
      <c r="M2395" s="7"/>
    </row>
    <row r="2396" ht="15.75" customHeight="1">
      <c r="A2396" s="7" t="s">
        <v>12608</v>
      </c>
      <c r="B2396" s="45" t="s">
        <v>12609</v>
      </c>
      <c r="C2396" s="7" t="s">
        <v>12604</v>
      </c>
      <c r="D2396" s="7" t="s">
        <v>12610</v>
      </c>
      <c r="E2396" s="7" t="s">
        <v>12611</v>
      </c>
      <c r="F2396" s="7" t="s">
        <v>12612</v>
      </c>
      <c r="G2396" s="7"/>
      <c r="H2396" s="46" t="s">
        <v>249</v>
      </c>
      <c r="I2396" s="7" t="s">
        <v>160</v>
      </c>
      <c r="J2396" s="7" t="s">
        <v>148</v>
      </c>
      <c r="K2396" s="7"/>
      <c r="L2396" s="7"/>
      <c r="M2396" s="7"/>
    </row>
    <row r="2397" ht="15.75" customHeight="1">
      <c r="A2397" s="7" t="s">
        <v>12613</v>
      </c>
      <c r="B2397" s="45" t="s">
        <v>12614</v>
      </c>
      <c r="C2397" s="7" t="s">
        <v>12604</v>
      </c>
      <c r="D2397" s="7" t="s">
        <v>12615</v>
      </c>
      <c r="E2397" s="7" t="s">
        <v>12616</v>
      </c>
      <c r="F2397" s="7" t="s">
        <v>12617</v>
      </c>
      <c r="G2397" s="7"/>
      <c r="H2397" s="46" t="s">
        <v>249</v>
      </c>
      <c r="I2397" s="7" t="s">
        <v>160</v>
      </c>
      <c r="J2397" s="7" t="s">
        <v>148</v>
      </c>
      <c r="K2397" s="7"/>
      <c r="L2397" s="7"/>
      <c r="M2397" s="7"/>
    </row>
    <row r="2398" ht="15.75" customHeight="1">
      <c r="A2398" s="7" t="s">
        <v>12618</v>
      </c>
      <c r="B2398" s="45" t="s">
        <v>12619</v>
      </c>
      <c r="C2398" s="7" t="s">
        <v>12620</v>
      </c>
      <c r="D2398" s="7" t="s">
        <v>12621</v>
      </c>
      <c r="E2398" s="7" t="s">
        <v>12622</v>
      </c>
      <c r="F2398" s="7" t="s">
        <v>12623</v>
      </c>
      <c r="G2398" s="7"/>
      <c r="H2398" s="46" t="s">
        <v>249</v>
      </c>
      <c r="I2398" s="7" t="s">
        <v>160</v>
      </c>
      <c r="J2398" s="7" t="s">
        <v>148</v>
      </c>
      <c r="K2398" s="7"/>
      <c r="L2398" s="7"/>
      <c r="M2398" s="7"/>
    </row>
    <row r="2399" ht="15.75" customHeight="1">
      <c r="A2399" s="7" t="s">
        <v>12624</v>
      </c>
      <c r="B2399" s="45" t="s">
        <v>12625</v>
      </c>
      <c r="C2399" s="7" t="s">
        <v>592</v>
      </c>
      <c r="D2399" s="7" t="s">
        <v>12626</v>
      </c>
      <c r="E2399" s="7" t="s">
        <v>553</v>
      </c>
      <c r="F2399" s="7" t="s">
        <v>594</v>
      </c>
      <c r="G2399" s="7"/>
      <c r="H2399" s="46" t="s">
        <v>249</v>
      </c>
      <c r="I2399" s="7" t="s">
        <v>160</v>
      </c>
      <c r="J2399" s="7" t="s">
        <v>148</v>
      </c>
      <c r="K2399" s="7"/>
      <c r="L2399" s="7"/>
      <c r="M2399" s="7"/>
    </row>
    <row r="2400" ht="15.75" customHeight="1">
      <c r="A2400" s="7" t="s">
        <v>12627</v>
      </c>
      <c r="B2400" s="45" t="s">
        <v>12628</v>
      </c>
      <c r="C2400" s="7" t="s">
        <v>12629</v>
      </c>
      <c r="D2400" s="7" t="s">
        <v>12630</v>
      </c>
      <c r="E2400" s="7" t="s">
        <v>12631</v>
      </c>
      <c r="F2400" s="7" t="s">
        <v>12632</v>
      </c>
      <c r="G2400" s="7"/>
      <c r="H2400" s="46" t="s">
        <v>249</v>
      </c>
      <c r="I2400" s="7" t="s">
        <v>160</v>
      </c>
      <c r="J2400" s="7" t="s">
        <v>148</v>
      </c>
      <c r="K2400" s="7"/>
      <c r="L2400" s="7"/>
      <c r="M2400" s="7"/>
    </row>
    <row r="2401" ht="15.75" customHeight="1">
      <c r="A2401" s="7" t="s">
        <v>12633</v>
      </c>
      <c r="B2401" s="45" t="s">
        <v>12634</v>
      </c>
      <c r="C2401" s="7" t="s">
        <v>12635</v>
      </c>
      <c r="D2401" s="7" t="s">
        <v>12636</v>
      </c>
      <c r="E2401" s="7" t="s">
        <v>12637</v>
      </c>
      <c r="F2401" s="7" t="s">
        <v>12638</v>
      </c>
      <c r="G2401" s="7"/>
      <c r="H2401" s="46" t="s">
        <v>249</v>
      </c>
      <c r="I2401" s="7" t="s">
        <v>160</v>
      </c>
      <c r="J2401" s="7" t="s">
        <v>148</v>
      </c>
      <c r="K2401" s="7"/>
      <c r="L2401" s="7"/>
      <c r="M2401" s="7"/>
    </row>
    <row r="2402" ht="15.75" customHeight="1">
      <c r="A2402" s="7" t="s">
        <v>12639</v>
      </c>
      <c r="B2402" s="45" t="s">
        <v>12640</v>
      </c>
      <c r="C2402" s="7" t="s">
        <v>12641</v>
      </c>
      <c r="D2402" s="7" t="s">
        <v>12642</v>
      </c>
      <c r="E2402" s="7" t="s">
        <v>12643</v>
      </c>
      <c r="F2402" s="7" t="s">
        <v>12644</v>
      </c>
      <c r="G2402" s="7" t="s">
        <v>12645</v>
      </c>
      <c r="H2402" s="46" t="s">
        <v>249</v>
      </c>
      <c r="I2402" s="7" t="s">
        <v>160</v>
      </c>
      <c r="J2402" s="7" t="s">
        <v>148</v>
      </c>
      <c r="K2402" s="7"/>
      <c r="L2402" s="7"/>
      <c r="M2402" s="7"/>
    </row>
    <row r="2403" ht="15.75" customHeight="1">
      <c r="A2403" s="7" t="s">
        <v>12646</v>
      </c>
      <c r="B2403" s="45" t="s">
        <v>12647</v>
      </c>
      <c r="C2403" s="7" t="s">
        <v>12325</v>
      </c>
      <c r="D2403" s="7" t="s">
        <v>12648</v>
      </c>
      <c r="E2403" s="7" t="s">
        <v>12327</v>
      </c>
      <c r="F2403" s="7" t="s">
        <v>12328</v>
      </c>
      <c r="G2403" s="7"/>
      <c r="H2403" s="46" t="s">
        <v>249</v>
      </c>
      <c r="I2403" s="7" t="s">
        <v>160</v>
      </c>
      <c r="J2403" s="7" t="s">
        <v>148</v>
      </c>
      <c r="K2403" s="7"/>
      <c r="L2403" s="7"/>
      <c r="M2403" s="7"/>
    </row>
    <row r="2404" ht="15.75" customHeight="1">
      <c r="A2404" s="7" t="s">
        <v>12649</v>
      </c>
      <c r="B2404" s="45" t="s">
        <v>12650</v>
      </c>
      <c r="C2404" s="7" t="s">
        <v>12651</v>
      </c>
      <c r="D2404" s="7" t="s">
        <v>12652</v>
      </c>
      <c r="E2404" s="7" t="s">
        <v>12653</v>
      </c>
      <c r="F2404" s="7" t="s">
        <v>12654</v>
      </c>
      <c r="G2404" s="7"/>
      <c r="H2404" s="46" t="s">
        <v>249</v>
      </c>
      <c r="I2404" s="7" t="s">
        <v>160</v>
      </c>
      <c r="J2404" s="7" t="s">
        <v>148</v>
      </c>
      <c r="K2404" s="7"/>
      <c r="L2404" s="7"/>
      <c r="M2404" s="7"/>
    </row>
    <row r="2405" ht="15.75" customHeight="1">
      <c r="A2405" s="7" t="s">
        <v>12655</v>
      </c>
      <c r="B2405" s="45" t="s">
        <v>12656</v>
      </c>
      <c r="C2405" s="7" t="s">
        <v>12657</v>
      </c>
      <c r="D2405" s="7" t="s">
        <v>12658</v>
      </c>
      <c r="E2405" s="7" t="s">
        <v>12659</v>
      </c>
      <c r="F2405" s="7" t="s">
        <v>12660</v>
      </c>
      <c r="G2405" s="7"/>
      <c r="H2405" s="46" t="s">
        <v>249</v>
      </c>
      <c r="I2405" s="7" t="s">
        <v>160</v>
      </c>
      <c r="J2405" s="7" t="s">
        <v>148</v>
      </c>
      <c r="K2405" s="7"/>
      <c r="L2405" s="7"/>
      <c r="M2405" s="7"/>
    </row>
    <row r="2406" ht="15.75" customHeight="1">
      <c r="A2406" s="7" t="s">
        <v>12661</v>
      </c>
      <c r="B2406" s="45" t="s">
        <v>12662</v>
      </c>
      <c r="C2406" s="7" t="s">
        <v>12663</v>
      </c>
      <c r="D2406" s="7" t="s">
        <v>12664</v>
      </c>
      <c r="E2406" s="7" t="s">
        <v>12665</v>
      </c>
      <c r="F2406" s="7" t="s">
        <v>12666</v>
      </c>
      <c r="G2406" s="7"/>
      <c r="H2406" s="46" t="s">
        <v>249</v>
      </c>
      <c r="I2406" s="7" t="s">
        <v>160</v>
      </c>
      <c r="J2406" s="7" t="s">
        <v>148</v>
      </c>
      <c r="K2406" s="7"/>
      <c r="L2406" s="7"/>
      <c r="M2406" s="7"/>
    </row>
    <row r="2407" ht="15.75" customHeight="1">
      <c r="A2407" s="7" t="s">
        <v>12667</v>
      </c>
      <c r="B2407" s="45" t="s">
        <v>12668</v>
      </c>
      <c r="C2407" s="7" t="s">
        <v>12669</v>
      </c>
      <c r="D2407" s="7" t="s">
        <v>12670</v>
      </c>
      <c r="E2407" s="7" t="s">
        <v>12671</v>
      </c>
      <c r="F2407" s="7" t="s">
        <v>12672</v>
      </c>
      <c r="G2407" s="7"/>
      <c r="H2407" s="46" t="s">
        <v>249</v>
      </c>
      <c r="I2407" s="7" t="s">
        <v>160</v>
      </c>
      <c r="J2407" s="7" t="s">
        <v>148</v>
      </c>
      <c r="K2407" s="7"/>
      <c r="L2407" s="7"/>
      <c r="M2407" s="7"/>
    </row>
    <row r="2408" ht="15.75" customHeight="1">
      <c r="A2408" s="7" t="s">
        <v>12673</v>
      </c>
      <c r="B2408" s="45" t="s">
        <v>12674</v>
      </c>
      <c r="C2408" s="7" t="s">
        <v>12675</v>
      </c>
      <c r="D2408" s="7" t="s">
        <v>12676</v>
      </c>
      <c r="E2408" s="7" t="s">
        <v>12677</v>
      </c>
      <c r="F2408" s="7" t="s">
        <v>12678</v>
      </c>
      <c r="G2408" s="7"/>
      <c r="H2408" s="46" t="s">
        <v>249</v>
      </c>
      <c r="I2408" s="7" t="s">
        <v>160</v>
      </c>
      <c r="J2408" s="7" t="s">
        <v>148</v>
      </c>
      <c r="K2408" s="7"/>
      <c r="L2408" s="7"/>
      <c r="M2408" s="7"/>
    </row>
    <row r="2409" ht="15.75" customHeight="1">
      <c r="A2409" s="7" t="s">
        <v>12679</v>
      </c>
      <c r="B2409" s="45" t="s">
        <v>12680</v>
      </c>
      <c r="C2409" s="7" t="s">
        <v>12681</v>
      </c>
      <c r="D2409" s="7" t="s">
        <v>12682</v>
      </c>
      <c r="E2409" s="7" t="s">
        <v>12683</v>
      </c>
      <c r="F2409" s="7" t="s">
        <v>12684</v>
      </c>
      <c r="G2409" s="7"/>
      <c r="H2409" s="46" t="s">
        <v>249</v>
      </c>
      <c r="I2409" s="7" t="s">
        <v>160</v>
      </c>
      <c r="J2409" s="7" t="s">
        <v>148</v>
      </c>
      <c r="K2409" s="7"/>
      <c r="L2409" s="7"/>
      <c r="M2409" s="7"/>
    </row>
    <row r="2410" ht="15.75" customHeight="1">
      <c r="A2410" s="7" t="s">
        <v>12685</v>
      </c>
      <c r="B2410" s="45" t="s">
        <v>12686</v>
      </c>
      <c r="C2410" s="7" t="s">
        <v>12687</v>
      </c>
      <c r="D2410" s="7" t="s">
        <v>12688</v>
      </c>
      <c r="E2410" s="7" t="s">
        <v>12689</v>
      </c>
      <c r="F2410" s="7" t="s">
        <v>12690</v>
      </c>
      <c r="G2410" s="7"/>
      <c r="H2410" s="46" t="s">
        <v>249</v>
      </c>
      <c r="I2410" s="7" t="s">
        <v>160</v>
      </c>
      <c r="J2410" s="7" t="s">
        <v>148</v>
      </c>
      <c r="K2410" s="7"/>
      <c r="L2410" s="7"/>
      <c r="M2410" s="7"/>
    </row>
    <row r="2411" ht="15.75" customHeight="1">
      <c r="A2411" s="7" t="s">
        <v>12691</v>
      </c>
      <c r="B2411" s="45" t="s">
        <v>12692</v>
      </c>
      <c r="C2411" s="7" t="s">
        <v>12693</v>
      </c>
      <c r="D2411" s="7" t="s">
        <v>12694</v>
      </c>
      <c r="E2411" s="7" t="s">
        <v>12695</v>
      </c>
      <c r="F2411" s="7" t="s">
        <v>12696</v>
      </c>
      <c r="G2411" s="7"/>
      <c r="H2411" s="46" t="s">
        <v>249</v>
      </c>
      <c r="I2411" s="7" t="s">
        <v>160</v>
      </c>
      <c r="J2411" s="7" t="s">
        <v>148</v>
      </c>
      <c r="K2411" s="7"/>
      <c r="L2411" s="7"/>
      <c r="M2411" s="7"/>
    </row>
    <row r="2412" ht="15.75" customHeight="1">
      <c r="A2412" s="7" t="s">
        <v>12697</v>
      </c>
      <c r="B2412" s="45" t="s">
        <v>12698</v>
      </c>
      <c r="C2412" s="7" t="s">
        <v>12699</v>
      </c>
      <c r="D2412" s="7" t="s">
        <v>12700</v>
      </c>
      <c r="E2412" s="7" t="s">
        <v>12701</v>
      </c>
      <c r="F2412" s="7" t="s">
        <v>12702</v>
      </c>
      <c r="G2412" s="7"/>
      <c r="H2412" s="46" t="s">
        <v>249</v>
      </c>
      <c r="I2412" s="7" t="s">
        <v>160</v>
      </c>
      <c r="J2412" s="7" t="s">
        <v>148</v>
      </c>
      <c r="K2412" s="7"/>
      <c r="L2412" s="7"/>
      <c r="M2412" s="7"/>
    </row>
    <row r="2413" ht="15.75" customHeight="1">
      <c r="A2413" s="7" t="s">
        <v>12703</v>
      </c>
      <c r="B2413" s="45" t="s">
        <v>12704</v>
      </c>
      <c r="C2413" s="7" t="s">
        <v>12705</v>
      </c>
      <c r="D2413" s="7" t="s">
        <v>12706</v>
      </c>
      <c r="E2413" s="7" t="s">
        <v>12707</v>
      </c>
      <c r="F2413" s="7" t="s">
        <v>12708</v>
      </c>
      <c r="G2413" s="7"/>
      <c r="H2413" s="46" t="s">
        <v>249</v>
      </c>
      <c r="I2413" s="7" t="s">
        <v>160</v>
      </c>
      <c r="J2413" s="7" t="s">
        <v>148</v>
      </c>
      <c r="K2413" s="7"/>
      <c r="L2413" s="7"/>
      <c r="M2413" s="7"/>
    </row>
    <row r="2414" ht="15.75" customHeight="1">
      <c r="A2414" s="7" t="s">
        <v>12709</v>
      </c>
      <c r="B2414" s="45" t="s">
        <v>12710</v>
      </c>
      <c r="C2414" s="7" t="s">
        <v>12711</v>
      </c>
      <c r="D2414" s="7" t="s">
        <v>12712</v>
      </c>
      <c r="E2414" s="7" t="s">
        <v>12713</v>
      </c>
      <c r="F2414" s="7" t="s">
        <v>3776</v>
      </c>
      <c r="G2414" s="7"/>
      <c r="H2414" s="46" t="s">
        <v>249</v>
      </c>
      <c r="I2414" s="7" t="s">
        <v>160</v>
      </c>
      <c r="J2414" s="7" t="s">
        <v>148</v>
      </c>
      <c r="K2414" s="7"/>
      <c r="L2414" s="7"/>
      <c r="M2414" s="7"/>
    </row>
    <row r="2415" ht="15.75" customHeight="1">
      <c r="A2415" s="7" t="s">
        <v>12714</v>
      </c>
      <c r="B2415" s="45" t="s">
        <v>12715</v>
      </c>
      <c r="C2415" s="7" t="s">
        <v>12711</v>
      </c>
      <c r="D2415" s="7" t="s">
        <v>12716</v>
      </c>
      <c r="E2415" s="7" t="s">
        <v>3775</v>
      </c>
      <c r="F2415" s="7" t="s">
        <v>3776</v>
      </c>
      <c r="G2415" s="7"/>
      <c r="H2415" s="46" t="s">
        <v>249</v>
      </c>
      <c r="I2415" s="7" t="s">
        <v>160</v>
      </c>
      <c r="J2415" s="7" t="s">
        <v>148</v>
      </c>
      <c r="K2415" s="7"/>
      <c r="L2415" s="7"/>
      <c r="M2415" s="7"/>
    </row>
    <row r="2416" ht="15.75" customHeight="1">
      <c r="A2416" s="7" t="s">
        <v>12717</v>
      </c>
      <c r="B2416" s="45" t="s">
        <v>12718</v>
      </c>
      <c r="C2416" s="7" t="s">
        <v>12719</v>
      </c>
      <c r="D2416" s="7" t="s">
        <v>12720</v>
      </c>
      <c r="E2416" s="7" t="s">
        <v>3775</v>
      </c>
      <c r="F2416" s="7" t="s">
        <v>3776</v>
      </c>
      <c r="G2416" s="7"/>
      <c r="H2416" s="46" t="s">
        <v>249</v>
      </c>
      <c r="I2416" s="7" t="s">
        <v>160</v>
      </c>
      <c r="J2416" s="7" t="s">
        <v>148</v>
      </c>
      <c r="K2416" s="7"/>
      <c r="L2416" s="7"/>
      <c r="M2416" s="7"/>
    </row>
    <row r="2417" ht="15.75" customHeight="1">
      <c r="A2417" s="7" t="s">
        <v>12721</v>
      </c>
      <c r="B2417" s="45" t="s">
        <v>12722</v>
      </c>
      <c r="C2417" s="7" t="s">
        <v>12711</v>
      </c>
      <c r="D2417" s="7" t="s">
        <v>12723</v>
      </c>
      <c r="E2417" s="7" t="s">
        <v>3775</v>
      </c>
      <c r="F2417" s="7" t="s">
        <v>3776</v>
      </c>
      <c r="G2417" s="7"/>
      <c r="H2417" s="46" t="s">
        <v>249</v>
      </c>
      <c r="I2417" s="7" t="s">
        <v>160</v>
      </c>
      <c r="J2417" s="7" t="s">
        <v>148</v>
      </c>
      <c r="K2417" s="7"/>
      <c r="L2417" s="7"/>
      <c r="M2417" s="7"/>
    </row>
    <row r="2418" ht="15.75" customHeight="1">
      <c r="A2418" s="7" t="s">
        <v>12724</v>
      </c>
      <c r="B2418" s="45" t="s">
        <v>12725</v>
      </c>
      <c r="C2418" s="7" t="s">
        <v>12726</v>
      </c>
      <c r="D2418" s="7" t="s">
        <v>12727</v>
      </c>
      <c r="E2418" s="7" t="s">
        <v>12728</v>
      </c>
      <c r="F2418" s="7" t="s">
        <v>12729</v>
      </c>
      <c r="G2418" s="7"/>
      <c r="H2418" s="46" t="s">
        <v>249</v>
      </c>
      <c r="I2418" s="7" t="s">
        <v>160</v>
      </c>
      <c r="J2418" s="7" t="s">
        <v>148</v>
      </c>
      <c r="K2418" s="7"/>
      <c r="L2418" s="7"/>
      <c r="M2418" s="7"/>
    </row>
    <row r="2419" ht="15.75" customHeight="1">
      <c r="A2419" s="7" t="s">
        <v>12730</v>
      </c>
      <c r="B2419" s="45" t="s">
        <v>12731</v>
      </c>
      <c r="C2419" s="7" t="s">
        <v>12732</v>
      </c>
      <c r="D2419" s="7" t="s">
        <v>12733</v>
      </c>
      <c r="E2419" s="7" t="s">
        <v>12734</v>
      </c>
      <c r="F2419" s="7" t="s">
        <v>3457</v>
      </c>
      <c r="G2419" s="7"/>
      <c r="H2419" s="46" t="s">
        <v>249</v>
      </c>
      <c r="I2419" s="7" t="s">
        <v>160</v>
      </c>
      <c r="J2419" s="7" t="s">
        <v>148</v>
      </c>
      <c r="K2419" s="7"/>
      <c r="L2419" s="7"/>
      <c r="M2419" s="7"/>
    </row>
    <row r="2420" ht="15.75" customHeight="1">
      <c r="A2420" s="7" t="s">
        <v>12735</v>
      </c>
      <c r="B2420" s="45" t="s">
        <v>12736</v>
      </c>
      <c r="C2420" s="7" t="s">
        <v>12737</v>
      </c>
      <c r="D2420" s="7" t="s">
        <v>12738</v>
      </c>
      <c r="E2420" s="7" t="s">
        <v>12739</v>
      </c>
      <c r="F2420" s="7" t="s">
        <v>12740</v>
      </c>
      <c r="G2420" s="7" t="s">
        <v>12741</v>
      </c>
      <c r="H2420" s="46" t="s">
        <v>249</v>
      </c>
      <c r="I2420" s="7" t="s">
        <v>160</v>
      </c>
      <c r="J2420" s="7" t="s">
        <v>148</v>
      </c>
      <c r="K2420" s="7"/>
      <c r="L2420" s="7"/>
      <c r="M2420" s="7"/>
    </row>
    <row r="2421" ht="15.75" customHeight="1">
      <c r="A2421" s="7" t="s">
        <v>12742</v>
      </c>
      <c r="B2421" s="45" t="s">
        <v>12743</v>
      </c>
      <c r="C2421" s="7" t="s">
        <v>10659</v>
      </c>
      <c r="D2421" s="7" t="s">
        <v>12744</v>
      </c>
      <c r="E2421" s="7" t="s">
        <v>12745</v>
      </c>
      <c r="F2421" s="7" t="s">
        <v>12746</v>
      </c>
      <c r="G2421" s="7"/>
      <c r="H2421" s="46" t="s">
        <v>249</v>
      </c>
      <c r="I2421" s="7" t="s">
        <v>160</v>
      </c>
      <c r="J2421" s="7" t="s">
        <v>148</v>
      </c>
      <c r="K2421" s="7"/>
      <c r="L2421" s="7"/>
      <c r="M2421" s="7"/>
    </row>
    <row r="2422" ht="15.75" customHeight="1">
      <c r="A2422" s="7" t="s">
        <v>12747</v>
      </c>
      <c r="B2422" s="45" t="s">
        <v>12748</v>
      </c>
      <c r="C2422" s="7" t="s">
        <v>12749</v>
      </c>
      <c r="D2422" s="7" t="s">
        <v>12750</v>
      </c>
      <c r="E2422" s="7" t="s">
        <v>12751</v>
      </c>
      <c r="F2422" s="7" t="s">
        <v>12752</v>
      </c>
      <c r="G2422" s="7"/>
      <c r="H2422" s="46" t="s">
        <v>249</v>
      </c>
      <c r="I2422" s="7" t="s">
        <v>160</v>
      </c>
      <c r="J2422" s="7" t="s">
        <v>148</v>
      </c>
      <c r="K2422" s="7"/>
      <c r="L2422" s="7"/>
      <c r="M2422" s="7"/>
    </row>
    <row r="2423" ht="15.75" customHeight="1">
      <c r="A2423" s="7" t="s">
        <v>12753</v>
      </c>
      <c r="B2423" s="45" t="s">
        <v>12754</v>
      </c>
      <c r="C2423" s="7" t="s">
        <v>10659</v>
      </c>
      <c r="D2423" s="7" t="s">
        <v>12755</v>
      </c>
      <c r="E2423" s="7" t="s">
        <v>12745</v>
      </c>
      <c r="F2423" s="7" t="s">
        <v>12752</v>
      </c>
      <c r="G2423" s="7"/>
      <c r="H2423" s="46" t="s">
        <v>249</v>
      </c>
      <c r="I2423" s="7" t="s">
        <v>160</v>
      </c>
      <c r="J2423" s="7" t="s">
        <v>148</v>
      </c>
      <c r="K2423" s="7"/>
      <c r="L2423" s="7"/>
      <c r="M2423" s="7"/>
    </row>
    <row r="2424" ht="15.75" customHeight="1">
      <c r="A2424" s="7" t="s">
        <v>12756</v>
      </c>
      <c r="B2424" s="45" t="s">
        <v>12757</v>
      </c>
      <c r="C2424" s="7" t="s">
        <v>12758</v>
      </c>
      <c r="D2424" s="7" t="s">
        <v>619</v>
      </c>
      <c r="E2424" s="7" t="s">
        <v>620</v>
      </c>
      <c r="F2424" s="7" t="s">
        <v>621</v>
      </c>
      <c r="G2424" s="7"/>
      <c r="H2424" s="46" t="s">
        <v>249</v>
      </c>
      <c r="I2424" s="7" t="s">
        <v>160</v>
      </c>
      <c r="J2424" s="7" t="s">
        <v>148</v>
      </c>
      <c r="K2424" s="7"/>
      <c r="L2424" s="7"/>
      <c r="M2424" s="7"/>
    </row>
    <row r="2425" ht="15.75" customHeight="1">
      <c r="A2425" s="7" t="s">
        <v>12759</v>
      </c>
      <c r="B2425" s="45" t="s">
        <v>12760</v>
      </c>
      <c r="C2425" s="7" t="s">
        <v>12761</v>
      </c>
      <c r="D2425" s="7" t="s">
        <v>12762</v>
      </c>
      <c r="E2425" s="7" t="s">
        <v>12763</v>
      </c>
      <c r="F2425" s="7" t="s">
        <v>12764</v>
      </c>
      <c r="G2425" s="7"/>
      <c r="H2425" s="46" t="s">
        <v>249</v>
      </c>
      <c r="I2425" s="7" t="s">
        <v>160</v>
      </c>
      <c r="J2425" s="7" t="s">
        <v>148</v>
      </c>
      <c r="K2425" s="7"/>
      <c r="L2425" s="7"/>
      <c r="M2425" s="7"/>
    </row>
    <row r="2426" ht="15.75" customHeight="1">
      <c r="A2426" s="7" t="s">
        <v>12765</v>
      </c>
      <c r="B2426" s="45" t="s">
        <v>12766</v>
      </c>
      <c r="C2426" s="7" t="s">
        <v>12767</v>
      </c>
      <c r="D2426" s="7" t="s">
        <v>12768</v>
      </c>
      <c r="E2426" s="7"/>
      <c r="F2426" s="7" t="s">
        <v>12769</v>
      </c>
      <c r="G2426" s="7"/>
      <c r="H2426" s="46" t="s">
        <v>249</v>
      </c>
      <c r="I2426" s="7" t="s">
        <v>160</v>
      </c>
      <c r="J2426" s="7" t="s">
        <v>148</v>
      </c>
      <c r="K2426" s="7"/>
      <c r="L2426" s="7"/>
      <c r="M2426" s="7"/>
    </row>
    <row r="2427" ht="15.75" customHeight="1">
      <c r="A2427" s="7" t="s">
        <v>12770</v>
      </c>
      <c r="B2427" s="45" t="s">
        <v>12771</v>
      </c>
      <c r="C2427" s="7" t="s">
        <v>12772</v>
      </c>
      <c r="D2427" s="7" t="s">
        <v>12773</v>
      </c>
      <c r="E2427" s="7" t="s">
        <v>12774</v>
      </c>
      <c r="F2427" s="7" t="s">
        <v>12769</v>
      </c>
      <c r="G2427" s="7" t="s">
        <v>12775</v>
      </c>
      <c r="H2427" s="46" t="s">
        <v>249</v>
      </c>
      <c r="I2427" s="7" t="s">
        <v>160</v>
      </c>
      <c r="J2427" s="7" t="s">
        <v>148</v>
      </c>
      <c r="K2427" s="7"/>
      <c r="L2427" s="7"/>
      <c r="M2427" s="7"/>
    </row>
    <row r="2428" ht="15.75" customHeight="1">
      <c r="A2428" s="7" t="s">
        <v>12776</v>
      </c>
      <c r="B2428" s="45" t="s">
        <v>12777</v>
      </c>
      <c r="C2428" s="7" t="s">
        <v>12778</v>
      </c>
      <c r="D2428" s="7" t="s">
        <v>11657</v>
      </c>
      <c r="E2428" s="7" t="s">
        <v>12779</v>
      </c>
      <c r="F2428" s="7" t="s">
        <v>12780</v>
      </c>
      <c r="G2428" s="7"/>
      <c r="H2428" s="46" t="s">
        <v>249</v>
      </c>
      <c r="I2428" s="7" t="s">
        <v>160</v>
      </c>
      <c r="J2428" s="7" t="s">
        <v>148</v>
      </c>
      <c r="K2428" s="7"/>
      <c r="L2428" s="7"/>
      <c r="M2428" s="7"/>
    </row>
    <row r="2429" ht="15.75" customHeight="1">
      <c r="A2429" s="7" t="s">
        <v>12781</v>
      </c>
      <c r="B2429" s="45" t="s">
        <v>12782</v>
      </c>
      <c r="C2429" s="7" t="s">
        <v>12783</v>
      </c>
      <c r="D2429" s="7" t="s">
        <v>12784</v>
      </c>
      <c r="E2429" s="7" t="s">
        <v>12785</v>
      </c>
      <c r="F2429" s="7" t="s">
        <v>12786</v>
      </c>
      <c r="G2429" s="7"/>
      <c r="H2429" s="46" t="s">
        <v>249</v>
      </c>
      <c r="I2429" s="7" t="s">
        <v>160</v>
      </c>
      <c r="J2429" s="7" t="s">
        <v>148</v>
      </c>
      <c r="K2429" s="7"/>
      <c r="L2429" s="7"/>
      <c r="M2429" s="7"/>
    </row>
    <row r="2430" ht="15.75" customHeight="1">
      <c r="A2430" s="7" t="s">
        <v>12787</v>
      </c>
      <c r="B2430" s="45" t="s">
        <v>12788</v>
      </c>
      <c r="C2430" s="7" t="s">
        <v>12789</v>
      </c>
      <c r="D2430" s="7" t="s">
        <v>12790</v>
      </c>
      <c r="E2430" s="7" t="s">
        <v>12791</v>
      </c>
      <c r="F2430" s="7" t="s">
        <v>12792</v>
      </c>
      <c r="G2430" s="7"/>
      <c r="H2430" s="46" t="s">
        <v>249</v>
      </c>
      <c r="I2430" s="7" t="s">
        <v>160</v>
      </c>
      <c r="J2430" s="7" t="s">
        <v>148</v>
      </c>
      <c r="K2430" s="7"/>
      <c r="L2430" s="7"/>
      <c r="M2430" s="7"/>
    </row>
    <row r="2431" ht="15.75" customHeight="1">
      <c r="A2431" s="7" t="s">
        <v>12793</v>
      </c>
      <c r="B2431" s="45" t="s">
        <v>12794</v>
      </c>
      <c r="C2431" s="7" t="s">
        <v>10808</v>
      </c>
      <c r="D2431" s="7" t="s">
        <v>12795</v>
      </c>
      <c r="E2431" s="7" t="s">
        <v>10815</v>
      </c>
      <c r="F2431" s="7" t="s">
        <v>10811</v>
      </c>
      <c r="G2431" s="7"/>
      <c r="H2431" s="46" t="s">
        <v>249</v>
      </c>
      <c r="I2431" s="7" t="s">
        <v>160</v>
      </c>
      <c r="J2431" s="7" t="s">
        <v>148</v>
      </c>
      <c r="K2431" s="7"/>
      <c r="L2431" s="7"/>
      <c r="M2431" s="7"/>
    </row>
    <row r="2432" ht="15.75" customHeight="1">
      <c r="A2432" s="7" t="s">
        <v>12796</v>
      </c>
      <c r="B2432" s="45" t="s">
        <v>12797</v>
      </c>
      <c r="C2432" s="7" t="s">
        <v>12798</v>
      </c>
      <c r="D2432" s="7" t="s">
        <v>12799</v>
      </c>
      <c r="E2432" s="7" t="s">
        <v>5880</v>
      </c>
      <c r="F2432" s="7" t="s">
        <v>12800</v>
      </c>
      <c r="G2432" s="7" t="s">
        <v>12801</v>
      </c>
      <c r="H2432" s="46" t="s">
        <v>249</v>
      </c>
      <c r="I2432" s="7" t="s">
        <v>160</v>
      </c>
      <c r="J2432" s="7" t="s">
        <v>148</v>
      </c>
      <c r="K2432" s="7"/>
      <c r="L2432" s="7"/>
      <c r="M2432" s="7"/>
    </row>
    <row r="2433" ht="15.75" customHeight="1">
      <c r="A2433" s="7" t="s">
        <v>12802</v>
      </c>
      <c r="B2433" s="45" t="s">
        <v>12803</v>
      </c>
      <c r="C2433" s="7" t="s">
        <v>12804</v>
      </c>
      <c r="D2433" s="7" t="s">
        <v>12805</v>
      </c>
      <c r="E2433" s="7" t="s">
        <v>553</v>
      </c>
      <c r="F2433" s="7" t="s">
        <v>594</v>
      </c>
      <c r="G2433" s="7"/>
      <c r="H2433" s="46" t="s">
        <v>249</v>
      </c>
      <c r="I2433" s="7" t="s">
        <v>160</v>
      </c>
      <c r="J2433" s="7" t="s">
        <v>148</v>
      </c>
      <c r="K2433" s="7"/>
      <c r="L2433" s="7"/>
      <c r="M2433" s="7"/>
    </row>
    <row r="2434" ht="15.75" customHeight="1">
      <c r="A2434" s="7" t="s">
        <v>12806</v>
      </c>
      <c r="B2434" s="45" t="s">
        <v>12807</v>
      </c>
      <c r="C2434" s="7" t="s">
        <v>12808</v>
      </c>
      <c r="D2434" s="7" t="s">
        <v>12809</v>
      </c>
      <c r="E2434" s="7" t="s">
        <v>12810</v>
      </c>
      <c r="F2434" s="7" t="s">
        <v>12811</v>
      </c>
      <c r="G2434" s="7"/>
      <c r="H2434" s="46" t="s">
        <v>249</v>
      </c>
      <c r="I2434" s="7" t="s">
        <v>160</v>
      </c>
      <c r="J2434" s="7" t="s">
        <v>148</v>
      </c>
      <c r="K2434" s="7"/>
      <c r="L2434" s="7"/>
      <c r="M2434" s="7"/>
    </row>
    <row r="2435" ht="15.75" customHeight="1">
      <c r="A2435" s="7" t="s">
        <v>12812</v>
      </c>
      <c r="B2435" s="45" t="s">
        <v>12813</v>
      </c>
      <c r="C2435" s="7" t="s">
        <v>12814</v>
      </c>
      <c r="D2435" s="7" t="s">
        <v>3349</v>
      </c>
      <c r="E2435" s="7" t="s">
        <v>12815</v>
      </c>
      <c r="F2435" s="7" t="s">
        <v>3350</v>
      </c>
      <c r="G2435" s="7"/>
      <c r="H2435" s="46" t="s">
        <v>249</v>
      </c>
      <c r="I2435" s="7" t="s">
        <v>160</v>
      </c>
      <c r="J2435" s="7" t="s">
        <v>148</v>
      </c>
      <c r="K2435" s="7"/>
      <c r="L2435" s="7"/>
      <c r="M2435" s="7"/>
    </row>
    <row r="2436" ht="15.75" customHeight="1">
      <c r="A2436" s="7" t="s">
        <v>12816</v>
      </c>
      <c r="B2436" s="45" t="s">
        <v>12817</v>
      </c>
      <c r="C2436" s="7" t="s">
        <v>12818</v>
      </c>
      <c r="D2436" s="7" t="s">
        <v>12819</v>
      </c>
      <c r="E2436" s="7" t="s">
        <v>12820</v>
      </c>
      <c r="F2436" s="7" t="s">
        <v>12821</v>
      </c>
      <c r="G2436" s="7"/>
      <c r="H2436" s="46" t="s">
        <v>249</v>
      </c>
      <c r="I2436" s="7" t="s">
        <v>160</v>
      </c>
      <c r="J2436" s="7" t="s">
        <v>148</v>
      </c>
      <c r="K2436" s="7"/>
      <c r="L2436" s="7"/>
      <c r="M2436" s="7"/>
    </row>
    <row r="2437" ht="15.75" customHeight="1">
      <c r="A2437" s="7" t="s">
        <v>12822</v>
      </c>
      <c r="B2437" s="45" t="s">
        <v>12823</v>
      </c>
      <c r="C2437" s="7" t="s">
        <v>12824</v>
      </c>
      <c r="D2437" s="7" t="s">
        <v>12819</v>
      </c>
      <c r="E2437" s="7" t="s">
        <v>12820</v>
      </c>
      <c r="F2437" s="7" t="s">
        <v>12821</v>
      </c>
      <c r="G2437" s="7"/>
      <c r="H2437" s="46" t="s">
        <v>249</v>
      </c>
      <c r="I2437" s="7" t="s">
        <v>160</v>
      </c>
      <c r="J2437" s="7" t="s">
        <v>148</v>
      </c>
      <c r="K2437" s="7"/>
      <c r="L2437" s="7"/>
      <c r="M2437" s="7"/>
    </row>
    <row r="2438" ht="15.75" customHeight="1">
      <c r="A2438" s="7" t="s">
        <v>12825</v>
      </c>
      <c r="B2438" s="45" t="s">
        <v>12826</v>
      </c>
      <c r="C2438" s="7" t="s">
        <v>12827</v>
      </c>
      <c r="D2438" s="7" t="s">
        <v>12828</v>
      </c>
      <c r="E2438" s="7" t="s">
        <v>12829</v>
      </c>
      <c r="F2438" s="7" t="s">
        <v>12830</v>
      </c>
      <c r="G2438" s="7"/>
      <c r="H2438" s="46" t="s">
        <v>249</v>
      </c>
      <c r="I2438" s="7" t="s">
        <v>160</v>
      </c>
      <c r="J2438" s="7" t="s">
        <v>148</v>
      </c>
      <c r="K2438" s="7"/>
      <c r="L2438" s="7"/>
      <c r="M2438" s="7"/>
    </row>
    <row r="2439" ht="15.75" customHeight="1">
      <c r="A2439" s="7" t="s">
        <v>12831</v>
      </c>
      <c r="B2439" s="45" t="s">
        <v>12832</v>
      </c>
      <c r="C2439" s="7" t="s">
        <v>12833</v>
      </c>
      <c r="D2439" s="7" t="s">
        <v>12834</v>
      </c>
      <c r="E2439" s="7" t="s">
        <v>12835</v>
      </c>
      <c r="F2439" s="7" t="s">
        <v>12836</v>
      </c>
      <c r="G2439" s="7" t="s">
        <v>12837</v>
      </c>
      <c r="H2439" s="46" t="s">
        <v>249</v>
      </c>
      <c r="I2439" s="7" t="s">
        <v>160</v>
      </c>
      <c r="J2439" s="7" t="s">
        <v>148</v>
      </c>
      <c r="K2439" s="7"/>
      <c r="L2439" s="7"/>
      <c r="M2439" s="7"/>
    </row>
    <row r="2440" ht="15.75" customHeight="1">
      <c r="A2440" s="7" t="s">
        <v>12838</v>
      </c>
      <c r="B2440" s="45" t="s">
        <v>12839</v>
      </c>
      <c r="C2440" s="7" t="s">
        <v>12840</v>
      </c>
      <c r="D2440" s="7" t="s">
        <v>12841</v>
      </c>
      <c r="E2440" s="7" t="s">
        <v>12842</v>
      </c>
      <c r="F2440" s="7" t="s">
        <v>12843</v>
      </c>
      <c r="G2440" s="7"/>
      <c r="H2440" s="46" t="s">
        <v>249</v>
      </c>
      <c r="I2440" s="7" t="s">
        <v>160</v>
      </c>
      <c r="J2440" s="7" t="s">
        <v>148</v>
      </c>
      <c r="K2440" s="7"/>
      <c r="L2440" s="7"/>
      <c r="M2440" s="7"/>
    </row>
    <row r="2441" ht="15.75" customHeight="1">
      <c r="A2441" s="7" t="s">
        <v>12844</v>
      </c>
      <c r="B2441" s="45" t="s">
        <v>12845</v>
      </c>
      <c r="C2441" s="7" t="s">
        <v>12846</v>
      </c>
      <c r="D2441" s="7" t="s">
        <v>12847</v>
      </c>
      <c r="E2441" s="7" t="s">
        <v>12848</v>
      </c>
      <c r="F2441" s="7" t="s">
        <v>12849</v>
      </c>
      <c r="G2441" s="7"/>
      <c r="H2441" s="46" t="s">
        <v>249</v>
      </c>
      <c r="I2441" s="7" t="s">
        <v>160</v>
      </c>
      <c r="J2441" s="7" t="s">
        <v>148</v>
      </c>
      <c r="K2441" s="7"/>
      <c r="L2441" s="7"/>
      <c r="M2441" s="7"/>
    </row>
    <row r="2442" ht="15.75" customHeight="1">
      <c r="A2442" s="7" t="s">
        <v>12850</v>
      </c>
      <c r="B2442" s="45" t="s">
        <v>12851</v>
      </c>
      <c r="C2442" s="7" t="s">
        <v>12852</v>
      </c>
      <c r="D2442" s="7" t="s">
        <v>12853</v>
      </c>
      <c r="E2442" s="7" t="s">
        <v>12854</v>
      </c>
      <c r="F2442" s="7" t="s">
        <v>12855</v>
      </c>
      <c r="G2442" s="7"/>
      <c r="H2442" s="46" t="s">
        <v>249</v>
      </c>
      <c r="I2442" s="7" t="s">
        <v>160</v>
      </c>
      <c r="J2442" s="7" t="s">
        <v>148</v>
      </c>
      <c r="K2442" s="7"/>
      <c r="L2442" s="7"/>
      <c r="M2442" s="7"/>
    </row>
    <row r="2443" ht="15.75" customHeight="1">
      <c r="A2443" s="7" t="s">
        <v>12856</v>
      </c>
      <c r="B2443" s="45" t="s">
        <v>12857</v>
      </c>
      <c r="C2443" s="7" t="s">
        <v>12846</v>
      </c>
      <c r="D2443" s="7" t="s">
        <v>12858</v>
      </c>
      <c r="E2443" s="7" t="s">
        <v>12859</v>
      </c>
      <c r="F2443" s="7" t="s">
        <v>12849</v>
      </c>
      <c r="G2443" s="7"/>
      <c r="H2443" s="46" t="s">
        <v>249</v>
      </c>
      <c r="I2443" s="7" t="s">
        <v>160</v>
      </c>
      <c r="J2443" s="7" t="s">
        <v>148</v>
      </c>
      <c r="K2443" s="7"/>
      <c r="L2443" s="7"/>
      <c r="M2443" s="7"/>
    </row>
    <row r="2444" ht="15.75" customHeight="1">
      <c r="A2444" s="7" t="s">
        <v>12860</v>
      </c>
      <c r="B2444" s="45" t="s">
        <v>12861</v>
      </c>
      <c r="C2444" s="7" t="s">
        <v>12862</v>
      </c>
      <c r="D2444" s="7" t="s">
        <v>12863</v>
      </c>
      <c r="E2444" s="7" t="s">
        <v>12864</v>
      </c>
      <c r="F2444" s="7" t="s">
        <v>12865</v>
      </c>
      <c r="G2444" s="7" t="s">
        <v>12866</v>
      </c>
      <c r="H2444" s="46" t="s">
        <v>249</v>
      </c>
      <c r="I2444" s="7" t="s">
        <v>160</v>
      </c>
      <c r="J2444" s="7" t="s">
        <v>148</v>
      </c>
      <c r="K2444" s="7"/>
      <c r="L2444" s="7"/>
      <c r="M2444" s="7"/>
    </row>
    <row r="2445" ht="15.75" customHeight="1">
      <c r="A2445" s="7" t="s">
        <v>12867</v>
      </c>
      <c r="B2445" s="45" t="s">
        <v>12868</v>
      </c>
      <c r="C2445" s="7" t="s">
        <v>12869</v>
      </c>
      <c r="D2445" s="7" t="s">
        <v>12870</v>
      </c>
      <c r="E2445" s="7" t="s">
        <v>12871</v>
      </c>
      <c r="F2445" s="7" t="s">
        <v>12872</v>
      </c>
      <c r="G2445" s="7"/>
      <c r="H2445" s="46" t="s">
        <v>249</v>
      </c>
      <c r="I2445" s="7" t="s">
        <v>160</v>
      </c>
      <c r="J2445" s="7" t="s">
        <v>148</v>
      </c>
      <c r="K2445" s="7"/>
      <c r="L2445" s="7"/>
      <c r="M2445" s="7"/>
    </row>
    <row r="2446" ht="15.75" customHeight="1">
      <c r="A2446" s="7" t="s">
        <v>12873</v>
      </c>
      <c r="B2446" s="45" t="s">
        <v>12874</v>
      </c>
      <c r="C2446" s="7" t="s">
        <v>12875</v>
      </c>
      <c r="D2446" s="7" t="s">
        <v>12876</v>
      </c>
      <c r="E2446" s="7" t="s">
        <v>12877</v>
      </c>
      <c r="F2446" s="7" t="s">
        <v>12878</v>
      </c>
      <c r="G2446" s="7"/>
      <c r="H2446" s="46" t="s">
        <v>249</v>
      </c>
      <c r="I2446" s="7" t="s">
        <v>160</v>
      </c>
      <c r="J2446" s="7" t="s">
        <v>148</v>
      </c>
      <c r="K2446" s="7"/>
      <c r="L2446" s="7"/>
      <c r="M2446" s="7"/>
    </row>
    <row r="2447" ht="15.75" customHeight="1">
      <c r="A2447" s="7" t="s">
        <v>12879</v>
      </c>
      <c r="B2447" s="45" t="s">
        <v>12880</v>
      </c>
      <c r="C2447" s="7" t="s">
        <v>12881</v>
      </c>
      <c r="D2447" s="7" t="s">
        <v>12882</v>
      </c>
      <c r="E2447" s="7" t="s">
        <v>9818</v>
      </c>
      <c r="F2447" s="7" t="s">
        <v>9819</v>
      </c>
      <c r="G2447" s="7"/>
      <c r="H2447" s="46" t="s">
        <v>249</v>
      </c>
      <c r="I2447" s="7" t="s">
        <v>160</v>
      </c>
      <c r="J2447" s="7" t="s">
        <v>148</v>
      </c>
      <c r="K2447" s="7"/>
      <c r="L2447" s="7"/>
      <c r="M2447" s="7"/>
    </row>
    <row r="2448" ht="15.75" customHeight="1">
      <c r="A2448" s="7" t="s">
        <v>12883</v>
      </c>
      <c r="B2448" s="45" t="s">
        <v>12884</v>
      </c>
      <c r="C2448" s="7" t="s">
        <v>12885</v>
      </c>
      <c r="D2448" s="7" t="s">
        <v>12886</v>
      </c>
      <c r="E2448" s="7" t="s">
        <v>12887</v>
      </c>
      <c r="F2448" s="7" t="s">
        <v>12888</v>
      </c>
      <c r="G2448" s="7"/>
      <c r="H2448" s="46" t="s">
        <v>249</v>
      </c>
      <c r="I2448" s="7" t="s">
        <v>160</v>
      </c>
      <c r="J2448" s="7" t="s">
        <v>148</v>
      </c>
      <c r="K2448" s="7"/>
      <c r="L2448" s="7"/>
      <c r="M2448" s="7"/>
    </row>
    <row r="2449" ht="15.75" customHeight="1">
      <c r="A2449" s="7" t="s">
        <v>12889</v>
      </c>
      <c r="B2449" s="45" t="s">
        <v>12890</v>
      </c>
      <c r="C2449" s="7" t="s">
        <v>12891</v>
      </c>
      <c r="D2449" s="7" t="s">
        <v>12892</v>
      </c>
      <c r="E2449" s="7" t="s">
        <v>12893</v>
      </c>
      <c r="F2449" s="7" t="s">
        <v>12894</v>
      </c>
      <c r="G2449" s="7"/>
      <c r="H2449" s="46" t="s">
        <v>249</v>
      </c>
      <c r="I2449" s="7" t="s">
        <v>160</v>
      </c>
      <c r="J2449" s="7" t="s">
        <v>148</v>
      </c>
      <c r="K2449" s="7"/>
      <c r="L2449" s="7"/>
      <c r="M2449" s="7"/>
    </row>
    <row r="2450" ht="15.75" customHeight="1">
      <c r="A2450" s="7" t="s">
        <v>12895</v>
      </c>
      <c r="B2450" s="45" t="s">
        <v>12896</v>
      </c>
      <c r="C2450" s="7" t="s">
        <v>12897</v>
      </c>
      <c r="D2450" s="7" t="s">
        <v>12898</v>
      </c>
      <c r="E2450" s="7" t="s">
        <v>12899</v>
      </c>
      <c r="F2450" s="7" t="s">
        <v>12900</v>
      </c>
      <c r="G2450" s="7"/>
      <c r="H2450" s="46" t="s">
        <v>249</v>
      </c>
      <c r="I2450" s="7" t="s">
        <v>160</v>
      </c>
      <c r="J2450" s="7" t="s">
        <v>148</v>
      </c>
      <c r="K2450" s="7"/>
      <c r="L2450" s="7"/>
      <c r="M2450" s="7"/>
    </row>
    <row r="2451" ht="15.75" customHeight="1">
      <c r="A2451" s="7" t="s">
        <v>12901</v>
      </c>
      <c r="B2451" s="45" t="s">
        <v>12902</v>
      </c>
      <c r="C2451" s="7" t="s">
        <v>12903</v>
      </c>
      <c r="D2451" s="7" t="s">
        <v>12904</v>
      </c>
      <c r="E2451" s="7" t="s">
        <v>12905</v>
      </c>
      <c r="F2451" s="7" t="s">
        <v>12906</v>
      </c>
      <c r="G2451" s="7"/>
      <c r="H2451" s="46" t="s">
        <v>249</v>
      </c>
      <c r="I2451" s="7" t="s">
        <v>160</v>
      </c>
      <c r="J2451" s="7" t="s">
        <v>148</v>
      </c>
      <c r="K2451" s="7"/>
      <c r="L2451" s="7"/>
      <c r="M2451" s="7"/>
    </row>
    <row r="2452" ht="15.75" customHeight="1">
      <c r="A2452" s="7" t="s">
        <v>12907</v>
      </c>
      <c r="B2452" s="45" t="s">
        <v>12908</v>
      </c>
      <c r="C2452" s="7" t="s">
        <v>12909</v>
      </c>
      <c r="D2452" s="7" t="s">
        <v>12910</v>
      </c>
      <c r="E2452" s="7" t="s">
        <v>12911</v>
      </c>
      <c r="F2452" s="7" t="s">
        <v>12912</v>
      </c>
      <c r="G2452" s="7"/>
      <c r="H2452" s="46" t="s">
        <v>249</v>
      </c>
      <c r="I2452" s="7" t="s">
        <v>160</v>
      </c>
      <c r="J2452" s="7" t="s">
        <v>148</v>
      </c>
      <c r="K2452" s="7"/>
      <c r="L2452" s="7"/>
      <c r="M2452" s="7"/>
    </row>
    <row r="2453" ht="15.75" customHeight="1">
      <c r="A2453" s="7" t="s">
        <v>12913</v>
      </c>
      <c r="B2453" s="45" t="s">
        <v>12914</v>
      </c>
      <c r="C2453" s="7" t="s">
        <v>12915</v>
      </c>
      <c r="D2453" s="7" t="s">
        <v>12916</v>
      </c>
      <c r="E2453" s="7" t="s">
        <v>12917</v>
      </c>
      <c r="F2453" s="7" t="s">
        <v>12918</v>
      </c>
      <c r="G2453" s="7"/>
      <c r="H2453" s="46" t="s">
        <v>249</v>
      </c>
      <c r="I2453" s="7" t="s">
        <v>160</v>
      </c>
      <c r="J2453" s="7" t="s">
        <v>148</v>
      </c>
      <c r="K2453" s="7"/>
      <c r="L2453" s="7"/>
      <c r="M2453" s="7"/>
    </row>
    <row r="2454" ht="15.75" customHeight="1">
      <c r="A2454" s="7" t="s">
        <v>12919</v>
      </c>
      <c r="B2454" s="45" t="s">
        <v>12920</v>
      </c>
      <c r="C2454" s="7" t="s">
        <v>12915</v>
      </c>
      <c r="D2454" s="7" t="s">
        <v>12921</v>
      </c>
      <c r="E2454" s="7" t="s">
        <v>12917</v>
      </c>
      <c r="F2454" s="7" t="s">
        <v>12922</v>
      </c>
      <c r="G2454" s="7"/>
      <c r="H2454" s="46" t="s">
        <v>249</v>
      </c>
      <c r="I2454" s="7" t="s">
        <v>160</v>
      </c>
      <c r="J2454" s="7" t="s">
        <v>148</v>
      </c>
      <c r="K2454" s="7"/>
      <c r="L2454" s="7"/>
      <c r="M2454" s="7"/>
    </row>
    <row r="2455" ht="15.75" customHeight="1">
      <c r="A2455" s="7" t="s">
        <v>12923</v>
      </c>
      <c r="B2455" s="45" t="s">
        <v>12924</v>
      </c>
      <c r="C2455" s="7" t="s">
        <v>12915</v>
      </c>
      <c r="D2455" s="7" t="s">
        <v>12925</v>
      </c>
      <c r="E2455" s="7" t="s">
        <v>12917</v>
      </c>
      <c r="F2455" s="7" t="s">
        <v>12926</v>
      </c>
      <c r="G2455" s="7"/>
      <c r="H2455" s="46" t="s">
        <v>249</v>
      </c>
      <c r="I2455" s="7" t="s">
        <v>160</v>
      </c>
      <c r="J2455" s="7" t="s">
        <v>148</v>
      </c>
      <c r="K2455" s="7"/>
      <c r="L2455" s="7"/>
      <c r="M2455" s="7"/>
    </row>
    <row r="2456" ht="15.75" customHeight="1">
      <c r="A2456" s="7" t="s">
        <v>12927</v>
      </c>
      <c r="B2456" s="45" t="s">
        <v>12928</v>
      </c>
      <c r="C2456" s="7" t="s">
        <v>12929</v>
      </c>
      <c r="D2456" s="7" t="s">
        <v>12930</v>
      </c>
      <c r="E2456" s="7" t="s">
        <v>12931</v>
      </c>
      <c r="F2456" s="7" t="s">
        <v>12932</v>
      </c>
      <c r="G2456" s="7"/>
      <c r="H2456" s="46" t="s">
        <v>249</v>
      </c>
      <c r="I2456" s="7" t="s">
        <v>160</v>
      </c>
      <c r="J2456" s="7" t="s">
        <v>148</v>
      </c>
      <c r="K2456" s="7"/>
      <c r="L2456" s="7"/>
      <c r="M2456" s="7"/>
    </row>
    <row r="2457" ht="15.75" customHeight="1">
      <c r="A2457" s="7" t="s">
        <v>12933</v>
      </c>
      <c r="B2457" s="45" t="s">
        <v>12934</v>
      </c>
      <c r="C2457" s="7" t="s">
        <v>12915</v>
      </c>
      <c r="D2457" s="7" t="s">
        <v>12935</v>
      </c>
      <c r="E2457" s="7" t="s">
        <v>12917</v>
      </c>
      <c r="F2457" s="7" t="s">
        <v>12936</v>
      </c>
      <c r="G2457" s="7"/>
      <c r="H2457" s="46" t="s">
        <v>249</v>
      </c>
      <c r="I2457" s="7" t="s">
        <v>160</v>
      </c>
      <c r="J2457" s="7" t="s">
        <v>148</v>
      </c>
      <c r="K2457" s="7"/>
      <c r="L2457" s="7"/>
      <c r="M2457" s="7"/>
    </row>
    <row r="2458" ht="15.75" customHeight="1">
      <c r="A2458" s="7" t="s">
        <v>12937</v>
      </c>
      <c r="B2458" s="45" t="s">
        <v>12938</v>
      </c>
      <c r="C2458" s="7" t="s">
        <v>12915</v>
      </c>
      <c r="D2458" s="7" t="s">
        <v>12939</v>
      </c>
      <c r="E2458" s="7" t="s">
        <v>12917</v>
      </c>
      <c r="F2458" s="7" t="s">
        <v>12940</v>
      </c>
      <c r="G2458" s="7"/>
      <c r="H2458" s="46" t="s">
        <v>249</v>
      </c>
      <c r="I2458" s="7" t="s">
        <v>160</v>
      </c>
      <c r="J2458" s="7" t="s">
        <v>148</v>
      </c>
      <c r="K2458" s="7"/>
      <c r="L2458" s="7"/>
      <c r="M2458" s="7"/>
    </row>
    <row r="2459" ht="15.75" customHeight="1">
      <c r="A2459" s="7" t="s">
        <v>12941</v>
      </c>
      <c r="B2459" s="45" t="s">
        <v>12942</v>
      </c>
      <c r="C2459" s="7" t="s">
        <v>12915</v>
      </c>
      <c r="D2459" s="7" t="s">
        <v>12943</v>
      </c>
      <c r="E2459" s="7" t="s">
        <v>12917</v>
      </c>
      <c r="F2459" s="7" t="s">
        <v>12944</v>
      </c>
      <c r="G2459" s="7"/>
      <c r="H2459" s="46" t="s">
        <v>249</v>
      </c>
      <c r="I2459" s="7" t="s">
        <v>160</v>
      </c>
      <c r="J2459" s="7" t="s">
        <v>148</v>
      </c>
      <c r="K2459" s="7"/>
      <c r="L2459" s="7"/>
      <c r="M2459" s="7"/>
    </row>
    <row r="2460" ht="15.75" customHeight="1">
      <c r="A2460" s="7" t="s">
        <v>12945</v>
      </c>
      <c r="B2460" s="45" t="s">
        <v>12946</v>
      </c>
      <c r="C2460" s="7" t="s">
        <v>12947</v>
      </c>
      <c r="D2460" s="7" t="s">
        <v>12948</v>
      </c>
      <c r="E2460" s="7" t="s">
        <v>12949</v>
      </c>
      <c r="F2460" s="7" t="s">
        <v>12950</v>
      </c>
      <c r="G2460" s="7"/>
      <c r="H2460" s="46" t="s">
        <v>249</v>
      </c>
      <c r="I2460" s="7" t="s">
        <v>160</v>
      </c>
      <c r="J2460" s="7" t="s">
        <v>148</v>
      </c>
      <c r="K2460" s="7"/>
      <c r="L2460" s="7"/>
      <c r="M2460" s="7"/>
    </row>
    <row r="2461" ht="15.75" customHeight="1">
      <c r="A2461" s="7" t="s">
        <v>12951</v>
      </c>
      <c r="B2461" s="45" t="s">
        <v>12952</v>
      </c>
      <c r="C2461" s="7" t="s">
        <v>12953</v>
      </c>
      <c r="D2461" s="7" t="s">
        <v>12954</v>
      </c>
      <c r="E2461" s="7" t="s">
        <v>12955</v>
      </c>
      <c r="F2461" s="7" t="s">
        <v>7981</v>
      </c>
      <c r="G2461" s="7"/>
      <c r="H2461" s="46" t="s">
        <v>249</v>
      </c>
      <c r="I2461" s="7" t="s">
        <v>160</v>
      </c>
      <c r="J2461" s="7" t="s">
        <v>148</v>
      </c>
      <c r="K2461" s="7"/>
      <c r="L2461" s="7"/>
      <c r="M2461" s="7"/>
    </row>
    <row r="2462" ht="15.75" customHeight="1">
      <c r="A2462" s="7" t="s">
        <v>12956</v>
      </c>
      <c r="B2462" s="45" t="s">
        <v>12957</v>
      </c>
      <c r="C2462" s="7" t="s">
        <v>12958</v>
      </c>
      <c r="D2462" s="7" t="s">
        <v>12959</v>
      </c>
      <c r="E2462" s="7" t="s">
        <v>12960</v>
      </c>
      <c r="F2462" s="7" t="s">
        <v>7981</v>
      </c>
      <c r="G2462" s="7"/>
      <c r="H2462" s="46" t="s">
        <v>249</v>
      </c>
      <c r="I2462" s="7" t="s">
        <v>160</v>
      </c>
      <c r="J2462" s="7" t="s">
        <v>148</v>
      </c>
      <c r="K2462" s="7"/>
      <c r="L2462" s="7"/>
      <c r="M2462" s="7"/>
    </row>
    <row r="2463" ht="15.75" customHeight="1">
      <c r="A2463" s="7" t="s">
        <v>12961</v>
      </c>
      <c r="B2463" s="45" t="s">
        <v>12962</v>
      </c>
      <c r="C2463" s="7" t="s">
        <v>12963</v>
      </c>
      <c r="D2463" s="7" t="s">
        <v>12964</v>
      </c>
      <c r="E2463" s="7" t="s">
        <v>12965</v>
      </c>
      <c r="F2463" s="7" t="s">
        <v>7981</v>
      </c>
      <c r="G2463" s="7"/>
      <c r="H2463" s="46" t="s">
        <v>249</v>
      </c>
      <c r="I2463" s="7" t="s">
        <v>160</v>
      </c>
      <c r="J2463" s="7" t="s">
        <v>148</v>
      </c>
      <c r="K2463" s="7"/>
      <c r="L2463" s="7"/>
      <c r="M2463" s="7"/>
    </row>
    <row r="2464" ht="15.75" customHeight="1">
      <c r="A2464" s="7" t="s">
        <v>12966</v>
      </c>
      <c r="B2464" s="45" t="s">
        <v>12967</v>
      </c>
      <c r="C2464" s="7" t="s">
        <v>12968</v>
      </c>
      <c r="D2464" s="7" t="s">
        <v>12969</v>
      </c>
      <c r="E2464" s="7" t="s">
        <v>12970</v>
      </c>
      <c r="F2464" s="7" t="s">
        <v>7981</v>
      </c>
      <c r="G2464" s="7"/>
      <c r="H2464" s="46" t="s">
        <v>249</v>
      </c>
      <c r="I2464" s="7" t="s">
        <v>160</v>
      </c>
      <c r="J2464" s="7" t="s">
        <v>148</v>
      </c>
      <c r="K2464" s="7"/>
      <c r="L2464" s="7"/>
      <c r="M2464" s="7"/>
    </row>
    <row r="2465" ht="15.75" customHeight="1">
      <c r="A2465" s="7" t="s">
        <v>12971</v>
      </c>
      <c r="B2465" s="45" t="s">
        <v>12972</v>
      </c>
      <c r="C2465" s="7" t="s">
        <v>12973</v>
      </c>
      <c r="D2465" s="7" t="s">
        <v>12974</v>
      </c>
      <c r="E2465" s="7" t="s">
        <v>12975</v>
      </c>
      <c r="F2465" s="7" t="s">
        <v>7981</v>
      </c>
      <c r="G2465" s="7"/>
      <c r="H2465" s="46" t="s">
        <v>249</v>
      </c>
      <c r="I2465" s="7" t="s">
        <v>160</v>
      </c>
      <c r="J2465" s="7" t="s">
        <v>148</v>
      </c>
      <c r="K2465" s="7"/>
      <c r="L2465" s="7"/>
      <c r="M2465" s="7"/>
    </row>
    <row r="2466" ht="15.75" customHeight="1">
      <c r="A2466" s="7" t="s">
        <v>12976</v>
      </c>
      <c r="B2466" s="45" t="s">
        <v>12977</v>
      </c>
      <c r="C2466" s="7" t="s">
        <v>12978</v>
      </c>
      <c r="D2466" s="7" t="s">
        <v>12979</v>
      </c>
      <c r="E2466" s="7" t="s">
        <v>12980</v>
      </c>
      <c r="F2466" s="7" t="s">
        <v>7981</v>
      </c>
      <c r="G2466" s="7"/>
      <c r="H2466" s="46" t="s">
        <v>249</v>
      </c>
      <c r="I2466" s="7" t="s">
        <v>160</v>
      </c>
      <c r="J2466" s="7" t="s">
        <v>148</v>
      </c>
      <c r="K2466" s="7"/>
      <c r="L2466" s="7"/>
      <c r="M2466" s="7"/>
    </row>
    <row r="2467" ht="15.75" customHeight="1">
      <c r="A2467" s="7" t="s">
        <v>12981</v>
      </c>
      <c r="B2467" s="45" t="s">
        <v>12982</v>
      </c>
      <c r="C2467" s="7" t="s">
        <v>12983</v>
      </c>
      <c r="D2467" s="7" t="s">
        <v>12984</v>
      </c>
      <c r="E2467" s="7" t="s">
        <v>12985</v>
      </c>
      <c r="F2467" s="7" t="s">
        <v>7981</v>
      </c>
      <c r="G2467" s="7"/>
      <c r="H2467" s="46" t="s">
        <v>249</v>
      </c>
      <c r="I2467" s="7" t="s">
        <v>160</v>
      </c>
      <c r="J2467" s="7" t="s">
        <v>148</v>
      </c>
      <c r="K2467" s="7"/>
      <c r="L2467" s="7"/>
      <c r="M2467" s="7"/>
    </row>
    <row r="2468" ht="15.75" customHeight="1">
      <c r="A2468" s="7" t="s">
        <v>12986</v>
      </c>
      <c r="B2468" s="45" t="s">
        <v>12987</v>
      </c>
      <c r="C2468" s="7" t="s">
        <v>12988</v>
      </c>
      <c r="D2468" s="7" t="s">
        <v>12989</v>
      </c>
      <c r="E2468" s="7" t="s">
        <v>12990</v>
      </c>
      <c r="F2468" s="7" t="s">
        <v>7981</v>
      </c>
      <c r="G2468" s="7"/>
      <c r="H2468" s="46" t="s">
        <v>249</v>
      </c>
      <c r="I2468" s="7" t="s">
        <v>160</v>
      </c>
      <c r="J2468" s="7" t="s">
        <v>148</v>
      </c>
      <c r="K2468" s="7"/>
      <c r="L2468" s="7"/>
      <c r="M2468" s="7"/>
    </row>
    <row r="2469" ht="15.75" customHeight="1">
      <c r="A2469" s="7" t="s">
        <v>12991</v>
      </c>
      <c r="B2469" s="45" t="s">
        <v>12992</v>
      </c>
      <c r="C2469" s="7" t="s">
        <v>12988</v>
      </c>
      <c r="D2469" s="7" t="s">
        <v>12993</v>
      </c>
      <c r="E2469" s="7" t="s">
        <v>12990</v>
      </c>
      <c r="F2469" s="7" t="s">
        <v>7981</v>
      </c>
      <c r="G2469" s="7"/>
      <c r="H2469" s="46" t="s">
        <v>249</v>
      </c>
      <c r="I2469" s="7" t="s">
        <v>160</v>
      </c>
      <c r="J2469" s="7" t="s">
        <v>148</v>
      </c>
      <c r="K2469" s="7"/>
      <c r="L2469" s="7"/>
      <c r="M2469" s="7"/>
    </row>
    <row r="2470" ht="15.75" customHeight="1">
      <c r="A2470" s="7" t="s">
        <v>12994</v>
      </c>
      <c r="B2470" s="45" t="s">
        <v>12995</v>
      </c>
      <c r="C2470" s="7" t="s">
        <v>12996</v>
      </c>
      <c r="D2470" s="7" t="s">
        <v>12997</v>
      </c>
      <c r="E2470" s="7" t="s">
        <v>12998</v>
      </c>
      <c r="F2470" s="7" t="s">
        <v>7981</v>
      </c>
      <c r="G2470" s="7"/>
      <c r="H2470" s="46" t="s">
        <v>249</v>
      </c>
      <c r="I2470" s="7" t="s">
        <v>160</v>
      </c>
      <c r="J2470" s="7" t="s">
        <v>148</v>
      </c>
      <c r="K2470" s="7"/>
      <c r="L2470" s="7"/>
      <c r="M2470" s="7"/>
    </row>
    <row r="2471" ht="15.75" customHeight="1">
      <c r="A2471" s="7" t="s">
        <v>12999</v>
      </c>
      <c r="B2471" s="45" t="s">
        <v>13000</v>
      </c>
      <c r="C2471" s="7" t="s">
        <v>13001</v>
      </c>
      <c r="D2471" s="7" t="s">
        <v>13002</v>
      </c>
      <c r="E2471" s="7" t="s">
        <v>13003</v>
      </c>
      <c r="F2471" s="7" t="s">
        <v>7981</v>
      </c>
      <c r="G2471" s="7"/>
      <c r="H2471" s="46" t="s">
        <v>249</v>
      </c>
      <c r="I2471" s="7" t="s">
        <v>160</v>
      </c>
      <c r="J2471" s="7" t="s">
        <v>148</v>
      </c>
      <c r="K2471" s="7"/>
      <c r="L2471" s="7"/>
      <c r="M2471" s="7"/>
    </row>
    <row r="2472" ht="15.75" customHeight="1">
      <c r="A2472" s="7" t="s">
        <v>13004</v>
      </c>
      <c r="B2472" s="45" t="s">
        <v>13005</v>
      </c>
      <c r="C2472" s="7" t="s">
        <v>13006</v>
      </c>
      <c r="D2472" s="7" t="s">
        <v>13007</v>
      </c>
      <c r="E2472" s="7" t="s">
        <v>13008</v>
      </c>
      <c r="F2472" s="7" t="s">
        <v>7981</v>
      </c>
      <c r="G2472" s="7"/>
      <c r="H2472" s="46" t="s">
        <v>249</v>
      </c>
      <c r="I2472" s="7" t="s">
        <v>160</v>
      </c>
      <c r="J2472" s="7" t="s">
        <v>148</v>
      </c>
      <c r="K2472" s="7"/>
      <c r="L2472" s="7"/>
      <c r="M2472" s="7"/>
    </row>
    <row r="2473" ht="15.75" customHeight="1">
      <c r="A2473" s="7" t="s">
        <v>13009</v>
      </c>
      <c r="B2473" s="45" t="s">
        <v>13010</v>
      </c>
      <c r="C2473" s="7" t="s">
        <v>13011</v>
      </c>
      <c r="D2473" s="7" t="s">
        <v>13012</v>
      </c>
      <c r="E2473" s="7" t="s">
        <v>13013</v>
      </c>
      <c r="F2473" s="7" t="s">
        <v>7981</v>
      </c>
      <c r="G2473" s="7"/>
      <c r="H2473" s="46" t="s">
        <v>249</v>
      </c>
      <c r="I2473" s="7" t="s">
        <v>160</v>
      </c>
      <c r="J2473" s="7" t="s">
        <v>148</v>
      </c>
      <c r="K2473" s="7"/>
      <c r="L2473" s="7"/>
      <c r="M2473" s="7"/>
    </row>
    <row r="2474" ht="15.75" customHeight="1">
      <c r="A2474" s="7" t="s">
        <v>13014</v>
      </c>
      <c r="B2474" s="45" t="s">
        <v>13015</v>
      </c>
      <c r="C2474" s="7" t="s">
        <v>13016</v>
      </c>
      <c r="D2474" s="7" t="s">
        <v>13017</v>
      </c>
      <c r="E2474" s="7" t="s">
        <v>13018</v>
      </c>
      <c r="F2474" s="7" t="s">
        <v>7981</v>
      </c>
      <c r="G2474" s="7"/>
      <c r="H2474" s="46" t="s">
        <v>249</v>
      </c>
      <c r="I2474" s="7" t="s">
        <v>160</v>
      </c>
      <c r="J2474" s="7" t="s">
        <v>148</v>
      </c>
      <c r="K2474" s="7"/>
      <c r="L2474" s="7"/>
      <c r="M2474" s="7"/>
    </row>
    <row r="2475" ht="15.75" customHeight="1">
      <c r="A2475" s="7" t="s">
        <v>13019</v>
      </c>
      <c r="B2475" s="45" t="s">
        <v>13020</v>
      </c>
      <c r="C2475" s="7" t="s">
        <v>13021</v>
      </c>
      <c r="D2475" s="7" t="s">
        <v>13022</v>
      </c>
      <c r="E2475" s="7" t="s">
        <v>13023</v>
      </c>
      <c r="F2475" s="7" t="s">
        <v>7981</v>
      </c>
      <c r="G2475" s="7"/>
      <c r="H2475" s="46" t="s">
        <v>249</v>
      </c>
      <c r="I2475" s="7" t="s">
        <v>160</v>
      </c>
      <c r="J2475" s="7" t="s">
        <v>148</v>
      </c>
      <c r="K2475" s="7"/>
      <c r="L2475" s="7"/>
      <c r="M2475" s="7"/>
    </row>
    <row r="2476" ht="15.75" customHeight="1">
      <c r="A2476" s="7" t="s">
        <v>13024</v>
      </c>
      <c r="B2476" s="45" t="s">
        <v>13025</v>
      </c>
      <c r="C2476" s="7" t="s">
        <v>13026</v>
      </c>
      <c r="D2476" s="7" t="s">
        <v>13027</v>
      </c>
      <c r="E2476" s="7" t="s">
        <v>13028</v>
      </c>
      <c r="F2476" s="7" t="s">
        <v>7981</v>
      </c>
      <c r="G2476" s="7"/>
      <c r="H2476" s="46" t="s">
        <v>249</v>
      </c>
      <c r="I2476" s="7" t="s">
        <v>160</v>
      </c>
      <c r="J2476" s="7" t="s">
        <v>148</v>
      </c>
      <c r="K2476" s="7"/>
      <c r="L2476" s="7"/>
      <c r="M2476" s="7"/>
    </row>
    <row r="2477" ht="15.75" customHeight="1">
      <c r="A2477" s="7" t="s">
        <v>13029</v>
      </c>
      <c r="B2477" s="45" t="s">
        <v>13030</v>
      </c>
      <c r="C2477" s="7" t="s">
        <v>13031</v>
      </c>
      <c r="D2477" s="7" t="s">
        <v>13032</v>
      </c>
      <c r="E2477" s="7" t="s">
        <v>13033</v>
      </c>
      <c r="F2477" s="7" t="s">
        <v>7981</v>
      </c>
      <c r="G2477" s="7"/>
      <c r="H2477" s="46" t="s">
        <v>249</v>
      </c>
      <c r="I2477" s="7" t="s">
        <v>160</v>
      </c>
      <c r="J2477" s="7" t="s">
        <v>148</v>
      </c>
      <c r="K2477" s="7"/>
      <c r="L2477" s="7"/>
      <c r="M2477" s="7"/>
    </row>
    <row r="2478" ht="15.75" customHeight="1">
      <c r="A2478" s="7" t="s">
        <v>13034</v>
      </c>
      <c r="B2478" s="45" t="s">
        <v>13035</v>
      </c>
      <c r="C2478" s="7" t="s">
        <v>13036</v>
      </c>
      <c r="D2478" s="7" t="s">
        <v>13037</v>
      </c>
      <c r="E2478" s="7" t="s">
        <v>13038</v>
      </c>
      <c r="F2478" s="7" t="s">
        <v>7981</v>
      </c>
      <c r="G2478" s="7"/>
      <c r="H2478" s="46" t="s">
        <v>249</v>
      </c>
      <c r="I2478" s="7" t="s">
        <v>160</v>
      </c>
      <c r="J2478" s="7" t="s">
        <v>148</v>
      </c>
      <c r="K2478" s="7"/>
      <c r="L2478" s="7"/>
      <c r="M2478" s="7"/>
    </row>
    <row r="2479" ht="15.75" customHeight="1">
      <c r="A2479" s="7" t="s">
        <v>13039</v>
      </c>
      <c r="B2479" s="45" t="s">
        <v>13040</v>
      </c>
      <c r="C2479" s="7" t="s">
        <v>13041</v>
      </c>
      <c r="D2479" s="7" t="s">
        <v>13042</v>
      </c>
      <c r="E2479" s="7" t="s">
        <v>13043</v>
      </c>
      <c r="F2479" s="7" t="s">
        <v>7981</v>
      </c>
      <c r="G2479" s="7"/>
      <c r="H2479" s="46" t="s">
        <v>249</v>
      </c>
      <c r="I2479" s="7" t="s">
        <v>160</v>
      </c>
      <c r="J2479" s="7" t="s">
        <v>148</v>
      </c>
      <c r="K2479" s="7"/>
      <c r="L2479" s="7"/>
      <c r="M2479" s="7"/>
    </row>
    <row r="2480" ht="15.75" customHeight="1">
      <c r="A2480" s="7" t="s">
        <v>13044</v>
      </c>
      <c r="B2480" s="45" t="s">
        <v>13045</v>
      </c>
      <c r="C2480" s="7" t="s">
        <v>13046</v>
      </c>
      <c r="D2480" s="7" t="s">
        <v>13047</v>
      </c>
      <c r="E2480" s="7" t="s">
        <v>13048</v>
      </c>
      <c r="F2480" s="7" t="s">
        <v>7981</v>
      </c>
      <c r="G2480" s="7"/>
      <c r="H2480" s="46" t="s">
        <v>249</v>
      </c>
      <c r="I2480" s="7" t="s">
        <v>160</v>
      </c>
      <c r="J2480" s="7" t="s">
        <v>148</v>
      </c>
      <c r="K2480" s="7"/>
      <c r="L2480" s="7"/>
      <c r="M2480" s="7"/>
    </row>
    <row r="2481" ht="15.75" customHeight="1">
      <c r="A2481" s="7" t="s">
        <v>13049</v>
      </c>
      <c r="B2481" s="45" t="s">
        <v>13050</v>
      </c>
      <c r="C2481" s="7" t="s">
        <v>13051</v>
      </c>
      <c r="D2481" s="7" t="s">
        <v>13052</v>
      </c>
      <c r="E2481" s="7" t="s">
        <v>13053</v>
      </c>
      <c r="F2481" s="7" t="s">
        <v>7981</v>
      </c>
      <c r="G2481" s="7"/>
      <c r="H2481" s="46" t="s">
        <v>249</v>
      </c>
      <c r="I2481" s="7" t="s">
        <v>160</v>
      </c>
      <c r="J2481" s="7" t="s">
        <v>148</v>
      </c>
      <c r="K2481" s="7"/>
      <c r="L2481" s="7"/>
      <c r="M2481" s="7"/>
    </row>
    <row r="2482" ht="15.75" customHeight="1">
      <c r="A2482" s="7" t="s">
        <v>13054</v>
      </c>
      <c r="B2482" s="45" t="s">
        <v>13055</v>
      </c>
      <c r="C2482" s="7" t="s">
        <v>13021</v>
      </c>
      <c r="D2482" s="7" t="s">
        <v>13056</v>
      </c>
      <c r="E2482" s="7" t="s">
        <v>13057</v>
      </c>
      <c r="F2482" s="7" t="s">
        <v>7981</v>
      </c>
      <c r="G2482" s="7"/>
      <c r="H2482" s="46" t="s">
        <v>249</v>
      </c>
      <c r="I2482" s="7" t="s">
        <v>160</v>
      </c>
      <c r="J2482" s="7" t="s">
        <v>148</v>
      </c>
      <c r="K2482" s="7"/>
      <c r="L2482" s="7"/>
      <c r="M2482" s="7"/>
    </row>
    <row r="2483" ht="15.75" customHeight="1">
      <c r="A2483" s="7" t="s">
        <v>13058</v>
      </c>
      <c r="B2483" s="45" t="s">
        <v>13059</v>
      </c>
      <c r="C2483" s="7" t="s">
        <v>13060</v>
      </c>
      <c r="D2483" s="7" t="s">
        <v>13061</v>
      </c>
      <c r="E2483" s="7" t="s">
        <v>13062</v>
      </c>
      <c r="F2483" s="7" t="s">
        <v>7981</v>
      </c>
      <c r="G2483" s="7"/>
      <c r="H2483" s="46" t="s">
        <v>249</v>
      </c>
      <c r="I2483" s="7" t="s">
        <v>160</v>
      </c>
      <c r="J2483" s="7" t="s">
        <v>148</v>
      </c>
      <c r="K2483" s="7"/>
      <c r="L2483" s="7"/>
      <c r="M2483" s="7"/>
    </row>
    <row r="2484" ht="15.75" customHeight="1">
      <c r="A2484" s="7" t="s">
        <v>13063</v>
      </c>
      <c r="B2484" s="45" t="s">
        <v>13064</v>
      </c>
      <c r="C2484" s="7" t="s">
        <v>13065</v>
      </c>
      <c r="D2484" s="7" t="s">
        <v>13066</v>
      </c>
      <c r="E2484" s="7" t="s">
        <v>13067</v>
      </c>
      <c r="F2484" s="7" t="s">
        <v>13068</v>
      </c>
      <c r="G2484" s="7"/>
      <c r="H2484" s="46" t="s">
        <v>249</v>
      </c>
      <c r="I2484" s="7" t="s">
        <v>160</v>
      </c>
      <c r="J2484" s="7" t="s">
        <v>148</v>
      </c>
      <c r="K2484" s="7"/>
      <c r="L2484" s="7"/>
      <c r="M2484" s="7"/>
    </row>
    <row r="2485" ht="15.75" customHeight="1">
      <c r="A2485" s="7" t="s">
        <v>13069</v>
      </c>
      <c r="B2485" s="45" t="s">
        <v>13070</v>
      </c>
      <c r="C2485" s="7" t="s">
        <v>13071</v>
      </c>
      <c r="D2485" s="7" t="s">
        <v>13072</v>
      </c>
      <c r="E2485" s="7" t="s">
        <v>13073</v>
      </c>
      <c r="F2485" s="7" t="s">
        <v>7981</v>
      </c>
      <c r="G2485" s="7"/>
      <c r="H2485" s="46" t="s">
        <v>249</v>
      </c>
      <c r="I2485" s="7" t="s">
        <v>160</v>
      </c>
      <c r="J2485" s="7" t="s">
        <v>148</v>
      </c>
      <c r="K2485" s="7"/>
      <c r="L2485" s="7"/>
      <c r="M2485" s="7"/>
    </row>
    <row r="2486" ht="15.75" customHeight="1">
      <c r="A2486" s="7" t="s">
        <v>13074</v>
      </c>
      <c r="B2486" s="45" t="s">
        <v>13075</v>
      </c>
      <c r="C2486" s="7" t="s">
        <v>13076</v>
      </c>
      <c r="D2486" s="7" t="s">
        <v>13077</v>
      </c>
      <c r="E2486" s="7" t="s">
        <v>13078</v>
      </c>
      <c r="F2486" s="7" t="s">
        <v>7981</v>
      </c>
      <c r="G2486" s="7"/>
      <c r="H2486" s="46" t="s">
        <v>249</v>
      </c>
      <c r="I2486" s="7" t="s">
        <v>160</v>
      </c>
      <c r="J2486" s="7" t="s">
        <v>148</v>
      </c>
      <c r="K2486" s="7"/>
      <c r="L2486" s="7"/>
      <c r="M2486" s="7"/>
    </row>
    <row r="2487" ht="15.75" customHeight="1">
      <c r="A2487" s="7" t="s">
        <v>13079</v>
      </c>
      <c r="B2487" s="45" t="s">
        <v>13080</v>
      </c>
      <c r="C2487" s="7" t="s">
        <v>13081</v>
      </c>
      <c r="D2487" s="7" t="s">
        <v>13082</v>
      </c>
      <c r="E2487" s="7" t="s">
        <v>13083</v>
      </c>
      <c r="F2487" s="7" t="s">
        <v>7981</v>
      </c>
      <c r="G2487" s="7"/>
      <c r="H2487" s="46" t="s">
        <v>249</v>
      </c>
      <c r="I2487" s="7" t="s">
        <v>160</v>
      </c>
      <c r="J2487" s="7" t="s">
        <v>148</v>
      </c>
      <c r="K2487" s="7"/>
      <c r="L2487" s="7"/>
      <c r="M2487" s="7"/>
    </row>
    <row r="2488" ht="15.75" customHeight="1">
      <c r="A2488" s="7" t="s">
        <v>13084</v>
      </c>
      <c r="B2488" s="45" t="s">
        <v>13085</v>
      </c>
      <c r="C2488" s="7" t="s">
        <v>13086</v>
      </c>
      <c r="D2488" s="7" t="s">
        <v>13087</v>
      </c>
      <c r="E2488" s="7" t="s">
        <v>13088</v>
      </c>
      <c r="F2488" s="7" t="s">
        <v>13089</v>
      </c>
      <c r="G2488" s="7"/>
      <c r="H2488" s="46" t="s">
        <v>249</v>
      </c>
      <c r="I2488" s="7" t="s">
        <v>160</v>
      </c>
      <c r="J2488" s="7" t="s">
        <v>148</v>
      </c>
      <c r="K2488" s="7"/>
      <c r="L2488" s="7"/>
      <c r="M2488" s="7"/>
    </row>
    <row r="2489" ht="15.75" customHeight="1">
      <c r="A2489" s="7" t="s">
        <v>13090</v>
      </c>
      <c r="B2489" s="45" t="s">
        <v>13091</v>
      </c>
      <c r="C2489" s="7" t="s">
        <v>13086</v>
      </c>
      <c r="D2489" s="7" t="s">
        <v>13087</v>
      </c>
      <c r="E2489" s="7" t="s">
        <v>13088</v>
      </c>
      <c r="F2489" s="7" t="s">
        <v>13089</v>
      </c>
      <c r="G2489" s="7"/>
      <c r="H2489" s="46" t="s">
        <v>249</v>
      </c>
      <c r="I2489" s="7" t="s">
        <v>160</v>
      </c>
      <c r="J2489" s="7" t="s">
        <v>148</v>
      </c>
      <c r="K2489" s="7"/>
      <c r="L2489" s="7"/>
      <c r="M2489" s="7"/>
    </row>
    <row r="2490" ht="15.75" customHeight="1">
      <c r="A2490" s="7" t="s">
        <v>13092</v>
      </c>
      <c r="B2490" s="45" t="s">
        <v>13093</v>
      </c>
      <c r="C2490" s="7" t="s">
        <v>13094</v>
      </c>
      <c r="D2490" s="7" t="s">
        <v>13095</v>
      </c>
      <c r="E2490" s="7" t="s">
        <v>13096</v>
      </c>
      <c r="F2490" s="7" t="s">
        <v>13097</v>
      </c>
      <c r="G2490" s="7"/>
      <c r="H2490" s="46" t="s">
        <v>249</v>
      </c>
      <c r="I2490" s="7" t="s">
        <v>160</v>
      </c>
      <c r="J2490" s="7" t="s">
        <v>148</v>
      </c>
      <c r="K2490" s="7"/>
      <c r="L2490" s="7"/>
      <c r="M2490" s="7"/>
    </row>
    <row r="2491" ht="15.75" customHeight="1">
      <c r="A2491" s="7" t="s">
        <v>13098</v>
      </c>
      <c r="B2491" s="45" t="s">
        <v>13099</v>
      </c>
      <c r="C2491" s="7" t="s">
        <v>13094</v>
      </c>
      <c r="D2491" s="7" t="s">
        <v>13100</v>
      </c>
      <c r="E2491" s="7" t="s">
        <v>13101</v>
      </c>
      <c r="F2491" s="7" t="s">
        <v>13097</v>
      </c>
      <c r="G2491" s="7"/>
      <c r="H2491" s="46" t="s">
        <v>249</v>
      </c>
      <c r="I2491" s="7" t="s">
        <v>160</v>
      </c>
      <c r="J2491" s="7" t="s">
        <v>148</v>
      </c>
      <c r="K2491" s="7"/>
      <c r="L2491" s="7"/>
      <c r="M2491" s="7"/>
    </row>
    <row r="2492" ht="15.75" customHeight="1">
      <c r="A2492" s="7" t="s">
        <v>13102</v>
      </c>
      <c r="B2492" s="45" t="s">
        <v>13103</v>
      </c>
      <c r="C2492" s="7" t="s">
        <v>13094</v>
      </c>
      <c r="D2492" s="7" t="s">
        <v>13104</v>
      </c>
      <c r="E2492" s="7" t="s">
        <v>13105</v>
      </c>
      <c r="F2492" s="7" t="s">
        <v>13097</v>
      </c>
      <c r="G2492" s="7"/>
      <c r="H2492" s="46" t="s">
        <v>249</v>
      </c>
      <c r="I2492" s="7" t="s">
        <v>160</v>
      </c>
      <c r="J2492" s="7" t="s">
        <v>148</v>
      </c>
      <c r="K2492" s="7"/>
      <c r="L2492" s="7"/>
      <c r="M2492" s="7"/>
    </row>
    <row r="2493" ht="15.75" customHeight="1">
      <c r="A2493" s="7" t="s">
        <v>13106</v>
      </c>
      <c r="B2493" s="45" t="s">
        <v>13107</v>
      </c>
      <c r="C2493" s="7" t="s">
        <v>13108</v>
      </c>
      <c r="D2493" s="7" t="s">
        <v>13109</v>
      </c>
      <c r="E2493" s="7" t="s">
        <v>13110</v>
      </c>
      <c r="F2493" s="7" t="s">
        <v>13111</v>
      </c>
      <c r="G2493" s="7"/>
      <c r="H2493" s="46" t="s">
        <v>249</v>
      </c>
      <c r="I2493" s="7" t="s">
        <v>160</v>
      </c>
      <c r="J2493" s="7" t="s">
        <v>148</v>
      </c>
      <c r="K2493" s="7"/>
      <c r="L2493" s="7"/>
      <c r="M2493" s="7"/>
    </row>
    <row r="2494" ht="15.75" customHeight="1">
      <c r="A2494" s="7" t="s">
        <v>13112</v>
      </c>
      <c r="B2494" s="45" t="s">
        <v>13113</v>
      </c>
      <c r="C2494" s="7" t="s">
        <v>13114</v>
      </c>
      <c r="D2494" s="7" t="s">
        <v>13115</v>
      </c>
      <c r="E2494" s="7" t="s">
        <v>13116</v>
      </c>
      <c r="F2494" s="7" t="s">
        <v>13117</v>
      </c>
      <c r="G2494" s="7"/>
      <c r="H2494" s="46" t="s">
        <v>249</v>
      </c>
      <c r="I2494" s="7" t="s">
        <v>160</v>
      </c>
      <c r="J2494" s="7" t="s">
        <v>148</v>
      </c>
      <c r="K2494" s="7"/>
      <c r="L2494" s="7"/>
      <c r="M2494" s="7"/>
    </row>
    <row r="2495" ht="15.75" customHeight="1">
      <c r="A2495" s="7" t="s">
        <v>13118</v>
      </c>
      <c r="B2495" s="45" t="s">
        <v>13119</v>
      </c>
      <c r="C2495" s="7" t="s">
        <v>13120</v>
      </c>
      <c r="D2495" s="7" t="s">
        <v>13121</v>
      </c>
      <c r="E2495" s="7" t="s">
        <v>13122</v>
      </c>
      <c r="F2495" s="7" t="s">
        <v>13123</v>
      </c>
      <c r="G2495" s="7"/>
      <c r="H2495" s="46" t="s">
        <v>249</v>
      </c>
      <c r="I2495" s="7" t="s">
        <v>160</v>
      </c>
      <c r="J2495" s="7" t="s">
        <v>148</v>
      </c>
      <c r="K2495" s="7"/>
      <c r="L2495" s="7"/>
      <c r="M2495" s="7"/>
    </row>
    <row r="2496" ht="15.75" customHeight="1">
      <c r="A2496" s="7" t="s">
        <v>13124</v>
      </c>
      <c r="B2496" s="45" t="s">
        <v>13125</v>
      </c>
      <c r="C2496" s="7" t="s">
        <v>13126</v>
      </c>
      <c r="D2496" s="7" t="s">
        <v>13127</v>
      </c>
      <c r="E2496" s="7" t="s">
        <v>13128</v>
      </c>
      <c r="F2496" s="7" t="s">
        <v>13129</v>
      </c>
      <c r="G2496" s="7"/>
      <c r="H2496" s="46" t="s">
        <v>249</v>
      </c>
      <c r="I2496" s="7" t="s">
        <v>160</v>
      </c>
      <c r="J2496" s="7" t="s">
        <v>148</v>
      </c>
      <c r="K2496" s="7"/>
      <c r="L2496" s="7"/>
      <c r="M2496" s="7"/>
    </row>
    <row r="2497" ht="15.75" customHeight="1">
      <c r="A2497" s="7" t="s">
        <v>13130</v>
      </c>
      <c r="B2497" s="45" t="s">
        <v>13131</v>
      </c>
      <c r="C2497" s="7" t="s">
        <v>13132</v>
      </c>
      <c r="D2497" s="7" t="s">
        <v>13133</v>
      </c>
      <c r="E2497" s="7" t="s">
        <v>12191</v>
      </c>
      <c r="F2497" s="7" t="s">
        <v>2641</v>
      </c>
      <c r="G2497" s="7"/>
      <c r="H2497" s="46" t="s">
        <v>249</v>
      </c>
      <c r="I2497" s="7" t="s">
        <v>160</v>
      </c>
      <c r="J2497" s="7" t="s">
        <v>148</v>
      </c>
      <c r="K2497" s="7"/>
      <c r="L2497" s="7"/>
      <c r="M2497" s="7"/>
    </row>
    <row r="2498" ht="15.75" customHeight="1">
      <c r="A2498" s="7" t="s">
        <v>13134</v>
      </c>
      <c r="B2498" s="45" t="s">
        <v>13135</v>
      </c>
      <c r="C2498" s="7" t="s">
        <v>13136</v>
      </c>
      <c r="D2498" s="7" t="s">
        <v>13137</v>
      </c>
      <c r="E2498" s="7" t="s">
        <v>13138</v>
      </c>
      <c r="F2498" s="7" t="s">
        <v>13139</v>
      </c>
      <c r="G2498" s="7"/>
      <c r="H2498" s="46" t="s">
        <v>249</v>
      </c>
      <c r="I2498" s="7" t="s">
        <v>160</v>
      </c>
      <c r="J2498" s="7" t="s">
        <v>148</v>
      </c>
      <c r="K2498" s="7"/>
      <c r="L2498" s="7"/>
      <c r="M2498" s="7"/>
    </row>
    <row r="2499" ht="15.75" customHeight="1">
      <c r="A2499" s="7" t="s">
        <v>13140</v>
      </c>
      <c r="B2499" s="45" t="s">
        <v>13141</v>
      </c>
      <c r="C2499" s="7" t="s">
        <v>9852</v>
      </c>
      <c r="D2499" s="7" t="s">
        <v>9853</v>
      </c>
      <c r="E2499" s="7" t="s">
        <v>9854</v>
      </c>
      <c r="F2499" s="7" t="s">
        <v>9855</v>
      </c>
      <c r="G2499" s="7" t="s">
        <v>13142</v>
      </c>
      <c r="H2499" s="46" t="s">
        <v>249</v>
      </c>
      <c r="I2499" s="7" t="s">
        <v>160</v>
      </c>
      <c r="J2499" s="7" t="s">
        <v>148</v>
      </c>
      <c r="K2499" s="7"/>
      <c r="L2499" s="7"/>
      <c r="M2499" s="7"/>
    </row>
    <row r="2500" ht="15.75" customHeight="1">
      <c r="A2500" s="7" t="s">
        <v>13143</v>
      </c>
      <c r="B2500" s="45" t="s">
        <v>13144</v>
      </c>
      <c r="C2500" s="7" t="s">
        <v>9852</v>
      </c>
      <c r="D2500" s="7" t="s">
        <v>13145</v>
      </c>
      <c r="E2500" s="7" t="s">
        <v>9854</v>
      </c>
      <c r="F2500" s="7" t="s">
        <v>13146</v>
      </c>
      <c r="G2500" s="7"/>
      <c r="H2500" s="46" t="s">
        <v>249</v>
      </c>
      <c r="I2500" s="7" t="s">
        <v>160</v>
      </c>
      <c r="J2500" s="7" t="s">
        <v>148</v>
      </c>
      <c r="K2500" s="7"/>
      <c r="L2500" s="7"/>
      <c r="M2500" s="7"/>
    </row>
    <row r="2501" ht="15.75" customHeight="1">
      <c r="A2501" s="7" t="s">
        <v>13147</v>
      </c>
      <c r="B2501" s="45" t="s">
        <v>13148</v>
      </c>
      <c r="C2501" s="7" t="s">
        <v>13149</v>
      </c>
      <c r="D2501" s="7" t="s">
        <v>13150</v>
      </c>
      <c r="E2501" s="7" t="s">
        <v>13151</v>
      </c>
      <c r="F2501" s="7" t="s">
        <v>13152</v>
      </c>
      <c r="G2501" s="7"/>
      <c r="H2501" s="46" t="s">
        <v>249</v>
      </c>
      <c r="I2501" s="7" t="s">
        <v>160</v>
      </c>
      <c r="J2501" s="7" t="s">
        <v>148</v>
      </c>
      <c r="K2501" s="7"/>
      <c r="L2501" s="7"/>
      <c r="M2501" s="7"/>
    </row>
    <row r="2502" ht="15.75" customHeight="1">
      <c r="A2502" s="7" t="s">
        <v>13153</v>
      </c>
      <c r="B2502" s="45" t="s">
        <v>13154</v>
      </c>
      <c r="C2502" s="7" t="s">
        <v>13155</v>
      </c>
      <c r="D2502" s="7" t="s">
        <v>13156</v>
      </c>
      <c r="E2502" s="7" t="s">
        <v>13157</v>
      </c>
      <c r="F2502" s="7" t="s">
        <v>13158</v>
      </c>
      <c r="G2502" s="7"/>
      <c r="H2502" s="46" t="s">
        <v>249</v>
      </c>
      <c r="I2502" s="7" t="s">
        <v>160</v>
      </c>
      <c r="J2502" s="7" t="s">
        <v>148</v>
      </c>
      <c r="K2502" s="7"/>
      <c r="L2502" s="7"/>
      <c r="M2502" s="7"/>
    </row>
    <row r="2503" ht="15.75" customHeight="1">
      <c r="A2503" s="7" t="s">
        <v>13159</v>
      </c>
      <c r="B2503" s="45" t="s">
        <v>13160</v>
      </c>
      <c r="C2503" s="7" t="s">
        <v>13161</v>
      </c>
      <c r="D2503" s="7" t="s">
        <v>13162</v>
      </c>
      <c r="E2503" s="7" t="s">
        <v>13163</v>
      </c>
      <c r="F2503" s="7" t="s">
        <v>13164</v>
      </c>
      <c r="G2503" s="7" t="s">
        <v>13165</v>
      </c>
      <c r="H2503" s="46" t="s">
        <v>249</v>
      </c>
      <c r="I2503" s="7" t="s">
        <v>160</v>
      </c>
      <c r="J2503" s="7" t="s">
        <v>148</v>
      </c>
      <c r="K2503" s="7"/>
      <c r="L2503" s="7"/>
      <c r="M2503" s="7"/>
    </row>
    <row r="2504" ht="15.75" customHeight="1">
      <c r="A2504" s="7" t="s">
        <v>13166</v>
      </c>
      <c r="B2504" s="45" t="s">
        <v>13167</v>
      </c>
      <c r="C2504" s="7" t="s">
        <v>13168</v>
      </c>
      <c r="D2504" s="7" t="s">
        <v>13169</v>
      </c>
      <c r="E2504" s="7" t="s">
        <v>13163</v>
      </c>
      <c r="F2504" s="7" t="s">
        <v>13164</v>
      </c>
      <c r="G2504" s="7"/>
      <c r="H2504" s="46" t="s">
        <v>249</v>
      </c>
      <c r="I2504" s="7" t="s">
        <v>160</v>
      </c>
      <c r="J2504" s="7" t="s">
        <v>148</v>
      </c>
      <c r="K2504" s="7"/>
      <c r="L2504" s="7"/>
      <c r="M2504" s="7"/>
    </row>
    <row r="2505" ht="15.75" customHeight="1">
      <c r="A2505" s="7" t="s">
        <v>13170</v>
      </c>
      <c r="B2505" s="45" t="s">
        <v>13171</v>
      </c>
      <c r="C2505" s="7" t="s">
        <v>13172</v>
      </c>
      <c r="D2505" s="7" t="s">
        <v>13173</v>
      </c>
      <c r="E2505" s="7" t="s">
        <v>13174</v>
      </c>
      <c r="F2505" s="7" t="s">
        <v>13175</v>
      </c>
      <c r="G2505" s="7"/>
      <c r="H2505" s="46" t="s">
        <v>249</v>
      </c>
      <c r="I2505" s="7" t="s">
        <v>160</v>
      </c>
      <c r="J2505" s="7" t="s">
        <v>148</v>
      </c>
      <c r="K2505" s="7"/>
      <c r="L2505" s="7"/>
      <c r="M2505" s="7"/>
    </row>
    <row r="2506" ht="15.75" customHeight="1">
      <c r="A2506" s="7" t="s">
        <v>13176</v>
      </c>
      <c r="B2506" s="45" t="s">
        <v>13177</v>
      </c>
      <c r="C2506" s="7" t="s">
        <v>13178</v>
      </c>
      <c r="D2506" s="7" t="s">
        <v>13179</v>
      </c>
      <c r="E2506" s="7" t="s">
        <v>13180</v>
      </c>
      <c r="F2506" s="7" t="s">
        <v>13181</v>
      </c>
      <c r="G2506" s="7"/>
      <c r="H2506" s="46" t="s">
        <v>249</v>
      </c>
      <c r="I2506" s="7" t="s">
        <v>160</v>
      </c>
      <c r="J2506" s="7" t="s">
        <v>148</v>
      </c>
      <c r="K2506" s="7"/>
      <c r="L2506" s="7"/>
      <c r="M2506" s="7"/>
    </row>
    <row r="2507" ht="15.75" customHeight="1">
      <c r="A2507" s="7" t="s">
        <v>13182</v>
      </c>
      <c r="B2507" s="45" t="s">
        <v>13183</v>
      </c>
      <c r="C2507" s="7" t="s">
        <v>13178</v>
      </c>
      <c r="D2507" s="7" t="s">
        <v>13184</v>
      </c>
      <c r="E2507" s="7" t="s">
        <v>13185</v>
      </c>
      <c r="F2507" s="7" t="s">
        <v>13181</v>
      </c>
      <c r="G2507" s="7"/>
      <c r="H2507" s="46" t="s">
        <v>249</v>
      </c>
      <c r="I2507" s="7" t="s">
        <v>160</v>
      </c>
      <c r="J2507" s="7" t="s">
        <v>148</v>
      </c>
      <c r="K2507" s="7"/>
      <c r="L2507" s="7"/>
      <c r="M2507" s="7"/>
    </row>
    <row r="2508" ht="15.75" customHeight="1">
      <c r="A2508" s="7" t="s">
        <v>13186</v>
      </c>
      <c r="B2508" s="45" t="s">
        <v>13187</v>
      </c>
      <c r="C2508" s="7" t="s">
        <v>13178</v>
      </c>
      <c r="D2508" s="7" t="s">
        <v>13188</v>
      </c>
      <c r="E2508" s="7" t="s">
        <v>13185</v>
      </c>
      <c r="F2508" s="7" t="s">
        <v>13181</v>
      </c>
      <c r="G2508" s="7"/>
      <c r="H2508" s="46" t="s">
        <v>249</v>
      </c>
      <c r="I2508" s="7" t="s">
        <v>160</v>
      </c>
      <c r="J2508" s="7" t="s">
        <v>148</v>
      </c>
      <c r="K2508" s="7"/>
      <c r="L2508" s="7"/>
      <c r="M2508" s="7"/>
    </row>
    <row r="2509" ht="15.75" customHeight="1">
      <c r="A2509" s="7" t="s">
        <v>13189</v>
      </c>
      <c r="B2509" s="45" t="s">
        <v>13190</v>
      </c>
      <c r="C2509" s="7" t="s">
        <v>13178</v>
      </c>
      <c r="D2509" s="7" t="s">
        <v>13191</v>
      </c>
      <c r="E2509" s="7" t="s">
        <v>13185</v>
      </c>
      <c r="F2509" s="7" t="s">
        <v>13181</v>
      </c>
      <c r="G2509" s="7"/>
      <c r="H2509" s="46" t="s">
        <v>249</v>
      </c>
      <c r="I2509" s="7" t="s">
        <v>160</v>
      </c>
      <c r="J2509" s="7" t="s">
        <v>148</v>
      </c>
      <c r="K2509" s="7"/>
      <c r="L2509" s="7"/>
      <c r="M2509" s="7"/>
    </row>
    <row r="2510" ht="15.75" customHeight="1">
      <c r="A2510" s="7" t="s">
        <v>13192</v>
      </c>
      <c r="B2510" s="45" t="s">
        <v>13193</v>
      </c>
      <c r="C2510" s="7" t="s">
        <v>13194</v>
      </c>
      <c r="D2510" s="7" t="s">
        <v>13195</v>
      </c>
      <c r="E2510" s="7" t="s">
        <v>13196</v>
      </c>
      <c r="F2510" s="7" t="s">
        <v>13181</v>
      </c>
      <c r="G2510" s="7"/>
      <c r="H2510" s="46" t="s">
        <v>249</v>
      </c>
      <c r="I2510" s="7" t="s">
        <v>160</v>
      </c>
      <c r="J2510" s="7" t="s">
        <v>148</v>
      </c>
      <c r="K2510" s="7"/>
      <c r="L2510" s="7"/>
      <c r="M2510" s="7"/>
    </row>
    <row r="2511" ht="15.75" customHeight="1">
      <c r="A2511" s="7" t="s">
        <v>13197</v>
      </c>
      <c r="B2511" s="45" t="s">
        <v>13198</v>
      </c>
      <c r="C2511" s="7" t="s">
        <v>13178</v>
      </c>
      <c r="D2511" s="7" t="s">
        <v>13199</v>
      </c>
      <c r="E2511" s="7" t="s">
        <v>13180</v>
      </c>
      <c r="F2511" s="7" t="s">
        <v>13181</v>
      </c>
      <c r="G2511" s="7"/>
      <c r="H2511" s="46" t="s">
        <v>249</v>
      </c>
      <c r="I2511" s="7" t="s">
        <v>160</v>
      </c>
      <c r="J2511" s="7" t="s">
        <v>148</v>
      </c>
      <c r="K2511" s="7"/>
      <c r="L2511" s="7"/>
      <c r="M2511" s="7"/>
    </row>
    <row r="2512" ht="15.75" customHeight="1">
      <c r="A2512" s="7" t="s">
        <v>13200</v>
      </c>
      <c r="B2512" s="45" t="s">
        <v>13201</v>
      </c>
      <c r="C2512" s="7" t="s">
        <v>13202</v>
      </c>
      <c r="D2512" s="7" t="s">
        <v>13203</v>
      </c>
      <c r="E2512" s="7" t="s">
        <v>13204</v>
      </c>
      <c r="F2512" s="7" t="s">
        <v>13205</v>
      </c>
      <c r="G2512" s="7"/>
      <c r="H2512" s="46" t="s">
        <v>249</v>
      </c>
      <c r="I2512" s="7" t="s">
        <v>160</v>
      </c>
      <c r="J2512" s="7" t="s">
        <v>148</v>
      </c>
      <c r="K2512" s="7"/>
      <c r="L2512" s="7"/>
      <c r="M2512" s="7"/>
    </row>
    <row r="2513" ht="15.75" customHeight="1">
      <c r="A2513" s="7" t="s">
        <v>13206</v>
      </c>
      <c r="B2513" s="45" t="s">
        <v>13207</v>
      </c>
      <c r="C2513" s="7" t="s">
        <v>13208</v>
      </c>
      <c r="D2513" s="7" t="s">
        <v>13209</v>
      </c>
      <c r="E2513" s="7" t="s">
        <v>13210</v>
      </c>
      <c r="F2513" s="7" t="s">
        <v>13211</v>
      </c>
      <c r="G2513" s="7"/>
      <c r="H2513" s="46" t="s">
        <v>249</v>
      </c>
      <c r="I2513" s="7" t="s">
        <v>160</v>
      </c>
      <c r="J2513" s="7" t="s">
        <v>148</v>
      </c>
      <c r="K2513" s="7"/>
      <c r="L2513" s="7"/>
      <c r="M2513" s="7"/>
    </row>
    <row r="2514" ht="15.75" customHeight="1">
      <c r="A2514" s="7" t="s">
        <v>13212</v>
      </c>
      <c r="B2514" s="45" t="s">
        <v>13213</v>
      </c>
      <c r="C2514" s="7" t="s">
        <v>13214</v>
      </c>
      <c r="D2514" s="7" t="s">
        <v>13215</v>
      </c>
      <c r="E2514" s="7" t="s">
        <v>13216</v>
      </c>
      <c r="F2514" s="7" t="s">
        <v>13217</v>
      </c>
      <c r="G2514" s="7"/>
      <c r="H2514" s="46" t="s">
        <v>249</v>
      </c>
      <c r="I2514" s="7" t="s">
        <v>160</v>
      </c>
      <c r="J2514" s="7" t="s">
        <v>148</v>
      </c>
      <c r="K2514" s="7"/>
      <c r="L2514" s="7"/>
      <c r="M2514" s="7"/>
    </row>
    <row r="2515" ht="15.75" customHeight="1">
      <c r="A2515" s="7" t="s">
        <v>13218</v>
      </c>
      <c r="B2515" s="45" t="s">
        <v>13219</v>
      </c>
      <c r="C2515" s="7" t="s">
        <v>13220</v>
      </c>
      <c r="D2515" s="7" t="s">
        <v>13221</v>
      </c>
      <c r="E2515" s="7" t="s">
        <v>13222</v>
      </c>
      <c r="F2515" s="7" t="s">
        <v>13223</v>
      </c>
      <c r="G2515" s="7"/>
      <c r="H2515" s="46" t="s">
        <v>249</v>
      </c>
      <c r="I2515" s="7" t="s">
        <v>160</v>
      </c>
      <c r="J2515" s="7" t="s">
        <v>148</v>
      </c>
      <c r="K2515" s="7"/>
      <c r="L2515" s="7"/>
      <c r="M2515" s="7"/>
    </row>
    <row r="2516" ht="15.75" customHeight="1">
      <c r="A2516" s="7" t="s">
        <v>13224</v>
      </c>
      <c r="B2516" s="45" t="s">
        <v>13225</v>
      </c>
      <c r="C2516" s="7" t="s">
        <v>13226</v>
      </c>
      <c r="D2516" s="7" t="s">
        <v>13227</v>
      </c>
      <c r="E2516" s="7" t="s">
        <v>13228</v>
      </c>
      <c r="F2516" s="7" t="s">
        <v>13229</v>
      </c>
      <c r="G2516" s="7"/>
      <c r="H2516" s="46" t="s">
        <v>249</v>
      </c>
      <c r="I2516" s="7" t="s">
        <v>160</v>
      </c>
      <c r="J2516" s="7" t="s">
        <v>148</v>
      </c>
      <c r="K2516" s="7"/>
      <c r="L2516" s="7"/>
      <c r="M2516" s="7"/>
    </row>
    <row r="2517" ht="15.75" customHeight="1">
      <c r="A2517" s="7" t="s">
        <v>13230</v>
      </c>
      <c r="B2517" s="45" t="s">
        <v>13231</v>
      </c>
      <c r="C2517" s="7" t="s">
        <v>13232</v>
      </c>
      <c r="D2517" s="7" t="s">
        <v>13233</v>
      </c>
      <c r="E2517" s="7" t="s">
        <v>13234</v>
      </c>
      <c r="F2517" s="7" t="s">
        <v>13235</v>
      </c>
      <c r="G2517" s="7"/>
      <c r="H2517" s="46" t="s">
        <v>249</v>
      </c>
      <c r="I2517" s="7" t="s">
        <v>160</v>
      </c>
      <c r="J2517" s="7" t="s">
        <v>148</v>
      </c>
      <c r="K2517" s="7"/>
      <c r="L2517" s="7"/>
      <c r="M2517" s="7"/>
    </row>
    <row r="2518" ht="15.75" customHeight="1">
      <c r="A2518" s="7" t="s">
        <v>13236</v>
      </c>
      <c r="B2518" s="45" t="s">
        <v>13237</v>
      </c>
      <c r="C2518" s="7" t="s">
        <v>13238</v>
      </c>
      <c r="D2518" s="7" t="s">
        <v>13239</v>
      </c>
      <c r="E2518" s="7" t="s">
        <v>13240</v>
      </c>
      <c r="F2518" s="7" t="s">
        <v>13241</v>
      </c>
      <c r="G2518" s="7"/>
      <c r="H2518" s="46" t="s">
        <v>249</v>
      </c>
      <c r="I2518" s="7" t="s">
        <v>160</v>
      </c>
      <c r="J2518" s="7" t="s">
        <v>148</v>
      </c>
      <c r="K2518" s="7"/>
      <c r="L2518" s="7"/>
      <c r="M2518" s="7"/>
    </row>
    <row r="2519" ht="15.75" customHeight="1">
      <c r="A2519" s="7" t="s">
        <v>13242</v>
      </c>
      <c r="B2519" s="45" t="s">
        <v>13243</v>
      </c>
      <c r="C2519" s="7" t="s">
        <v>592</v>
      </c>
      <c r="D2519" s="7" t="s">
        <v>13244</v>
      </c>
      <c r="E2519" s="7" t="s">
        <v>553</v>
      </c>
      <c r="F2519" s="7" t="s">
        <v>562</v>
      </c>
      <c r="G2519" s="7"/>
      <c r="H2519" s="46" t="s">
        <v>249</v>
      </c>
      <c r="I2519" s="7" t="s">
        <v>160</v>
      </c>
      <c r="J2519" s="7" t="s">
        <v>148</v>
      </c>
      <c r="K2519" s="7"/>
      <c r="L2519" s="7"/>
      <c r="M2519" s="7"/>
    </row>
    <row r="2520" ht="15.75" customHeight="1">
      <c r="A2520" s="7" t="s">
        <v>13245</v>
      </c>
      <c r="B2520" s="45" t="s">
        <v>13246</v>
      </c>
      <c r="C2520" s="7" t="s">
        <v>551</v>
      </c>
      <c r="D2520" s="7" t="s">
        <v>13247</v>
      </c>
      <c r="E2520" s="7" t="s">
        <v>553</v>
      </c>
      <c r="F2520" s="7" t="s">
        <v>562</v>
      </c>
      <c r="G2520" s="7"/>
      <c r="H2520" s="46" t="s">
        <v>249</v>
      </c>
      <c r="I2520" s="7" t="s">
        <v>160</v>
      </c>
      <c r="J2520" s="7" t="s">
        <v>148</v>
      </c>
      <c r="K2520" s="7"/>
      <c r="L2520" s="7"/>
      <c r="M2520" s="7"/>
    </row>
    <row r="2521" ht="15.75" customHeight="1">
      <c r="A2521" s="7" t="s">
        <v>13248</v>
      </c>
      <c r="B2521" s="45" t="s">
        <v>13249</v>
      </c>
      <c r="C2521" s="7" t="s">
        <v>592</v>
      </c>
      <c r="D2521" s="7" t="s">
        <v>13250</v>
      </c>
      <c r="E2521" s="7" t="s">
        <v>13251</v>
      </c>
      <c r="F2521" s="7" t="s">
        <v>13252</v>
      </c>
      <c r="G2521" s="7"/>
      <c r="H2521" s="46" t="s">
        <v>249</v>
      </c>
      <c r="I2521" s="7" t="s">
        <v>160</v>
      </c>
      <c r="J2521" s="7" t="s">
        <v>148</v>
      </c>
      <c r="K2521" s="7"/>
      <c r="L2521" s="7"/>
      <c r="M2521" s="7"/>
    </row>
    <row r="2522" ht="15.75" customHeight="1">
      <c r="A2522" s="7" t="s">
        <v>13253</v>
      </c>
      <c r="B2522" s="45" t="s">
        <v>13254</v>
      </c>
      <c r="C2522" s="7" t="s">
        <v>592</v>
      </c>
      <c r="D2522" s="7" t="s">
        <v>13255</v>
      </c>
      <c r="E2522" s="7" t="s">
        <v>553</v>
      </c>
      <c r="F2522" s="7" t="s">
        <v>562</v>
      </c>
      <c r="G2522" s="7"/>
      <c r="H2522" s="46" t="s">
        <v>249</v>
      </c>
      <c r="I2522" s="7" t="s">
        <v>160</v>
      </c>
      <c r="J2522" s="7" t="s">
        <v>148</v>
      </c>
      <c r="K2522" s="7"/>
      <c r="L2522" s="7"/>
      <c r="M2522" s="7"/>
    </row>
    <row r="2523" ht="15.75" customHeight="1">
      <c r="A2523" s="7" t="s">
        <v>13256</v>
      </c>
      <c r="B2523" s="45" t="s">
        <v>13257</v>
      </c>
      <c r="C2523" s="7" t="s">
        <v>592</v>
      </c>
      <c r="D2523" s="7" t="s">
        <v>13258</v>
      </c>
      <c r="E2523" s="7" t="s">
        <v>553</v>
      </c>
      <c r="F2523" s="7" t="s">
        <v>562</v>
      </c>
      <c r="G2523" s="7"/>
      <c r="H2523" s="46" t="s">
        <v>249</v>
      </c>
      <c r="I2523" s="7" t="s">
        <v>160</v>
      </c>
      <c r="J2523" s="7" t="s">
        <v>148</v>
      </c>
      <c r="K2523" s="7"/>
      <c r="L2523" s="7"/>
      <c r="M2523" s="7"/>
    </row>
    <row r="2524" ht="15.75" customHeight="1">
      <c r="A2524" s="7" t="s">
        <v>13259</v>
      </c>
      <c r="B2524" s="45" t="s">
        <v>13260</v>
      </c>
      <c r="C2524" s="7" t="s">
        <v>551</v>
      </c>
      <c r="D2524" s="7" t="s">
        <v>13261</v>
      </c>
      <c r="E2524" s="7" t="s">
        <v>553</v>
      </c>
      <c r="F2524" s="7" t="s">
        <v>554</v>
      </c>
      <c r="G2524" s="7"/>
      <c r="H2524" s="46" t="s">
        <v>249</v>
      </c>
      <c r="I2524" s="7" t="s">
        <v>160</v>
      </c>
      <c r="J2524" s="7" t="s">
        <v>148</v>
      </c>
      <c r="K2524" s="7"/>
      <c r="L2524" s="7"/>
      <c r="M2524" s="7"/>
    </row>
    <row r="2525" ht="15.75" customHeight="1">
      <c r="A2525" s="7" t="s">
        <v>13262</v>
      </c>
      <c r="B2525" s="45" t="s">
        <v>13263</v>
      </c>
      <c r="C2525" s="7" t="s">
        <v>13264</v>
      </c>
      <c r="D2525" s="7" t="s">
        <v>13265</v>
      </c>
      <c r="E2525" s="7" t="s">
        <v>13266</v>
      </c>
      <c r="F2525" s="7" t="s">
        <v>13267</v>
      </c>
      <c r="G2525" s="7"/>
      <c r="H2525" s="46" t="s">
        <v>249</v>
      </c>
      <c r="I2525" s="7" t="s">
        <v>160</v>
      </c>
      <c r="J2525" s="7" t="s">
        <v>148</v>
      </c>
      <c r="K2525" s="7"/>
      <c r="L2525" s="7"/>
      <c r="M2525" s="7"/>
    </row>
    <row r="2526" ht="15.75" customHeight="1">
      <c r="A2526" s="7" t="s">
        <v>13268</v>
      </c>
      <c r="B2526" s="45" t="s">
        <v>13269</v>
      </c>
      <c r="C2526" s="7" t="s">
        <v>13270</v>
      </c>
      <c r="D2526" s="7" t="s">
        <v>13271</v>
      </c>
      <c r="E2526" s="7" t="s">
        <v>13272</v>
      </c>
      <c r="F2526" s="7" t="s">
        <v>13273</v>
      </c>
      <c r="G2526" s="7"/>
      <c r="H2526" s="46" t="s">
        <v>249</v>
      </c>
      <c r="I2526" s="7" t="s">
        <v>160</v>
      </c>
      <c r="J2526" s="7" t="s">
        <v>148</v>
      </c>
      <c r="K2526" s="7"/>
      <c r="L2526" s="7"/>
      <c r="M2526" s="7"/>
    </row>
    <row r="2527" ht="15.75" customHeight="1">
      <c r="A2527" s="7" t="s">
        <v>13274</v>
      </c>
      <c r="B2527" s="45" t="s">
        <v>13275</v>
      </c>
      <c r="C2527" s="7" t="s">
        <v>13270</v>
      </c>
      <c r="D2527" s="7" t="s">
        <v>13276</v>
      </c>
      <c r="E2527" s="7" t="s">
        <v>13272</v>
      </c>
      <c r="F2527" s="7" t="s">
        <v>13277</v>
      </c>
      <c r="G2527" s="7"/>
      <c r="H2527" s="46" t="s">
        <v>249</v>
      </c>
      <c r="I2527" s="7" t="s">
        <v>160</v>
      </c>
      <c r="J2527" s="7" t="s">
        <v>148</v>
      </c>
      <c r="K2527" s="7"/>
      <c r="L2527" s="7"/>
      <c r="M2527" s="7"/>
    </row>
    <row r="2528" ht="15.75" customHeight="1">
      <c r="A2528" s="7" t="s">
        <v>13278</v>
      </c>
      <c r="B2528" s="45" t="s">
        <v>13279</v>
      </c>
      <c r="C2528" s="7" t="s">
        <v>13280</v>
      </c>
      <c r="D2528" s="7" t="s">
        <v>13281</v>
      </c>
      <c r="E2528" s="7" t="s">
        <v>13282</v>
      </c>
      <c r="F2528" s="7" t="s">
        <v>12006</v>
      </c>
      <c r="G2528" s="7"/>
      <c r="H2528" s="46" t="s">
        <v>249</v>
      </c>
      <c r="I2528" s="7" t="s">
        <v>160</v>
      </c>
      <c r="J2528" s="7" t="s">
        <v>148</v>
      </c>
      <c r="K2528" s="7"/>
      <c r="L2528" s="7"/>
      <c r="M2528" s="7"/>
    </row>
    <row r="2529" ht="15.75" customHeight="1">
      <c r="A2529" s="7" t="s">
        <v>13283</v>
      </c>
      <c r="B2529" s="45" t="s">
        <v>13284</v>
      </c>
      <c r="C2529" s="7" t="s">
        <v>13280</v>
      </c>
      <c r="D2529" s="7" t="s">
        <v>13285</v>
      </c>
      <c r="E2529" s="7" t="s">
        <v>13286</v>
      </c>
      <c r="F2529" s="7" t="s">
        <v>12006</v>
      </c>
      <c r="G2529" s="7"/>
      <c r="H2529" s="46" t="s">
        <v>249</v>
      </c>
      <c r="I2529" s="7" t="s">
        <v>160</v>
      </c>
      <c r="J2529" s="7" t="s">
        <v>148</v>
      </c>
      <c r="K2529" s="7"/>
      <c r="L2529" s="7"/>
      <c r="M2529" s="7"/>
    </row>
    <row r="2530" ht="15.75" customHeight="1">
      <c r="A2530" s="7" t="s">
        <v>13287</v>
      </c>
      <c r="B2530" s="45" t="s">
        <v>13288</v>
      </c>
      <c r="C2530" s="7" t="s">
        <v>7816</v>
      </c>
      <c r="D2530" s="7" t="s">
        <v>13289</v>
      </c>
      <c r="E2530" s="7" t="s">
        <v>7818</v>
      </c>
      <c r="F2530" s="7" t="s">
        <v>7819</v>
      </c>
      <c r="G2530" s="7"/>
      <c r="H2530" s="46" t="s">
        <v>249</v>
      </c>
      <c r="I2530" s="7" t="s">
        <v>160</v>
      </c>
      <c r="J2530" s="7" t="s">
        <v>148</v>
      </c>
      <c r="K2530" s="7"/>
      <c r="L2530" s="7"/>
      <c r="M2530" s="7"/>
    </row>
    <row r="2531" ht="15.75" customHeight="1">
      <c r="A2531" s="7" t="s">
        <v>13290</v>
      </c>
      <c r="B2531" s="45" t="s">
        <v>13291</v>
      </c>
      <c r="C2531" s="7" t="s">
        <v>12248</v>
      </c>
      <c r="D2531" s="7" t="s">
        <v>13292</v>
      </c>
      <c r="E2531" s="7" t="s">
        <v>13293</v>
      </c>
      <c r="F2531" s="7" t="s">
        <v>13294</v>
      </c>
      <c r="G2531" s="7"/>
      <c r="H2531" s="46" t="s">
        <v>249</v>
      </c>
      <c r="I2531" s="7" t="s">
        <v>160</v>
      </c>
      <c r="J2531" s="7" t="s">
        <v>148</v>
      </c>
      <c r="K2531" s="7"/>
      <c r="L2531" s="7"/>
      <c r="M2531" s="7"/>
    </row>
    <row r="2532" ht="15.75" customHeight="1">
      <c r="A2532" s="7" t="s">
        <v>13295</v>
      </c>
      <c r="B2532" s="45" t="s">
        <v>13296</v>
      </c>
      <c r="C2532" s="7" t="s">
        <v>4669</v>
      </c>
      <c r="D2532" s="7" t="s">
        <v>13297</v>
      </c>
      <c r="E2532" s="7" t="s">
        <v>4671</v>
      </c>
      <c r="F2532" s="7" t="s">
        <v>4672</v>
      </c>
      <c r="G2532" s="7"/>
      <c r="H2532" s="46" t="s">
        <v>249</v>
      </c>
      <c r="I2532" s="7" t="s">
        <v>160</v>
      </c>
      <c r="J2532" s="7" t="s">
        <v>148</v>
      </c>
      <c r="K2532" s="7"/>
      <c r="L2532" s="7"/>
      <c r="M2532" s="7"/>
    </row>
    <row r="2533" ht="15.75" customHeight="1">
      <c r="A2533" s="7" t="s">
        <v>13298</v>
      </c>
      <c r="B2533" s="45" t="s">
        <v>13299</v>
      </c>
      <c r="C2533" s="7" t="s">
        <v>13300</v>
      </c>
      <c r="D2533" s="7" t="s">
        <v>13301</v>
      </c>
      <c r="E2533" s="7" t="s">
        <v>13302</v>
      </c>
      <c r="F2533" s="7" t="s">
        <v>4672</v>
      </c>
      <c r="G2533" s="7"/>
      <c r="H2533" s="46" t="s">
        <v>249</v>
      </c>
      <c r="I2533" s="7" t="s">
        <v>160</v>
      </c>
      <c r="J2533" s="7" t="s">
        <v>148</v>
      </c>
      <c r="K2533" s="7"/>
      <c r="L2533" s="7"/>
      <c r="M2533" s="7"/>
    </row>
    <row r="2534" ht="15.75" customHeight="1">
      <c r="A2534" s="7" t="s">
        <v>13303</v>
      </c>
      <c r="B2534" s="45" t="s">
        <v>13304</v>
      </c>
      <c r="C2534" s="7" t="s">
        <v>13305</v>
      </c>
      <c r="D2534" s="7" t="s">
        <v>13306</v>
      </c>
      <c r="E2534" s="7" t="s">
        <v>13307</v>
      </c>
      <c r="F2534" s="7" t="s">
        <v>13308</v>
      </c>
      <c r="G2534" s="7"/>
      <c r="H2534" s="46" t="s">
        <v>249</v>
      </c>
      <c r="I2534" s="7" t="s">
        <v>160</v>
      </c>
      <c r="J2534" s="7" t="s">
        <v>148</v>
      </c>
      <c r="K2534" s="7"/>
      <c r="L2534" s="7"/>
      <c r="M2534" s="7"/>
    </row>
    <row r="2535" ht="15.75" customHeight="1">
      <c r="A2535" s="7" t="s">
        <v>13309</v>
      </c>
      <c r="B2535" s="45" t="s">
        <v>13310</v>
      </c>
      <c r="C2535" s="7" t="s">
        <v>13311</v>
      </c>
      <c r="D2535" s="7" t="s">
        <v>13312</v>
      </c>
      <c r="E2535" s="7" t="s">
        <v>5510</v>
      </c>
      <c r="F2535" s="7" t="s">
        <v>5505</v>
      </c>
      <c r="G2535" s="7"/>
      <c r="H2535" s="46" t="s">
        <v>249</v>
      </c>
      <c r="I2535" s="7" t="s">
        <v>160</v>
      </c>
      <c r="J2535" s="7" t="s">
        <v>148</v>
      </c>
      <c r="K2535" s="7"/>
      <c r="L2535" s="7"/>
      <c r="M2535" s="7"/>
    </row>
    <row r="2536" ht="15.75" customHeight="1">
      <c r="A2536" s="7" t="s">
        <v>13313</v>
      </c>
      <c r="B2536" s="45" t="s">
        <v>13314</v>
      </c>
      <c r="C2536" s="7" t="s">
        <v>13315</v>
      </c>
      <c r="D2536" s="7" t="s">
        <v>13316</v>
      </c>
      <c r="E2536" s="7" t="s">
        <v>13317</v>
      </c>
      <c r="F2536" s="7" t="s">
        <v>13318</v>
      </c>
      <c r="G2536" s="7"/>
      <c r="H2536" s="46" t="s">
        <v>249</v>
      </c>
      <c r="I2536" s="7" t="s">
        <v>160</v>
      </c>
      <c r="J2536" s="7" t="s">
        <v>148</v>
      </c>
      <c r="K2536" s="7"/>
      <c r="L2536" s="7"/>
      <c r="M2536" s="7"/>
    </row>
    <row r="2537" ht="15.75" customHeight="1">
      <c r="A2537" s="7" t="s">
        <v>13319</v>
      </c>
      <c r="B2537" s="45" t="s">
        <v>13320</v>
      </c>
      <c r="C2537" s="7" t="s">
        <v>13321</v>
      </c>
      <c r="D2537" s="7" t="s">
        <v>13322</v>
      </c>
      <c r="E2537" s="7" t="s">
        <v>13323</v>
      </c>
      <c r="F2537" s="7" t="s">
        <v>13324</v>
      </c>
      <c r="G2537" s="7"/>
      <c r="H2537" s="46" t="s">
        <v>249</v>
      </c>
      <c r="I2537" s="7" t="s">
        <v>160</v>
      </c>
      <c r="J2537" s="7" t="s">
        <v>148</v>
      </c>
      <c r="K2537" s="7"/>
      <c r="L2537" s="7"/>
      <c r="M2537" s="7"/>
    </row>
    <row r="2538" ht="15.75" customHeight="1">
      <c r="A2538" s="7" t="s">
        <v>13325</v>
      </c>
      <c r="B2538" s="45" t="s">
        <v>13326</v>
      </c>
      <c r="C2538" s="7" t="s">
        <v>13327</v>
      </c>
      <c r="D2538" s="7" t="s">
        <v>8604</v>
      </c>
      <c r="E2538" s="7" t="s">
        <v>13328</v>
      </c>
      <c r="F2538" s="7" t="s">
        <v>13329</v>
      </c>
      <c r="G2538" s="7"/>
      <c r="H2538" s="46" t="s">
        <v>249</v>
      </c>
      <c r="I2538" s="7" t="s">
        <v>160</v>
      </c>
      <c r="J2538" s="7" t="s">
        <v>148</v>
      </c>
      <c r="K2538" s="7"/>
      <c r="L2538" s="7"/>
      <c r="M2538" s="7"/>
    </row>
    <row r="2539" ht="15.75" customHeight="1">
      <c r="A2539" s="7" t="s">
        <v>13330</v>
      </c>
      <c r="B2539" s="45" t="s">
        <v>13331</v>
      </c>
      <c r="C2539" s="7" t="s">
        <v>13332</v>
      </c>
      <c r="D2539" s="7" t="s">
        <v>13333</v>
      </c>
      <c r="E2539" s="7" t="s">
        <v>13334</v>
      </c>
      <c r="F2539" s="7" t="s">
        <v>13335</v>
      </c>
      <c r="G2539" s="7"/>
      <c r="H2539" s="46" t="s">
        <v>249</v>
      </c>
      <c r="I2539" s="7" t="s">
        <v>160</v>
      </c>
      <c r="J2539" s="7" t="s">
        <v>148</v>
      </c>
      <c r="K2539" s="7"/>
      <c r="L2539" s="7"/>
      <c r="M2539" s="7"/>
    </row>
    <row r="2540" ht="15.75" customHeight="1">
      <c r="A2540" s="7" t="s">
        <v>13336</v>
      </c>
      <c r="B2540" s="45" t="s">
        <v>13337</v>
      </c>
      <c r="C2540" s="7" t="s">
        <v>13338</v>
      </c>
      <c r="D2540" s="7" t="s">
        <v>13339</v>
      </c>
      <c r="E2540" s="7" t="s">
        <v>13340</v>
      </c>
      <c r="F2540" s="7" t="s">
        <v>13341</v>
      </c>
      <c r="G2540" s="7"/>
      <c r="H2540" s="46" t="s">
        <v>249</v>
      </c>
      <c r="I2540" s="7" t="s">
        <v>160</v>
      </c>
      <c r="J2540" s="7" t="s">
        <v>148</v>
      </c>
      <c r="K2540" s="7"/>
      <c r="L2540" s="7"/>
      <c r="M2540" s="7"/>
    </row>
    <row r="2541" ht="15.75" customHeight="1">
      <c r="A2541" s="7" t="s">
        <v>13342</v>
      </c>
      <c r="B2541" s="45" t="s">
        <v>13343</v>
      </c>
      <c r="C2541" s="7" t="s">
        <v>13344</v>
      </c>
      <c r="D2541" s="7" t="s">
        <v>13345</v>
      </c>
      <c r="E2541" s="7" t="s">
        <v>13346</v>
      </c>
      <c r="F2541" s="7" t="s">
        <v>13347</v>
      </c>
      <c r="G2541" s="7"/>
      <c r="H2541" s="46" t="s">
        <v>249</v>
      </c>
      <c r="I2541" s="7" t="s">
        <v>160</v>
      </c>
      <c r="J2541" s="7" t="s">
        <v>148</v>
      </c>
      <c r="K2541" s="7"/>
      <c r="L2541" s="7"/>
      <c r="M2541" s="7"/>
    </row>
    <row r="2542" ht="15.75" customHeight="1">
      <c r="A2542" s="7" t="s">
        <v>13348</v>
      </c>
      <c r="B2542" s="45" t="s">
        <v>13349</v>
      </c>
      <c r="C2542" s="7" t="s">
        <v>13350</v>
      </c>
      <c r="D2542" s="7" t="s">
        <v>13351</v>
      </c>
      <c r="E2542" s="7" t="s">
        <v>13352</v>
      </c>
      <c r="F2542" s="7" t="s">
        <v>13353</v>
      </c>
      <c r="G2542" s="7"/>
      <c r="H2542" s="46" t="s">
        <v>249</v>
      </c>
      <c r="I2542" s="7" t="s">
        <v>160</v>
      </c>
      <c r="J2542" s="7" t="s">
        <v>148</v>
      </c>
      <c r="K2542" s="7"/>
      <c r="L2542" s="7"/>
      <c r="M2542" s="7"/>
    </row>
    <row r="2543" ht="15.75" customHeight="1">
      <c r="A2543" s="7" t="s">
        <v>13354</v>
      </c>
      <c r="B2543" s="45" t="s">
        <v>13355</v>
      </c>
      <c r="C2543" s="7" t="s">
        <v>13356</v>
      </c>
      <c r="D2543" s="7" t="s">
        <v>13357</v>
      </c>
      <c r="E2543" s="7" t="s">
        <v>13358</v>
      </c>
      <c r="F2543" s="7" t="s">
        <v>13359</v>
      </c>
      <c r="G2543" s="7"/>
      <c r="H2543" s="46" t="s">
        <v>249</v>
      </c>
      <c r="I2543" s="7" t="s">
        <v>160</v>
      </c>
      <c r="J2543" s="7" t="s">
        <v>148</v>
      </c>
      <c r="K2543" s="7"/>
      <c r="L2543" s="7"/>
      <c r="M2543" s="7"/>
    </row>
    <row r="2544" ht="15.75" customHeight="1">
      <c r="A2544" s="7" t="s">
        <v>13360</v>
      </c>
      <c r="B2544" s="45" t="s">
        <v>13361</v>
      </c>
      <c r="C2544" s="7" t="s">
        <v>13136</v>
      </c>
      <c r="D2544" s="7" t="s">
        <v>13362</v>
      </c>
      <c r="E2544" s="7" t="s">
        <v>13138</v>
      </c>
      <c r="F2544" s="7" t="s">
        <v>13139</v>
      </c>
      <c r="G2544" s="7"/>
      <c r="H2544" s="46" t="s">
        <v>249</v>
      </c>
      <c r="I2544" s="7" t="s">
        <v>160</v>
      </c>
      <c r="J2544" s="7" t="s">
        <v>148</v>
      </c>
      <c r="K2544" s="7"/>
      <c r="L2544" s="7"/>
      <c r="M2544" s="7"/>
    </row>
    <row r="2545" ht="15.75" customHeight="1">
      <c r="A2545" s="7" t="s">
        <v>13363</v>
      </c>
      <c r="B2545" s="45" t="s">
        <v>13364</v>
      </c>
      <c r="C2545" s="7" t="s">
        <v>13365</v>
      </c>
      <c r="D2545" s="7" t="s">
        <v>13366</v>
      </c>
      <c r="E2545" s="7" t="s">
        <v>13367</v>
      </c>
      <c r="F2545" s="7" t="s">
        <v>13368</v>
      </c>
      <c r="G2545" s="7"/>
      <c r="H2545" s="46" t="s">
        <v>249</v>
      </c>
      <c r="I2545" s="7" t="s">
        <v>160</v>
      </c>
      <c r="J2545" s="7" t="s">
        <v>148</v>
      </c>
      <c r="K2545" s="7"/>
      <c r="L2545" s="7"/>
      <c r="M2545" s="7"/>
    </row>
    <row r="2546" ht="15.75" customHeight="1">
      <c r="A2546" s="7" t="s">
        <v>13369</v>
      </c>
      <c r="B2546" s="45" t="s">
        <v>13370</v>
      </c>
      <c r="C2546" s="7" t="s">
        <v>4498</v>
      </c>
      <c r="D2546" s="7" t="s">
        <v>13371</v>
      </c>
      <c r="E2546" s="7" t="s">
        <v>13372</v>
      </c>
      <c r="F2546" s="7" t="s">
        <v>13373</v>
      </c>
      <c r="G2546" s="7"/>
      <c r="H2546" s="46" t="s">
        <v>249</v>
      </c>
      <c r="I2546" s="7" t="s">
        <v>160</v>
      </c>
      <c r="J2546" s="7" t="s">
        <v>148</v>
      </c>
      <c r="K2546" s="7"/>
      <c r="L2546" s="7"/>
      <c r="M2546" s="7"/>
    </row>
    <row r="2547" ht="15.75" customHeight="1">
      <c r="A2547" s="7" t="s">
        <v>13374</v>
      </c>
      <c r="B2547" s="45" t="s">
        <v>13375</v>
      </c>
      <c r="C2547" s="7" t="s">
        <v>4498</v>
      </c>
      <c r="D2547" s="7" t="s">
        <v>13376</v>
      </c>
      <c r="E2547" s="7" t="s">
        <v>13377</v>
      </c>
      <c r="F2547" s="7" t="s">
        <v>4501</v>
      </c>
      <c r="G2547" s="7"/>
      <c r="H2547" s="46" t="s">
        <v>249</v>
      </c>
      <c r="I2547" s="7" t="s">
        <v>160</v>
      </c>
      <c r="J2547" s="7" t="s">
        <v>148</v>
      </c>
      <c r="K2547" s="7"/>
      <c r="L2547" s="7"/>
      <c r="M2547" s="7"/>
    </row>
    <row r="2548" ht="15.75" customHeight="1">
      <c r="A2548" s="7" t="s">
        <v>13378</v>
      </c>
      <c r="B2548" s="45" t="s">
        <v>13379</v>
      </c>
      <c r="C2548" s="7" t="s">
        <v>4498</v>
      </c>
      <c r="D2548" s="7" t="s">
        <v>13380</v>
      </c>
      <c r="E2548" s="7" t="s">
        <v>4500</v>
      </c>
      <c r="F2548" s="7" t="s">
        <v>4501</v>
      </c>
      <c r="G2548" s="7"/>
      <c r="H2548" s="46" t="s">
        <v>249</v>
      </c>
      <c r="I2548" s="7" t="s">
        <v>160</v>
      </c>
      <c r="J2548" s="7" t="s">
        <v>148</v>
      </c>
      <c r="K2548" s="7"/>
      <c r="L2548" s="7"/>
      <c r="M2548" s="7"/>
    </row>
    <row r="2549" ht="15.75" customHeight="1">
      <c r="A2549" s="7" t="s">
        <v>13381</v>
      </c>
      <c r="B2549" s="45" t="s">
        <v>13382</v>
      </c>
      <c r="C2549" s="7" t="s">
        <v>13383</v>
      </c>
      <c r="D2549" s="7" t="s">
        <v>13384</v>
      </c>
      <c r="E2549" s="7" t="s">
        <v>13385</v>
      </c>
      <c r="F2549" s="7" t="s">
        <v>13386</v>
      </c>
      <c r="G2549" s="7"/>
      <c r="H2549" s="46" t="s">
        <v>249</v>
      </c>
      <c r="I2549" s="7" t="s">
        <v>160</v>
      </c>
      <c r="J2549" s="7" t="s">
        <v>148</v>
      </c>
      <c r="K2549" s="7"/>
      <c r="L2549" s="7"/>
      <c r="M2549" s="7"/>
    </row>
    <row r="2550" ht="15.75" customHeight="1">
      <c r="A2550" s="7" t="s">
        <v>13387</v>
      </c>
      <c r="B2550" s="45" t="s">
        <v>13388</v>
      </c>
      <c r="C2550" s="7" t="s">
        <v>13383</v>
      </c>
      <c r="D2550" s="7" t="s">
        <v>13389</v>
      </c>
      <c r="E2550" s="7" t="s">
        <v>13385</v>
      </c>
      <c r="F2550" s="7" t="s">
        <v>13390</v>
      </c>
      <c r="G2550" s="7"/>
      <c r="H2550" s="46" t="s">
        <v>249</v>
      </c>
      <c r="I2550" s="7" t="s">
        <v>160</v>
      </c>
      <c r="J2550" s="7" t="s">
        <v>148</v>
      </c>
      <c r="K2550" s="7"/>
      <c r="L2550" s="7"/>
      <c r="M2550" s="7"/>
    </row>
    <row r="2551" ht="15.75" customHeight="1">
      <c r="A2551" s="7" t="s">
        <v>13391</v>
      </c>
      <c r="B2551" s="45" t="s">
        <v>13392</v>
      </c>
      <c r="C2551" s="7" t="s">
        <v>6114</v>
      </c>
      <c r="D2551" s="7" t="s">
        <v>13393</v>
      </c>
      <c r="E2551" s="7" t="s">
        <v>7135</v>
      </c>
      <c r="F2551" s="7" t="s">
        <v>6117</v>
      </c>
      <c r="G2551" s="7"/>
      <c r="H2551" s="46" t="s">
        <v>249</v>
      </c>
      <c r="I2551" s="7" t="s">
        <v>160</v>
      </c>
      <c r="J2551" s="7" t="s">
        <v>148</v>
      </c>
      <c r="K2551" s="7"/>
      <c r="L2551" s="7"/>
      <c r="M2551" s="7"/>
    </row>
    <row r="2552" ht="15.75" customHeight="1">
      <c r="A2552" s="7" t="s">
        <v>13394</v>
      </c>
      <c r="B2552" s="45" t="s">
        <v>13395</v>
      </c>
      <c r="C2552" s="7" t="s">
        <v>13396</v>
      </c>
      <c r="D2552" s="7" t="s">
        <v>13397</v>
      </c>
      <c r="E2552" s="7" t="s">
        <v>13398</v>
      </c>
      <c r="F2552" s="7" t="s">
        <v>13399</v>
      </c>
      <c r="G2552" s="7"/>
      <c r="H2552" s="46" t="s">
        <v>249</v>
      </c>
      <c r="I2552" s="7" t="s">
        <v>160</v>
      </c>
      <c r="J2552" s="7" t="s">
        <v>148</v>
      </c>
      <c r="K2552" s="7"/>
      <c r="L2552" s="7"/>
      <c r="M2552" s="7"/>
    </row>
    <row r="2553" ht="15.75" customHeight="1">
      <c r="A2553" s="7" t="s">
        <v>13400</v>
      </c>
      <c r="B2553" s="45" t="s">
        <v>13401</v>
      </c>
      <c r="C2553" s="7" t="s">
        <v>13396</v>
      </c>
      <c r="D2553" s="7" t="s">
        <v>13402</v>
      </c>
      <c r="E2553" s="7" t="s">
        <v>13398</v>
      </c>
      <c r="F2553" s="7" t="s">
        <v>13399</v>
      </c>
      <c r="G2553" s="7"/>
      <c r="H2553" s="46" t="s">
        <v>249</v>
      </c>
      <c r="I2553" s="7" t="s">
        <v>160</v>
      </c>
      <c r="J2553" s="7" t="s">
        <v>148</v>
      </c>
      <c r="K2553" s="7"/>
      <c r="L2553" s="7"/>
      <c r="M2553" s="7"/>
    </row>
    <row r="2554" ht="15.75" customHeight="1">
      <c r="A2554" s="7" t="s">
        <v>13403</v>
      </c>
      <c r="B2554" s="45" t="s">
        <v>13404</v>
      </c>
      <c r="C2554" s="7" t="s">
        <v>13405</v>
      </c>
      <c r="D2554" s="7" t="s">
        <v>13406</v>
      </c>
      <c r="E2554" s="7" t="s">
        <v>13407</v>
      </c>
      <c r="F2554" s="7" t="s">
        <v>13408</v>
      </c>
      <c r="G2554" s="7"/>
      <c r="H2554" s="46" t="s">
        <v>249</v>
      </c>
      <c r="I2554" s="7" t="s">
        <v>160</v>
      </c>
      <c r="J2554" s="7" t="s">
        <v>148</v>
      </c>
      <c r="K2554" s="7"/>
      <c r="L2554" s="7"/>
      <c r="M2554" s="7"/>
    </row>
    <row r="2555" ht="15.75" customHeight="1">
      <c r="A2555" s="7" t="s">
        <v>13409</v>
      </c>
      <c r="B2555" s="45" t="s">
        <v>13410</v>
      </c>
      <c r="C2555" s="7" t="s">
        <v>13411</v>
      </c>
      <c r="D2555" s="7" t="s">
        <v>13412</v>
      </c>
      <c r="E2555" s="7" t="s">
        <v>13413</v>
      </c>
      <c r="F2555" s="7" t="s">
        <v>13414</v>
      </c>
      <c r="G2555" s="7"/>
      <c r="H2555" s="46" t="s">
        <v>249</v>
      </c>
      <c r="I2555" s="7" t="s">
        <v>160</v>
      </c>
      <c r="J2555" s="7" t="s">
        <v>148</v>
      </c>
      <c r="K2555" s="7"/>
      <c r="L2555" s="7"/>
      <c r="M2555" s="7"/>
    </row>
    <row r="2556" ht="15.75" customHeight="1">
      <c r="A2556" s="7" t="s">
        <v>13415</v>
      </c>
      <c r="B2556" s="45" t="s">
        <v>13416</v>
      </c>
      <c r="C2556" s="7" t="s">
        <v>13417</v>
      </c>
      <c r="D2556" s="7" t="s">
        <v>13418</v>
      </c>
      <c r="E2556" s="7" t="s">
        <v>13419</v>
      </c>
      <c r="F2556" s="7" t="s">
        <v>13420</v>
      </c>
      <c r="G2556" s="7"/>
      <c r="H2556" s="46" t="s">
        <v>249</v>
      </c>
      <c r="I2556" s="7" t="s">
        <v>160</v>
      </c>
      <c r="J2556" s="7" t="s">
        <v>148</v>
      </c>
      <c r="K2556" s="7"/>
      <c r="L2556" s="7"/>
      <c r="M2556" s="7"/>
    </row>
    <row r="2557" ht="15.75" customHeight="1">
      <c r="A2557" s="7" t="s">
        <v>13421</v>
      </c>
      <c r="B2557" s="45" t="s">
        <v>13422</v>
      </c>
      <c r="C2557" s="7" t="s">
        <v>13417</v>
      </c>
      <c r="D2557" s="7" t="s">
        <v>13423</v>
      </c>
      <c r="E2557" s="7" t="s">
        <v>13424</v>
      </c>
      <c r="F2557" s="7" t="s">
        <v>13425</v>
      </c>
      <c r="G2557" s="7"/>
      <c r="H2557" s="46" t="s">
        <v>249</v>
      </c>
      <c r="I2557" s="7" t="s">
        <v>160</v>
      </c>
      <c r="J2557" s="7" t="s">
        <v>148</v>
      </c>
      <c r="K2557" s="7"/>
      <c r="L2557" s="7"/>
      <c r="M2557" s="7"/>
    </row>
    <row r="2558" ht="15.75" customHeight="1">
      <c r="A2558" s="7" t="s">
        <v>13426</v>
      </c>
      <c r="B2558" s="45" t="s">
        <v>13427</v>
      </c>
      <c r="C2558" s="7" t="s">
        <v>13428</v>
      </c>
      <c r="D2558" s="7" t="s">
        <v>13429</v>
      </c>
      <c r="E2558" s="7" t="s">
        <v>620</v>
      </c>
      <c r="F2558" s="7" t="s">
        <v>621</v>
      </c>
      <c r="G2558" s="7"/>
      <c r="H2558" s="46" t="s">
        <v>249</v>
      </c>
      <c r="I2558" s="7" t="s">
        <v>160</v>
      </c>
      <c r="J2558" s="7" t="s">
        <v>148</v>
      </c>
      <c r="K2558" s="7"/>
      <c r="L2558" s="7"/>
      <c r="M2558" s="7"/>
    </row>
    <row r="2559" ht="15.75" customHeight="1">
      <c r="A2559" s="7" t="s">
        <v>13430</v>
      </c>
      <c r="B2559" s="45" t="s">
        <v>13431</v>
      </c>
      <c r="C2559" s="7" t="s">
        <v>13356</v>
      </c>
      <c r="D2559" s="7" t="s">
        <v>13432</v>
      </c>
      <c r="E2559" s="7" t="s">
        <v>13433</v>
      </c>
      <c r="F2559" s="7" t="s">
        <v>13434</v>
      </c>
      <c r="G2559" s="7"/>
      <c r="H2559" s="46" t="s">
        <v>249</v>
      </c>
      <c r="I2559" s="7" t="s">
        <v>160</v>
      </c>
      <c r="J2559" s="7" t="s">
        <v>148</v>
      </c>
      <c r="K2559" s="7"/>
      <c r="L2559" s="7"/>
      <c r="M2559" s="7"/>
    </row>
    <row r="2560" ht="15.75" customHeight="1">
      <c r="A2560" s="7" t="s">
        <v>13435</v>
      </c>
      <c r="B2560" s="45" t="s">
        <v>13436</v>
      </c>
      <c r="C2560" s="7" t="s">
        <v>13437</v>
      </c>
      <c r="D2560" s="7" t="s">
        <v>13438</v>
      </c>
      <c r="E2560" s="7" t="s">
        <v>667</v>
      </c>
      <c r="F2560" s="7" t="s">
        <v>13439</v>
      </c>
      <c r="G2560" s="7"/>
      <c r="H2560" s="46" t="s">
        <v>249</v>
      </c>
      <c r="I2560" s="7" t="s">
        <v>160</v>
      </c>
      <c r="J2560" s="7" t="s">
        <v>148</v>
      </c>
      <c r="K2560" s="7"/>
      <c r="L2560" s="7"/>
      <c r="M2560" s="7"/>
    </row>
    <row r="2561" ht="15.75" customHeight="1">
      <c r="A2561" s="7" t="s">
        <v>13440</v>
      </c>
      <c r="B2561" s="45" t="s">
        <v>13441</v>
      </c>
      <c r="C2561" s="7" t="s">
        <v>13442</v>
      </c>
      <c r="D2561" s="7" t="s">
        <v>13443</v>
      </c>
      <c r="E2561" s="7" t="s">
        <v>13444</v>
      </c>
      <c r="F2561" s="7" t="s">
        <v>13445</v>
      </c>
      <c r="G2561" s="7"/>
      <c r="H2561" s="46" t="s">
        <v>249</v>
      </c>
      <c r="I2561" s="7" t="s">
        <v>160</v>
      </c>
      <c r="J2561" s="7" t="s">
        <v>148</v>
      </c>
      <c r="K2561" s="7"/>
      <c r="L2561" s="7"/>
      <c r="M2561" s="7"/>
    </row>
    <row r="2562" ht="15.75" customHeight="1">
      <c r="A2562" s="7" t="s">
        <v>13446</v>
      </c>
      <c r="B2562" s="45" t="s">
        <v>13447</v>
      </c>
      <c r="C2562" s="7" t="s">
        <v>13448</v>
      </c>
      <c r="D2562" s="7" t="s">
        <v>13449</v>
      </c>
      <c r="E2562" s="7" t="s">
        <v>13450</v>
      </c>
      <c r="F2562" s="7" t="s">
        <v>13451</v>
      </c>
      <c r="G2562" s="7"/>
      <c r="H2562" s="46" t="s">
        <v>249</v>
      </c>
      <c r="I2562" s="7" t="s">
        <v>160</v>
      </c>
      <c r="J2562" s="7" t="s">
        <v>148</v>
      </c>
      <c r="K2562" s="7"/>
      <c r="L2562" s="7"/>
      <c r="M2562" s="7"/>
    </row>
    <row r="2563" ht="15.75" customHeight="1">
      <c r="A2563" s="7" t="s">
        <v>13452</v>
      </c>
      <c r="B2563" s="45" t="s">
        <v>13453</v>
      </c>
      <c r="C2563" s="7" t="s">
        <v>2467</v>
      </c>
      <c r="D2563" s="7" t="s">
        <v>13454</v>
      </c>
      <c r="E2563" s="7" t="s">
        <v>2382</v>
      </c>
      <c r="F2563" s="7" t="s">
        <v>1801</v>
      </c>
      <c r="G2563" s="7"/>
      <c r="H2563" s="46" t="s">
        <v>249</v>
      </c>
      <c r="I2563" s="7" t="s">
        <v>160</v>
      </c>
      <c r="J2563" s="7" t="s">
        <v>148</v>
      </c>
      <c r="K2563" s="7"/>
      <c r="L2563" s="7"/>
      <c r="M2563" s="7"/>
    </row>
    <row r="2564" ht="15.75" customHeight="1">
      <c r="A2564" s="7" t="s">
        <v>13455</v>
      </c>
      <c r="B2564" s="45" t="s">
        <v>13456</v>
      </c>
      <c r="C2564" s="7" t="s">
        <v>13457</v>
      </c>
      <c r="D2564" s="7" t="s">
        <v>13458</v>
      </c>
      <c r="E2564" s="7" t="s">
        <v>13459</v>
      </c>
      <c r="F2564" s="7" t="s">
        <v>13460</v>
      </c>
      <c r="G2564" s="7"/>
      <c r="H2564" s="46" t="s">
        <v>249</v>
      </c>
      <c r="I2564" s="7" t="s">
        <v>160</v>
      </c>
      <c r="J2564" s="7" t="s">
        <v>148</v>
      </c>
      <c r="K2564" s="7"/>
      <c r="L2564" s="7"/>
      <c r="M2564" s="7"/>
    </row>
    <row r="2565" ht="15.75" customHeight="1">
      <c r="A2565" s="7" t="s">
        <v>13461</v>
      </c>
      <c r="B2565" s="45" t="s">
        <v>13462</v>
      </c>
      <c r="C2565" s="7" t="s">
        <v>13463</v>
      </c>
      <c r="D2565" s="7" t="s">
        <v>13464</v>
      </c>
      <c r="E2565" s="7" t="s">
        <v>13465</v>
      </c>
      <c r="F2565" s="7" t="s">
        <v>1569</v>
      </c>
      <c r="G2565" s="7"/>
      <c r="H2565" s="46" t="s">
        <v>249</v>
      </c>
      <c r="I2565" s="7" t="s">
        <v>160</v>
      </c>
      <c r="J2565" s="7" t="s">
        <v>148</v>
      </c>
      <c r="K2565" s="7"/>
      <c r="L2565" s="7"/>
      <c r="M2565" s="7"/>
    </row>
    <row r="2566" ht="15.75" customHeight="1">
      <c r="A2566" s="7" t="s">
        <v>13466</v>
      </c>
      <c r="B2566" s="45" t="s">
        <v>13467</v>
      </c>
      <c r="C2566" s="7" t="s">
        <v>13468</v>
      </c>
      <c r="D2566" s="7" t="s">
        <v>13469</v>
      </c>
      <c r="E2566" s="7" t="s">
        <v>13470</v>
      </c>
      <c r="F2566" s="7" t="s">
        <v>13471</v>
      </c>
      <c r="G2566" s="7"/>
      <c r="H2566" s="46" t="s">
        <v>249</v>
      </c>
      <c r="I2566" s="7" t="s">
        <v>160</v>
      </c>
      <c r="J2566" s="7" t="s">
        <v>148</v>
      </c>
      <c r="K2566" s="7"/>
      <c r="L2566" s="7"/>
      <c r="M2566" s="7"/>
    </row>
    <row r="2567" ht="15.75" customHeight="1">
      <c r="A2567" s="7" t="s">
        <v>13472</v>
      </c>
      <c r="B2567" s="45" t="s">
        <v>13473</v>
      </c>
      <c r="C2567" s="7" t="s">
        <v>13474</v>
      </c>
      <c r="D2567" s="7" t="s">
        <v>13475</v>
      </c>
      <c r="E2567" s="7" t="s">
        <v>13470</v>
      </c>
      <c r="F2567" s="7" t="s">
        <v>13471</v>
      </c>
      <c r="G2567" s="7"/>
      <c r="H2567" s="46" t="s">
        <v>249</v>
      </c>
      <c r="I2567" s="7" t="s">
        <v>160</v>
      </c>
      <c r="J2567" s="7" t="s">
        <v>148</v>
      </c>
      <c r="K2567" s="7"/>
      <c r="L2567" s="7"/>
      <c r="M2567" s="7"/>
    </row>
    <row r="2568" ht="15.75" customHeight="1">
      <c r="A2568" s="7" t="s">
        <v>13476</v>
      </c>
      <c r="B2568" s="45" t="s">
        <v>13477</v>
      </c>
      <c r="C2568" s="7" t="s">
        <v>13478</v>
      </c>
      <c r="D2568" s="7" t="s">
        <v>13479</v>
      </c>
      <c r="E2568" s="7" t="s">
        <v>13480</v>
      </c>
      <c r="F2568" s="7" t="s">
        <v>13481</v>
      </c>
      <c r="G2568" s="7"/>
      <c r="H2568" s="46" t="s">
        <v>249</v>
      </c>
      <c r="I2568" s="7" t="s">
        <v>160</v>
      </c>
      <c r="J2568" s="7" t="s">
        <v>148</v>
      </c>
      <c r="K2568" s="7"/>
      <c r="L2568" s="7"/>
      <c r="M2568" s="7"/>
    </row>
    <row r="2569" ht="15.75" customHeight="1">
      <c r="A2569" s="7" t="s">
        <v>13482</v>
      </c>
      <c r="B2569" s="45" t="s">
        <v>13483</v>
      </c>
      <c r="C2569" s="7" t="s">
        <v>13484</v>
      </c>
      <c r="D2569" s="7" t="s">
        <v>13485</v>
      </c>
      <c r="E2569" s="7" t="s">
        <v>13486</v>
      </c>
      <c r="F2569" s="7" t="s">
        <v>13487</v>
      </c>
      <c r="G2569" s="7"/>
      <c r="H2569" s="46" t="s">
        <v>249</v>
      </c>
      <c r="I2569" s="7" t="s">
        <v>160</v>
      </c>
      <c r="J2569" s="7" t="s">
        <v>148</v>
      </c>
      <c r="K2569" s="7"/>
      <c r="L2569" s="7"/>
      <c r="M2569" s="7"/>
    </row>
    <row r="2570" ht="15.75" customHeight="1">
      <c r="A2570" s="7" t="s">
        <v>13488</v>
      </c>
      <c r="B2570" s="45" t="s">
        <v>13489</v>
      </c>
      <c r="C2570" s="7" t="s">
        <v>13490</v>
      </c>
      <c r="D2570" s="7" t="s">
        <v>13491</v>
      </c>
      <c r="E2570" s="7" t="s">
        <v>13492</v>
      </c>
      <c r="F2570" s="7" t="s">
        <v>13493</v>
      </c>
      <c r="G2570" s="7"/>
      <c r="H2570" s="46" t="s">
        <v>249</v>
      </c>
      <c r="I2570" s="7" t="s">
        <v>160</v>
      </c>
      <c r="J2570" s="7" t="s">
        <v>148</v>
      </c>
      <c r="K2570" s="7"/>
      <c r="L2570" s="7"/>
      <c r="M2570" s="7"/>
    </row>
    <row r="2571" ht="15.75" customHeight="1">
      <c r="A2571" s="7" t="s">
        <v>13494</v>
      </c>
      <c r="B2571" s="45" t="s">
        <v>13495</v>
      </c>
      <c r="C2571" s="7" t="s">
        <v>13496</v>
      </c>
      <c r="D2571" s="7" t="s">
        <v>13497</v>
      </c>
      <c r="E2571" s="7" t="s">
        <v>13498</v>
      </c>
      <c r="F2571" s="7" t="s">
        <v>13499</v>
      </c>
      <c r="G2571" s="7"/>
      <c r="H2571" s="46" t="s">
        <v>249</v>
      </c>
      <c r="I2571" s="7" t="s">
        <v>160</v>
      </c>
      <c r="J2571" s="7" t="s">
        <v>148</v>
      </c>
      <c r="K2571" s="7"/>
      <c r="L2571" s="7"/>
      <c r="M2571" s="7"/>
    </row>
    <row r="2572" ht="15.75" customHeight="1">
      <c r="A2572" s="7" t="s">
        <v>13500</v>
      </c>
      <c r="B2572" s="45" t="s">
        <v>13501</v>
      </c>
      <c r="C2572" s="7" t="s">
        <v>13502</v>
      </c>
      <c r="D2572" s="7" t="s">
        <v>13503</v>
      </c>
      <c r="E2572" s="7" t="s">
        <v>13504</v>
      </c>
      <c r="F2572" s="7" t="s">
        <v>13505</v>
      </c>
      <c r="G2572" s="7"/>
      <c r="H2572" s="46" t="s">
        <v>249</v>
      </c>
      <c r="I2572" s="7" t="s">
        <v>160</v>
      </c>
      <c r="J2572" s="7" t="s">
        <v>148</v>
      </c>
      <c r="K2572" s="7"/>
      <c r="L2572" s="7"/>
      <c r="M2572" s="7"/>
    </row>
    <row r="2573" ht="15.75" customHeight="1">
      <c r="A2573" s="7" t="s">
        <v>13506</v>
      </c>
      <c r="B2573" s="45" t="s">
        <v>13507</v>
      </c>
      <c r="C2573" s="7" t="s">
        <v>13508</v>
      </c>
      <c r="D2573" s="7" t="s">
        <v>13509</v>
      </c>
      <c r="E2573" s="7" t="s">
        <v>13510</v>
      </c>
      <c r="F2573" s="7" t="s">
        <v>13511</v>
      </c>
      <c r="G2573" s="7"/>
      <c r="H2573" s="46" t="s">
        <v>249</v>
      </c>
      <c r="I2573" s="7" t="s">
        <v>160</v>
      </c>
      <c r="J2573" s="7" t="s">
        <v>148</v>
      </c>
      <c r="K2573" s="7"/>
      <c r="L2573" s="7"/>
      <c r="M2573" s="7"/>
    </row>
    <row r="2574" ht="15.75" customHeight="1">
      <c r="A2574" s="7" t="s">
        <v>13512</v>
      </c>
      <c r="B2574" s="45" t="s">
        <v>13513</v>
      </c>
      <c r="C2574" s="7" t="s">
        <v>13514</v>
      </c>
      <c r="D2574" s="7" t="s">
        <v>13515</v>
      </c>
      <c r="E2574" s="7" t="s">
        <v>13516</v>
      </c>
      <c r="F2574" s="7" t="s">
        <v>13517</v>
      </c>
      <c r="G2574" s="7"/>
      <c r="H2574" s="46" t="s">
        <v>249</v>
      </c>
      <c r="I2574" s="7" t="s">
        <v>160</v>
      </c>
      <c r="J2574" s="7" t="s">
        <v>148</v>
      </c>
      <c r="K2574" s="7"/>
      <c r="L2574" s="7"/>
      <c r="M2574" s="7"/>
    </row>
    <row r="2575" ht="15.75" customHeight="1">
      <c r="A2575" s="7" t="s">
        <v>13518</v>
      </c>
      <c r="B2575" s="45" t="s">
        <v>13519</v>
      </c>
      <c r="C2575" s="7" t="s">
        <v>4669</v>
      </c>
      <c r="D2575" s="7" t="s">
        <v>13520</v>
      </c>
      <c r="E2575" s="7" t="s">
        <v>4671</v>
      </c>
      <c r="F2575" s="7" t="s">
        <v>4672</v>
      </c>
      <c r="G2575" s="7"/>
      <c r="H2575" s="46" t="s">
        <v>249</v>
      </c>
      <c r="I2575" s="7" t="s">
        <v>160</v>
      </c>
      <c r="J2575" s="7" t="s">
        <v>148</v>
      </c>
      <c r="K2575" s="7"/>
      <c r="L2575" s="7"/>
      <c r="M2575" s="7"/>
    </row>
    <row r="2576" ht="15.75" customHeight="1">
      <c r="A2576" s="7" t="s">
        <v>13521</v>
      </c>
      <c r="B2576" s="45" t="s">
        <v>13522</v>
      </c>
      <c r="C2576" s="7" t="s">
        <v>13523</v>
      </c>
      <c r="D2576" s="7" t="s">
        <v>13524</v>
      </c>
      <c r="E2576" s="7" t="s">
        <v>13525</v>
      </c>
      <c r="F2576" s="7" t="s">
        <v>13526</v>
      </c>
      <c r="G2576" s="7"/>
      <c r="H2576" s="46" t="s">
        <v>249</v>
      </c>
      <c r="I2576" s="7" t="s">
        <v>160</v>
      </c>
      <c r="J2576" s="7" t="s">
        <v>148</v>
      </c>
      <c r="K2576" s="7"/>
      <c r="L2576" s="7"/>
      <c r="M2576" s="7"/>
    </row>
    <row r="2577" ht="15.75" customHeight="1">
      <c r="A2577" s="7" t="s">
        <v>13527</v>
      </c>
      <c r="B2577" s="45" t="s">
        <v>13528</v>
      </c>
      <c r="C2577" s="7" t="s">
        <v>13529</v>
      </c>
      <c r="D2577" s="7" t="s">
        <v>9200</v>
      </c>
      <c r="E2577" s="7" t="s">
        <v>9201</v>
      </c>
      <c r="F2577" s="7" t="s">
        <v>9202</v>
      </c>
      <c r="G2577" s="7"/>
      <c r="H2577" s="46" t="s">
        <v>249</v>
      </c>
      <c r="I2577" s="7" t="s">
        <v>160</v>
      </c>
      <c r="J2577" s="7" t="s">
        <v>148</v>
      </c>
      <c r="K2577" s="7"/>
      <c r="L2577" s="7"/>
      <c r="M2577" s="7"/>
    </row>
    <row r="2578" ht="15.75" customHeight="1">
      <c r="A2578" s="7" t="s">
        <v>13530</v>
      </c>
      <c r="B2578" s="45" t="s">
        <v>13531</v>
      </c>
      <c r="C2578" s="7" t="s">
        <v>13532</v>
      </c>
      <c r="D2578" s="7" t="s">
        <v>13533</v>
      </c>
      <c r="E2578" s="7" t="s">
        <v>1196</v>
      </c>
      <c r="F2578" s="7" t="s">
        <v>13534</v>
      </c>
      <c r="G2578" s="7"/>
      <c r="H2578" s="46" t="s">
        <v>249</v>
      </c>
      <c r="I2578" s="7" t="s">
        <v>160</v>
      </c>
      <c r="J2578" s="7" t="s">
        <v>148</v>
      </c>
      <c r="K2578" s="7"/>
      <c r="L2578" s="7"/>
      <c r="M2578" s="7"/>
    </row>
    <row r="2579" ht="15.75" customHeight="1">
      <c r="A2579" s="7" t="s">
        <v>13535</v>
      </c>
      <c r="B2579" s="45" t="s">
        <v>13536</v>
      </c>
      <c r="C2579" s="7" t="s">
        <v>13537</v>
      </c>
      <c r="D2579" s="7" t="s">
        <v>13538</v>
      </c>
      <c r="E2579" s="7" t="s">
        <v>13539</v>
      </c>
      <c r="F2579" s="7" t="s">
        <v>13540</v>
      </c>
      <c r="G2579" s="7"/>
      <c r="H2579" s="46" t="s">
        <v>249</v>
      </c>
      <c r="I2579" s="7" t="s">
        <v>160</v>
      </c>
      <c r="J2579" s="7" t="s">
        <v>148</v>
      </c>
      <c r="K2579" s="7"/>
      <c r="L2579" s="7"/>
      <c r="M2579" s="7"/>
    </row>
    <row r="2580" ht="15.75" customHeight="1">
      <c r="A2580" s="7" t="s">
        <v>13541</v>
      </c>
      <c r="B2580" s="45" t="s">
        <v>13542</v>
      </c>
      <c r="C2580" s="7" t="s">
        <v>13543</v>
      </c>
      <c r="D2580" s="7" t="s">
        <v>13544</v>
      </c>
      <c r="E2580" s="7" t="s">
        <v>13545</v>
      </c>
      <c r="F2580" s="7" t="s">
        <v>13546</v>
      </c>
      <c r="G2580" s="7"/>
      <c r="H2580" s="46" t="s">
        <v>249</v>
      </c>
      <c r="I2580" s="7" t="s">
        <v>160</v>
      </c>
      <c r="J2580" s="7" t="s">
        <v>148</v>
      </c>
      <c r="K2580" s="7"/>
      <c r="L2580" s="7"/>
      <c r="M2580" s="7"/>
    </row>
    <row r="2581" ht="15.75" customHeight="1">
      <c r="A2581" s="7" t="s">
        <v>13547</v>
      </c>
      <c r="B2581" s="45" t="s">
        <v>13548</v>
      </c>
      <c r="C2581" s="7" t="s">
        <v>13549</v>
      </c>
      <c r="D2581" s="7" t="s">
        <v>13550</v>
      </c>
      <c r="E2581" s="7" t="s">
        <v>13545</v>
      </c>
      <c r="F2581" s="7" t="s">
        <v>13546</v>
      </c>
      <c r="G2581" s="7"/>
      <c r="H2581" s="46" t="s">
        <v>249</v>
      </c>
      <c r="I2581" s="7" t="s">
        <v>160</v>
      </c>
      <c r="J2581" s="7" t="s">
        <v>148</v>
      </c>
      <c r="K2581" s="7"/>
      <c r="L2581" s="7"/>
      <c r="M2581" s="7"/>
    </row>
    <row r="2582" ht="15.75" customHeight="1">
      <c r="A2582" s="7" t="s">
        <v>13551</v>
      </c>
      <c r="B2582" s="45" t="s">
        <v>13552</v>
      </c>
      <c r="C2582" s="7" t="s">
        <v>13553</v>
      </c>
      <c r="D2582" s="7" t="s">
        <v>13554</v>
      </c>
      <c r="E2582" s="7" t="s">
        <v>13555</v>
      </c>
      <c r="F2582" s="7" t="s">
        <v>13556</v>
      </c>
      <c r="G2582" s="7"/>
      <c r="H2582" s="46" t="s">
        <v>249</v>
      </c>
      <c r="I2582" s="7" t="s">
        <v>160</v>
      </c>
      <c r="J2582" s="7" t="s">
        <v>148</v>
      </c>
      <c r="K2582" s="7"/>
      <c r="L2582" s="7"/>
      <c r="M2582" s="7"/>
    </row>
    <row r="2583" ht="15.75" customHeight="1">
      <c r="A2583" s="7" t="s">
        <v>13557</v>
      </c>
      <c r="B2583" s="45" t="s">
        <v>13558</v>
      </c>
      <c r="C2583" s="7" t="s">
        <v>13559</v>
      </c>
      <c r="D2583" s="7" t="s">
        <v>13560</v>
      </c>
      <c r="E2583" s="7" t="s">
        <v>13561</v>
      </c>
      <c r="F2583" s="7" t="s">
        <v>13562</v>
      </c>
      <c r="G2583" s="7" t="s">
        <v>13563</v>
      </c>
      <c r="H2583" s="46" t="s">
        <v>249</v>
      </c>
      <c r="I2583" s="7" t="s">
        <v>160</v>
      </c>
      <c r="J2583" s="7" t="s">
        <v>148</v>
      </c>
      <c r="K2583" s="7"/>
      <c r="L2583" s="7"/>
      <c r="M2583" s="7"/>
    </row>
    <row r="2584" ht="15.75" customHeight="1">
      <c r="A2584" s="7" t="s">
        <v>13564</v>
      </c>
      <c r="B2584" s="45" t="s">
        <v>13565</v>
      </c>
      <c r="C2584" s="7" t="s">
        <v>13566</v>
      </c>
      <c r="D2584" s="7" t="s">
        <v>13567</v>
      </c>
      <c r="E2584" s="7" t="s">
        <v>13568</v>
      </c>
      <c r="F2584" s="7" t="s">
        <v>13569</v>
      </c>
      <c r="G2584" s="7"/>
      <c r="H2584" s="46" t="s">
        <v>249</v>
      </c>
      <c r="I2584" s="7" t="s">
        <v>160</v>
      </c>
      <c r="J2584" s="7" t="s">
        <v>148</v>
      </c>
      <c r="K2584" s="7"/>
      <c r="L2584" s="7"/>
      <c r="M2584" s="7"/>
    </row>
    <row r="2585" ht="15.75" customHeight="1">
      <c r="A2585" s="7" t="s">
        <v>13570</v>
      </c>
      <c r="B2585" s="45" t="s">
        <v>13571</v>
      </c>
      <c r="C2585" s="7" t="s">
        <v>13572</v>
      </c>
      <c r="D2585" s="7" t="s">
        <v>13573</v>
      </c>
      <c r="E2585" s="7" t="s">
        <v>13574</v>
      </c>
      <c r="F2585" s="7" t="s">
        <v>13575</v>
      </c>
      <c r="G2585" s="7"/>
      <c r="H2585" s="46" t="s">
        <v>249</v>
      </c>
      <c r="I2585" s="7" t="s">
        <v>160</v>
      </c>
      <c r="J2585" s="7" t="s">
        <v>148</v>
      </c>
      <c r="K2585" s="7"/>
      <c r="L2585" s="7"/>
      <c r="M2585" s="7"/>
    </row>
    <row r="2586" ht="15.75" customHeight="1">
      <c r="A2586" s="7" t="s">
        <v>13576</v>
      </c>
      <c r="B2586" s="45" t="s">
        <v>13577</v>
      </c>
      <c r="C2586" s="7" t="s">
        <v>10282</v>
      </c>
      <c r="D2586" s="7" t="s">
        <v>10283</v>
      </c>
      <c r="E2586" s="7" t="s">
        <v>10284</v>
      </c>
      <c r="F2586" s="7" t="s">
        <v>9397</v>
      </c>
      <c r="G2586" s="7"/>
      <c r="H2586" s="46" t="s">
        <v>249</v>
      </c>
      <c r="I2586" s="7" t="s">
        <v>160</v>
      </c>
      <c r="J2586" s="7" t="s">
        <v>148</v>
      </c>
      <c r="K2586" s="7"/>
      <c r="L2586" s="7"/>
      <c r="M2586" s="7"/>
    </row>
    <row r="2587" ht="15.75" customHeight="1">
      <c r="A2587" s="7" t="s">
        <v>13578</v>
      </c>
      <c r="B2587" s="45" t="s">
        <v>13579</v>
      </c>
      <c r="C2587" s="7" t="s">
        <v>13580</v>
      </c>
      <c r="D2587" s="7" t="s">
        <v>13581</v>
      </c>
      <c r="E2587" s="7" t="s">
        <v>13582</v>
      </c>
      <c r="F2587" s="7" t="s">
        <v>13583</v>
      </c>
      <c r="G2587" s="7"/>
      <c r="H2587" s="46" t="s">
        <v>249</v>
      </c>
      <c r="I2587" s="7" t="s">
        <v>160</v>
      </c>
      <c r="J2587" s="7" t="s">
        <v>148</v>
      </c>
      <c r="K2587" s="7"/>
      <c r="L2587" s="7"/>
      <c r="M2587" s="7"/>
    </row>
    <row r="2588" ht="15.75" customHeight="1">
      <c r="A2588" s="7" t="s">
        <v>13584</v>
      </c>
      <c r="B2588" s="45" t="s">
        <v>13585</v>
      </c>
      <c r="C2588" s="7" t="s">
        <v>4082</v>
      </c>
      <c r="D2588" s="7" t="s">
        <v>13586</v>
      </c>
      <c r="E2588" s="7" t="s">
        <v>4084</v>
      </c>
      <c r="F2588" s="7" t="s">
        <v>2433</v>
      </c>
      <c r="G2588" s="7"/>
      <c r="H2588" s="46" t="s">
        <v>249</v>
      </c>
      <c r="I2588" s="7" t="s">
        <v>160</v>
      </c>
      <c r="J2588" s="7" t="s">
        <v>148</v>
      </c>
      <c r="K2588" s="7"/>
      <c r="L2588" s="7"/>
      <c r="M2588" s="7"/>
    </row>
    <row r="2589" ht="15.75" customHeight="1">
      <c r="A2589" s="7" t="s">
        <v>13587</v>
      </c>
      <c r="B2589" s="45" t="s">
        <v>13588</v>
      </c>
      <c r="C2589" s="7" t="s">
        <v>2475</v>
      </c>
      <c r="D2589" s="7" t="s">
        <v>13589</v>
      </c>
      <c r="E2589" s="7" t="s">
        <v>13590</v>
      </c>
      <c r="F2589" s="7" t="s">
        <v>1521</v>
      </c>
      <c r="G2589" s="7"/>
      <c r="H2589" s="46" t="s">
        <v>249</v>
      </c>
      <c r="I2589" s="7" t="s">
        <v>160</v>
      </c>
      <c r="J2589" s="7" t="s">
        <v>148</v>
      </c>
      <c r="K2589" s="7"/>
      <c r="L2589" s="7"/>
      <c r="M2589" s="7"/>
    </row>
    <row r="2590" ht="15.75" customHeight="1">
      <c r="A2590" s="7" t="s">
        <v>13591</v>
      </c>
      <c r="B2590" s="45" t="s">
        <v>13592</v>
      </c>
      <c r="C2590" s="7" t="s">
        <v>13593</v>
      </c>
      <c r="D2590" s="7" t="s">
        <v>13594</v>
      </c>
      <c r="E2590" s="7" t="s">
        <v>13595</v>
      </c>
      <c r="F2590" s="7" t="s">
        <v>13596</v>
      </c>
      <c r="G2590" s="7"/>
      <c r="H2590" s="46" t="s">
        <v>249</v>
      </c>
      <c r="I2590" s="7" t="s">
        <v>160</v>
      </c>
      <c r="J2590" s="7" t="s">
        <v>148</v>
      </c>
      <c r="K2590" s="7"/>
      <c r="L2590" s="7"/>
      <c r="M2590" s="7"/>
    </row>
    <row r="2591" ht="15.75" customHeight="1">
      <c r="A2591" s="7" t="s">
        <v>13597</v>
      </c>
      <c r="B2591" s="45" t="s">
        <v>13598</v>
      </c>
      <c r="C2591" s="7" t="s">
        <v>13599</v>
      </c>
      <c r="D2591" s="7" t="s">
        <v>13600</v>
      </c>
      <c r="E2591" s="7" t="s">
        <v>13601</v>
      </c>
      <c r="F2591" s="7" t="s">
        <v>13602</v>
      </c>
      <c r="G2591" s="7"/>
      <c r="H2591" s="46" t="s">
        <v>249</v>
      </c>
      <c r="I2591" s="7" t="s">
        <v>160</v>
      </c>
      <c r="J2591" s="7" t="s">
        <v>148</v>
      </c>
      <c r="K2591" s="7"/>
      <c r="L2591" s="7"/>
      <c r="M2591" s="7"/>
    </row>
    <row r="2592" ht="15.75" customHeight="1">
      <c r="A2592" s="7" t="s">
        <v>13603</v>
      </c>
      <c r="B2592" s="45" t="s">
        <v>13604</v>
      </c>
      <c r="C2592" s="7" t="s">
        <v>13605</v>
      </c>
      <c r="D2592" s="7" t="s">
        <v>13606</v>
      </c>
      <c r="E2592" s="7" t="s">
        <v>13607</v>
      </c>
      <c r="F2592" s="7" t="s">
        <v>13608</v>
      </c>
      <c r="G2592" s="7"/>
      <c r="H2592" s="46" t="s">
        <v>249</v>
      </c>
      <c r="I2592" s="7" t="s">
        <v>160</v>
      </c>
      <c r="J2592" s="7" t="s">
        <v>148</v>
      </c>
      <c r="K2592" s="7"/>
      <c r="L2592" s="7"/>
      <c r="M2592" s="7"/>
    </row>
    <row r="2593" ht="15.75" customHeight="1">
      <c r="A2593" s="7" t="s">
        <v>13609</v>
      </c>
      <c r="B2593" s="45" t="s">
        <v>13610</v>
      </c>
      <c r="C2593" s="7" t="s">
        <v>13611</v>
      </c>
      <c r="D2593" s="7" t="s">
        <v>13612</v>
      </c>
      <c r="E2593" s="7" t="s">
        <v>13613</v>
      </c>
      <c r="F2593" s="7" t="s">
        <v>13614</v>
      </c>
      <c r="G2593" s="7" t="s">
        <v>13615</v>
      </c>
      <c r="H2593" s="46" t="s">
        <v>249</v>
      </c>
      <c r="I2593" s="7" t="s">
        <v>160</v>
      </c>
      <c r="J2593" s="7" t="s">
        <v>148</v>
      </c>
      <c r="K2593" s="7"/>
      <c r="L2593" s="7"/>
      <c r="M2593" s="7"/>
    </row>
    <row r="2594" ht="15.75" customHeight="1">
      <c r="A2594" s="7" t="s">
        <v>13616</v>
      </c>
      <c r="B2594" s="45" t="s">
        <v>13617</v>
      </c>
      <c r="C2594" s="7" t="s">
        <v>10295</v>
      </c>
      <c r="D2594" s="7" t="s">
        <v>10329</v>
      </c>
      <c r="E2594" s="7" t="s">
        <v>10330</v>
      </c>
      <c r="F2594" s="7" t="s">
        <v>7037</v>
      </c>
      <c r="G2594" s="7" t="s">
        <v>13618</v>
      </c>
      <c r="H2594" s="46" t="s">
        <v>249</v>
      </c>
      <c r="I2594" s="7" t="s">
        <v>160</v>
      </c>
      <c r="J2594" s="7" t="s">
        <v>148</v>
      </c>
      <c r="K2594" s="7"/>
      <c r="L2594" s="7"/>
      <c r="M2594" s="7"/>
    </row>
    <row r="2595" ht="15.75" customHeight="1">
      <c r="A2595" s="7" t="s">
        <v>13619</v>
      </c>
      <c r="B2595" s="45" t="s">
        <v>13620</v>
      </c>
      <c r="C2595" s="7" t="s">
        <v>13621</v>
      </c>
      <c r="D2595" s="7" t="s">
        <v>13622</v>
      </c>
      <c r="E2595" s="7" t="s">
        <v>13623</v>
      </c>
      <c r="F2595" s="7" t="s">
        <v>13624</v>
      </c>
      <c r="G2595" s="7"/>
      <c r="H2595" s="46" t="s">
        <v>249</v>
      </c>
      <c r="I2595" s="7" t="s">
        <v>160</v>
      </c>
      <c r="J2595" s="7" t="s">
        <v>148</v>
      </c>
      <c r="K2595" s="7"/>
      <c r="L2595" s="7"/>
      <c r="M2595" s="7"/>
    </row>
    <row r="2596" ht="15.75" customHeight="1">
      <c r="A2596" s="7" t="s">
        <v>13625</v>
      </c>
      <c r="B2596" s="45" t="s">
        <v>13626</v>
      </c>
      <c r="C2596" s="7" t="s">
        <v>13627</v>
      </c>
      <c r="D2596" s="7" t="s">
        <v>13628</v>
      </c>
      <c r="E2596" s="7" t="s">
        <v>13629</v>
      </c>
      <c r="F2596" s="7" t="s">
        <v>13630</v>
      </c>
      <c r="G2596" s="7"/>
      <c r="H2596" s="46" t="s">
        <v>249</v>
      </c>
      <c r="I2596" s="7" t="s">
        <v>160</v>
      </c>
      <c r="J2596" s="7" t="s">
        <v>148</v>
      </c>
      <c r="K2596" s="7"/>
      <c r="L2596" s="7"/>
      <c r="M2596" s="7"/>
    </row>
    <row r="2597" ht="15.75" customHeight="1">
      <c r="A2597" s="7" t="s">
        <v>13631</v>
      </c>
      <c r="B2597" s="45" t="s">
        <v>13632</v>
      </c>
      <c r="C2597" s="7" t="s">
        <v>13633</v>
      </c>
      <c r="D2597" s="7" t="s">
        <v>13634</v>
      </c>
      <c r="E2597" s="7" t="s">
        <v>13635</v>
      </c>
      <c r="F2597" s="7" t="s">
        <v>13636</v>
      </c>
      <c r="G2597" s="7"/>
      <c r="H2597" s="46" t="s">
        <v>249</v>
      </c>
      <c r="I2597" s="7" t="s">
        <v>160</v>
      </c>
      <c r="J2597" s="7" t="s">
        <v>148</v>
      </c>
      <c r="K2597" s="7"/>
      <c r="L2597" s="7"/>
      <c r="M2597" s="7"/>
    </row>
    <row r="2598" ht="15.75" customHeight="1">
      <c r="A2598" s="7" t="s">
        <v>13637</v>
      </c>
      <c r="B2598" s="45" t="s">
        <v>13638</v>
      </c>
      <c r="C2598" s="7" t="s">
        <v>13639</v>
      </c>
      <c r="D2598" s="7" t="s">
        <v>13640</v>
      </c>
      <c r="E2598" s="7" t="s">
        <v>13641</v>
      </c>
      <c r="F2598" s="7" t="s">
        <v>13642</v>
      </c>
      <c r="G2598" s="7"/>
      <c r="H2598" s="46" t="s">
        <v>249</v>
      </c>
      <c r="I2598" s="7" t="s">
        <v>160</v>
      </c>
      <c r="J2598" s="7" t="s">
        <v>148</v>
      </c>
      <c r="K2598" s="7"/>
      <c r="L2598" s="7"/>
      <c r="M2598" s="7"/>
    </row>
    <row r="2599" ht="15.75" customHeight="1">
      <c r="A2599" s="7" t="s">
        <v>13643</v>
      </c>
      <c r="B2599" s="45" t="s">
        <v>13644</v>
      </c>
      <c r="C2599" s="7" t="s">
        <v>7034</v>
      </c>
      <c r="D2599" s="7" t="s">
        <v>13645</v>
      </c>
      <c r="E2599" s="7" t="s">
        <v>13646</v>
      </c>
      <c r="F2599" s="7" t="s">
        <v>13647</v>
      </c>
      <c r="G2599" s="7" t="s">
        <v>13648</v>
      </c>
      <c r="H2599" s="46" t="s">
        <v>249</v>
      </c>
      <c r="I2599" s="7" t="s">
        <v>160</v>
      </c>
      <c r="J2599" s="7" t="s">
        <v>148</v>
      </c>
      <c r="K2599" s="7"/>
      <c r="L2599" s="7"/>
      <c r="M2599" s="7"/>
    </row>
    <row r="2600" ht="15.75" customHeight="1">
      <c r="A2600" s="7" t="s">
        <v>13649</v>
      </c>
      <c r="B2600" s="45" t="s">
        <v>13650</v>
      </c>
      <c r="C2600" s="7" t="s">
        <v>13651</v>
      </c>
      <c r="D2600" s="7" t="s">
        <v>13652</v>
      </c>
      <c r="E2600" s="7" t="s">
        <v>13653</v>
      </c>
      <c r="F2600" s="7" t="s">
        <v>13654</v>
      </c>
      <c r="G2600" s="7" t="s">
        <v>13655</v>
      </c>
      <c r="H2600" s="46" t="s">
        <v>249</v>
      </c>
      <c r="I2600" s="7" t="s">
        <v>160</v>
      </c>
      <c r="J2600" s="7" t="s">
        <v>148</v>
      </c>
      <c r="K2600" s="7"/>
      <c r="L2600" s="7"/>
      <c r="M2600" s="7"/>
    </row>
    <row r="2601" ht="15.75" customHeight="1">
      <c r="A2601" s="7" t="s">
        <v>13656</v>
      </c>
      <c r="B2601" s="45" t="s">
        <v>13657</v>
      </c>
      <c r="C2601" s="7" t="s">
        <v>13658</v>
      </c>
      <c r="D2601" s="7" t="s">
        <v>13659</v>
      </c>
      <c r="E2601" s="7" t="s">
        <v>13660</v>
      </c>
      <c r="F2601" s="7" t="s">
        <v>13661</v>
      </c>
      <c r="G2601" s="7"/>
      <c r="H2601" s="46" t="s">
        <v>249</v>
      </c>
      <c r="I2601" s="7" t="s">
        <v>160</v>
      </c>
      <c r="J2601" s="7" t="s">
        <v>148</v>
      </c>
      <c r="K2601" s="7"/>
      <c r="L2601" s="7"/>
      <c r="M2601" s="7"/>
    </row>
    <row r="2602" ht="15.75" customHeight="1">
      <c r="A2602" s="7" t="s">
        <v>13662</v>
      </c>
      <c r="B2602" s="45" t="s">
        <v>13663</v>
      </c>
      <c r="C2602" s="7" t="s">
        <v>13664</v>
      </c>
      <c r="D2602" s="7" t="s">
        <v>13665</v>
      </c>
      <c r="E2602" s="7" t="s">
        <v>13666</v>
      </c>
      <c r="F2602" s="7" t="s">
        <v>13667</v>
      </c>
      <c r="G2602" s="7"/>
      <c r="H2602" s="46" t="s">
        <v>249</v>
      </c>
      <c r="I2602" s="7" t="s">
        <v>160</v>
      </c>
      <c r="J2602" s="7" t="s">
        <v>148</v>
      </c>
      <c r="K2602" s="7"/>
      <c r="L2602" s="7"/>
      <c r="M2602" s="7"/>
    </row>
    <row r="2603" ht="15.75" customHeight="1">
      <c r="A2603" s="7" t="s">
        <v>13668</v>
      </c>
      <c r="B2603" s="45" t="s">
        <v>13669</v>
      </c>
      <c r="C2603" s="7" t="s">
        <v>13670</v>
      </c>
      <c r="D2603" s="7" t="s">
        <v>13671</v>
      </c>
      <c r="E2603" s="7" t="s">
        <v>13666</v>
      </c>
      <c r="F2603" s="7" t="s">
        <v>13667</v>
      </c>
      <c r="G2603" s="7"/>
      <c r="H2603" s="46" t="s">
        <v>249</v>
      </c>
      <c r="I2603" s="7" t="s">
        <v>160</v>
      </c>
      <c r="J2603" s="7" t="s">
        <v>148</v>
      </c>
      <c r="K2603" s="7"/>
      <c r="L2603" s="7"/>
      <c r="M2603" s="7"/>
    </row>
    <row r="2604" ht="15.75" customHeight="1">
      <c r="A2604" s="7" t="s">
        <v>13672</v>
      </c>
      <c r="B2604" s="45" t="s">
        <v>13673</v>
      </c>
      <c r="C2604" s="7" t="s">
        <v>13670</v>
      </c>
      <c r="D2604" s="7" t="s">
        <v>13674</v>
      </c>
      <c r="E2604" s="7" t="s">
        <v>13666</v>
      </c>
      <c r="F2604" s="7" t="s">
        <v>13667</v>
      </c>
      <c r="G2604" s="7"/>
      <c r="H2604" s="46" t="s">
        <v>249</v>
      </c>
      <c r="I2604" s="7" t="s">
        <v>160</v>
      </c>
      <c r="J2604" s="7" t="s">
        <v>148</v>
      </c>
      <c r="K2604" s="7"/>
      <c r="L2604" s="7"/>
      <c r="M2604" s="7"/>
    </row>
    <row r="2605" ht="15.75" customHeight="1">
      <c r="A2605" s="7" t="s">
        <v>13675</v>
      </c>
      <c r="B2605" s="45" t="s">
        <v>13676</v>
      </c>
      <c r="C2605" s="7" t="s">
        <v>1525</v>
      </c>
      <c r="D2605" s="7" t="s">
        <v>13677</v>
      </c>
      <c r="E2605" s="7" t="s">
        <v>1527</v>
      </c>
      <c r="F2605" s="7" t="s">
        <v>1528</v>
      </c>
      <c r="G2605" s="7"/>
      <c r="H2605" s="46" t="s">
        <v>249</v>
      </c>
      <c r="I2605" s="7" t="s">
        <v>160</v>
      </c>
      <c r="J2605" s="7" t="s">
        <v>148</v>
      </c>
      <c r="K2605" s="7"/>
      <c r="L2605" s="7"/>
      <c r="M2605" s="7"/>
    </row>
    <row r="2606" ht="15.75" customHeight="1">
      <c r="A2606" s="7" t="s">
        <v>13678</v>
      </c>
      <c r="B2606" s="45" t="s">
        <v>13679</v>
      </c>
      <c r="C2606" s="7" t="s">
        <v>1525</v>
      </c>
      <c r="D2606" s="7" t="s">
        <v>13680</v>
      </c>
      <c r="E2606" s="7" t="s">
        <v>1527</v>
      </c>
      <c r="F2606" s="7" t="s">
        <v>1528</v>
      </c>
      <c r="G2606" s="7"/>
      <c r="H2606" s="46" t="s">
        <v>249</v>
      </c>
      <c r="I2606" s="7" t="s">
        <v>160</v>
      </c>
      <c r="J2606" s="7" t="s">
        <v>148</v>
      </c>
      <c r="K2606" s="7"/>
      <c r="L2606" s="7"/>
      <c r="M2606" s="7"/>
    </row>
    <row r="2607" ht="15.75" customHeight="1">
      <c r="A2607" s="7" t="s">
        <v>13681</v>
      </c>
      <c r="B2607" s="45" t="s">
        <v>13682</v>
      </c>
      <c r="C2607" s="7" t="s">
        <v>1525</v>
      </c>
      <c r="D2607" s="7" t="s">
        <v>13683</v>
      </c>
      <c r="E2607" s="7" t="s">
        <v>1527</v>
      </c>
      <c r="F2607" s="7" t="s">
        <v>1528</v>
      </c>
      <c r="G2607" s="7"/>
      <c r="H2607" s="46" t="s">
        <v>249</v>
      </c>
      <c r="I2607" s="7" t="s">
        <v>160</v>
      </c>
      <c r="J2607" s="7" t="s">
        <v>148</v>
      </c>
      <c r="K2607" s="7"/>
      <c r="L2607" s="7"/>
      <c r="M2607" s="7"/>
    </row>
    <row r="2608" ht="15.75" customHeight="1">
      <c r="A2608" s="7" t="s">
        <v>13684</v>
      </c>
      <c r="B2608" s="45" t="s">
        <v>13685</v>
      </c>
      <c r="C2608" s="7" t="s">
        <v>1525</v>
      </c>
      <c r="D2608" s="7" t="s">
        <v>13686</v>
      </c>
      <c r="E2608" s="7" t="s">
        <v>1527</v>
      </c>
      <c r="F2608" s="7" t="s">
        <v>1528</v>
      </c>
      <c r="G2608" s="7"/>
      <c r="H2608" s="46" t="s">
        <v>249</v>
      </c>
      <c r="I2608" s="7" t="s">
        <v>160</v>
      </c>
      <c r="J2608" s="7" t="s">
        <v>148</v>
      </c>
      <c r="K2608" s="7"/>
      <c r="L2608" s="7"/>
      <c r="M2608" s="7"/>
    </row>
    <row r="2609" ht="15.75" customHeight="1">
      <c r="A2609" s="7" t="s">
        <v>13687</v>
      </c>
      <c r="B2609" s="45" t="s">
        <v>13688</v>
      </c>
      <c r="C2609" s="7" t="s">
        <v>1525</v>
      </c>
      <c r="D2609" s="7" t="s">
        <v>13689</v>
      </c>
      <c r="E2609" s="7" t="s">
        <v>1527</v>
      </c>
      <c r="F2609" s="7" t="s">
        <v>1528</v>
      </c>
      <c r="G2609" s="7"/>
      <c r="H2609" s="46" t="s">
        <v>249</v>
      </c>
      <c r="I2609" s="7" t="s">
        <v>160</v>
      </c>
      <c r="J2609" s="7" t="s">
        <v>148</v>
      </c>
      <c r="K2609" s="7"/>
      <c r="L2609" s="7"/>
      <c r="M2609" s="7"/>
    </row>
    <row r="2610" ht="15.75" customHeight="1">
      <c r="A2610" s="7" t="s">
        <v>13690</v>
      </c>
      <c r="B2610" s="45" t="s">
        <v>13691</v>
      </c>
      <c r="C2610" s="7" t="s">
        <v>1525</v>
      </c>
      <c r="D2610" s="7" t="s">
        <v>13692</v>
      </c>
      <c r="E2610" s="7" t="s">
        <v>1527</v>
      </c>
      <c r="F2610" s="7" t="s">
        <v>1528</v>
      </c>
      <c r="G2610" s="7"/>
      <c r="H2610" s="46" t="s">
        <v>249</v>
      </c>
      <c r="I2610" s="7" t="s">
        <v>160</v>
      </c>
      <c r="J2610" s="7" t="s">
        <v>148</v>
      </c>
      <c r="K2610" s="7"/>
      <c r="L2610" s="7"/>
      <c r="M2610" s="7"/>
    </row>
    <row r="2611" ht="15.75" customHeight="1">
      <c r="A2611" s="7" t="s">
        <v>13693</v>
      </c>
      <c r="B2611" s="45" t="s">
        <v>13694</v>
      </c>
      <c r="C2611" s="7" t="s">
        <v>1525</v>
      </c>
      <c r="D2611" s="7" t="s">
        <v>13695</v>
      </c>
      <c r="E2611" s="7" t="s">
        <v>1527</v>
      </c>
      <c r="F2611" s="7" t="s">
        <v>1528</v>
      </c>
      <c r="G2611" s="7"/>
      <c r="H2611" s="46" t="s">
        <v>249</v>
      </c>
      <c r="I2611" s="7" t="s">
        <v>160</v>
      </c>
      <c r="J2611" s="7" t="s">
        <v>148</v>
      </c>
      <c r="K2611" s="7"/>
      <c r="L2611" s="7"/>
      <c r="M2611" s="7"/>
    </row>
    <row r="2612" ht="15.75" customHeight="1">
      <c r="A2612" s="7" t="s">
        <v>13696</v>
      </c>
      <c r="B2612" s="45" t="s">
        <v>13697</v>
      </c>
      <c r="C2612" s="7" t="s">
        <v>1525</v>
      </c>
      <c r="D2612" s="7" t="s">
        <v>13698</v>
      </c>
      <c r="E2612" s="7" t="s">
        <v>1527</v>
      </c>
      <c r="F2612" s="7" t="s">
        <v>1528</v>
      </c>
      <c r="G2612" s="7"/>
      <c r="H2612" s="46" t="s">
        <v>249</v>
      </c>
      <c r="I2612" s="7" t="s">
        <v>160</v>
      </c>
      <c r="J2612" s="7" t="s">
        <v>148</v>
      </c>
      <c r="K2612" s="7"/>
      <c r="L2612" s="7"/>
      <c r="M2612" s="7"/>
    </row>
    <row r="2613" ht="15.75" customHeight="1">
      <c r="A2613" s="7" t="s">
        <v>13699</v>
      </c>
      <c r="B2613" s="45" t="s">
        <v>13700</v>
      </c>
      <c r="C2613" s="7" t="s">
        <v>1525</v>
      </c>
      <c r="D2613" s="7" t="s">
        <v>13701</v>
      </c>
      <c r="E2613" s="7" t="s">
        <v>1527</v>
      </c>
      <c r="F2613" s="7" t="s">
        <v>1528</v>
      </c>
      <c r="G2613" s="7"/>
      <c r="H2613" s="46" t="s">
        <v>249</v>
      </c>
      <c r="I2613" s="7" t="s">
        <v>160</v>
      </c>
      <c r="J2613" s="7" t="s">
        <v>148</v>
      </c>
      <c r="K2613" s="7"/>
      <c r="L2613" s="7"/>
      <c r="M2613" s="7"/>
    </row>
    <row r="2614" ht="15.75" customHeight="1">
      <c r="A2614" s="7" t="s">
        <v>13702</v>
      </c>
      <c r="B2614" s="45" t="s">
        <v>13703</v>
      </c>
      <c r="C2614" s="7" t="s">
        <v>1525</v>
      </c>
      <c r="D2614" s="7" t="s">
        <v>13704</v>
      </c>
      <c r="E2614" s="7" t="s">
        <v>1527</v>
      </c>
      <c r="F2614" s="7" t="s">
        <v>1528</v>
      </c>
      <c r="G2614" s="7"/>
      <c r="H2614" s="46" t="s">
        <v>249</v>
      </c>
      <c r="I2614" s="7" t="s">
        <v>160</v>
      </c>
      <c r="J2614" s="7" t="s">
        <v>148</v>
      </c>
      <c r="K2614" s="7"/>
      <c r="L2614" s="7"/>
      <c r="M2614" s="7"/>
    </row>
    <row r="2615" ht="15.75" customHeight="1">
      <c r="A2615" s="7" t="s">
        <v>13705</v>
      </c>
      <c r="B2615" s="45" t="s">
        <v>13706</v>
      </c>
      <c r="C2615" s="7" t="s">
        <v>1525</v>
      </c>
      <c r="D2615" s="7" t="s">
        <v>13707</v>
      </c>
      <c r="E2615" s="7" t="s">
        <v>1527</v>
      </c>
      <c r="F2615" s="7" t="s">
        <v>1528</v>
      </c>
      <c r="G2615" s="7"/>
      <c r="H2615" s="46" t="s">
        <v>249</v>
      </c>
      <c r="I2615" s="7" t="s">
        <v>160</v>
      </c>
      <c r="J2615" s="7" t="s">
        <v>148</v>
      </c>
      <c r="K2615" s="7"/>
      <c r="L2615" s="7"/>
      <c r="M2615" s="7"/>
    </row>
    <row r="2616" ht="15.75" customHeight="1">
      <c r="A2616" s="7" t="s">
        <v>13708</v>
      </c>
      <c r="B2616" s="45" t="s">
        <v>13709</v>
      </c>
      <c r="C2616" s="7" t="s">
        <v>1525</v>
      </c>
      <c r="D2616" s="7" t="s">
        <v>13710</v>
      </c>
      <c r="E2616" s="7" t="s">
        <v>1527</v>
      </c>
      <c r="F2616" s="7" t="s">
        <v>1528</v>
      </c>
      <c r="G2616" s="7"/>
      <c r="H2616" s="46" t="s">
        <v>249</v>
      </c>
      <c r="I2616" s="7" t="s">
        <v>160</v>
      </c>
      <c r="J2616" s="7" t="s">
        <v>148</v>
      </c>
      <c r="K2616" s="7"/>
      <c r="L2616" s="7"/>
      <c r="M2616" s="7"/>
    </row>
    <row r="2617" ht="15.75" customHeight="1">
      <c r="A2617" s="7" t="s">
        <v>13711</v>
      </c>
      <c r="B2617" s="45" t="s">
        <v>13712</v>
      </c>
      <c r="C2617" s="7" t="s">
        <v>1525</v>
      </c>
      <c r="D2617" s="7" t="s">
        <v>13713</v>
      </c>
      <c r="E2617" s="7" t="s">
        <v>1527</v>
      </c>
      <c r="F2617" s="7" t="s">
        <v>1528</v>
      </c>
      <c r="G2617" s="7"/>
      <c r="H2617" s="46" t="s">
        <v>249</v>
      </c>
      <c r="I2617" s="7" t="s">
        <v>160</v>
      </c>
      <c r="J2617" s="7" t="s">
        <v>148</v>
      </c>
      <c r="K2617" s="7"/>
      <c r="L2617" s="7"/>
      <c r="M2617" s="7"/>
    </row>
    <row r="2618" ht="15.75" customHeight="1">
      <c r="A2618" s="7" t="s">
        <v>13714</v>
      </c>
      <c r="B2618" s="45" t="s">
        <v>13715</v>
      </c>
      <c r="C2618" s="7" t="s">
        <v>1525</v>
      </c>
      <c r="D2618" s="7" t="s">
        <v>13716</v>
      </c>
      <c r="E2618" s="7" t="s">
        <v>1527</v>
      </c>
      <c r="F2618" s="7" t="s">
        <v>1528</v>
      </c>
      <c r="G2618" s="7"/>
      <c r="H2618" s="46" t="s">
        <v>249</v>
      </c>
      <c r="I2618" s="7" t="s">
        <v>160</v>
      </c>
      <c r="J2618" s="7" t="s">
        <v>148</v>
      </c>
      <c r="K2618" s="7"/>
      <c r="L2618" s="7"/>
      <c r="M2618" s="7"/>
    </row>
    <row r="2619" ht="15.75" customHeight="1">
      <c r="A2619" s="7" t="s">
        <v>13717</v>
      </c>
      <c r="B2619" s="45" t="s">
        <v>13718</v>
      </c>
      <c r="C2619" s="7" t="s">
        <v>13719</v>
      </c>
      <c r="D2619" s="7" t="s">
        <v>13720</v>
      </c>
      <c r="E2619" s="7" t="s">
        <v>13721</v>
      </c>
      <c r="F2619" s="7" t="s">
        <v>13722</v>
      </c>
      <c r="G2619" s="7"/>
      <c r="H2619" s="46" t="s">
        <v>249</v>
      </c>
      <c r="I2619" s="7" t="s">
        <v>160</v>
      </c>
      <c r="J2619" s="7" t="s">
        <v>148</v>
      </c>
      <c r="K2619" s="7"/>
      <c r="L2619" s="7"/>
      <c r="M2619" s="7"/>
    </row>
    <row r="2620" ht="15.75" customHeight="1">
      <c r="A2620" s="7" t="s">
        <v>13723</v>
      </c>
      <c r="B2620" s="45" t="s">
        <v>13724</v>
      </c>
      <c r="C2620" s="7" t="s">
        <v>1804</v>
      </c>
      <c r="D2620" s="7" t="s">
        <v>13725</v>
      </c>
      <c r="E2620" s="7" t="s">
        <v>1924</v>
      </c>
      <c r="F2620" s="7" t="s">
        <v>1807</v>
      </c>
      <c r="G2620" s="7"/>
      <c r="H2620" s="46" t="s">
        <v>249</v>
      </c>
      <c r="I2620" s="7" t="s">
        <v>160</v>
      </c>
      <c r="J2620" s="7" t="s">
        <v>148</v>
      </c>
      <c r="K2620" s="7"/>
      <c r="L2620" s="7"/>
      <c r="M2620" s="7"/>
    </row>
    <row r="2621" ht="15.75" customHeight="1">
      <c r="A2621" s="7" t="s">
        <v>13726</v>
      </c>
      <c r="B2621" s="45" t="s">
        <v>13727</v>
      </c>
      <c r="C2621" s="7" t="s">
        <v>13728</v>
      </c>
      <c r="D2621" s="7" t="s">
        <v>13729</v>
      </c>
      <c r="E2621" s="7" t="s">
        <v>13730</v>
      </c>
      <c r="F2621" s="7" t="s">
        <v>13731</v>
      </c>
      <c r="G2621" s="7"/>
      <c r="H2621" s="46" t="s">
        <v>249</v>
      </c>
      <c r="I2621" s="7" t="s">
        <v>160</v>
      </c>
      <c r="J2621" s="7" t="s">
        <v>148</v>
      </c>
      <c r="K2621" s="7"/>
      <c r="L2621" s="7"/>
      <c r="M2621" s="7"/>
    </row>
    <row r="2622" ht="15.75" customHeight="1">
      <c r="A2622" s="7" t="s">
        <v>13732</v>
      </c>
      <c r="B2622" s="45" t="s">
        <v>13733</v>
      </c>
      <c r="C2622" s="7" t="s">
        <v>13734</v>
      </c>
      <c r="D2622" s="7" t="s">
        <v>13735</v>
      </c>
      <c r="E2622" s="7" t="s">
        <v>13730</v>
      </c>
      <c r="F2622" s="7" t="s">
        <v>13731</v>
      </c>
      <c r="G2622" s="7"/>
      <c r="H2622" s="46" t="s">
        <v>249</v>
      </c>
      <c r="I2622" s="7" t="s">
        <v>160</v>
      </c>
      <c r="J2622" s="7" t="s">
        <v>148</v>
      </c>
      <c r="K2622" s="7"/>
      <c r="L2622" s="7"/>
      <c r="M2622" s="7"/>
    </row>
    <row r="2623" ht="15.75" customHeight="1">
      <c r="A2623" s="7" t="s">
        <v>13736</v>
      </c>
      <c r="B2623" s="45" t="s">
        <v>13737</v>
      </c>
      <c r="C2623" s="7" t="s">
        <v>12833</v>
      </c>
      <c r="D2623" s="7" t="s">
        <v>13738</v>
      </c>
      <c r="E2623" s="7" t="s">
        <v>12835</v>
      </c>
      <c r="F2623" s="7" t="s">
        <v>12836</v>
      </c>
      <c r="G2623" s="7"/>
      <c r="H2623" s="46" t="s">
        <v>249</v>
      </c>
      <c r="I2623" s="7" t="s">
        <v>160</v>
      </c>
      <c r="J2623" s="7" t="s">
        <v>148</v>
      </c>
      <c r="K2623" s="7"/>
      <c r="L2623" s="7"/>
      <c r="M2623" s="7"/>
    </row>
    <row r="2624" ht="15.75" customHeight="1">
      <c r="A2624" s="7" t="s">
        <v>13739</v>
      </c>
      <c r="B2624" s="45" t="s">
        <v>13740</v>
      </c>
      <c r="C2624" s="7" t="s">
        <v>13741</v>
      </c>
      <c r="D2624" s="7" t="s">
        <v>13742</v>
      </c>
      <c r="E2624" s="7" t="s">
        <v>13743</v>
      </c>
      <c r="F2624" s="7" t="s">
        <v>13744</v>
      </c>
      <c r="G2624" s="7"/>
      <c r="H2624" s="46" t="s">
        <v>249</v>
      </c>
      <c r="I2624" s="7" t="s">
        <v>160</v>
      </c>
      <c r="J2624" s="7" t="s">
        <v>148</v>
      </c>
      <c r="K2624" s="7"/>
      <c r="L2624" s="7"/>
      <c r="M2624" s="7"/>
    </row>
    <row r="2625" ht="15.75" customHeight="1">
      <c r="A2625" s="7" t="s">
        <v>13745</v>
      </c>
      <c r="B2625" s="45" t="s">
        <v>13746</v>
      </c>
      <c r="C2625" s="7" t="s">
        <v>13747</v>
      </c>
      <c r="D2625" s="7" t="s">
        <v>13748</v>
      </c>
      <c r="E2625" s="7" t="s">
        <v>13749</v>
      </c>
      <c r="F2625" s="7" t="s">
        <v>13750</v>
      </c>
      <c r="G2625" s="7"/>
      <c r="H2625" s="46" t="s">
        <v>249</v>
      </c>
      <c r="I2625" s="7" t="s">
        <v>160</v>
      </c>
      <c r="J2625" s="7" t="s">
        <v>148</v>
      </c>
      <c r="K2625" s="7"/>
      <c r="L2625" s="7"/>
      <c r="M2625" s="7"/>
    </row>
    <row r="2626" ht="15.75" customHeight="1">
      <c r="A2626" s="7" t="s">
        <v>13751</v>
      </c>
      <c r="B2626" s="45" t="s">
        <v>13752</v>
      </c>
      <c r="C2626" s="7" t="s">
        <v>13747</v>
      </c>
      <c r="D2626" s="7" t="s">
        <v>13753</v>
      </c>
      <c r="E2626" s="7" t="s">
        <v>13749</v>
      </c>
      <c r="F2626" s="7" t="s">
        <v>13750</v>
      </c>
      <c r="G2626" s="7"/>
      <c r="H2626" s="46" t="s">
        <v>249</v>
      </c>
      <c r="I2626" s="7" t="s">
        <v>160</v>
      </c>
      <c r="J2626" s="7" t="s">
        <v>148</v>
      </c>
      <c r="K2626" s="7"/>
      <c r="L2626" s="7"/>
      <c r="M2626" s="7"/>
    </row>
    <row r="2627" ht="15.75" customHeight="1">
      <c r="A2627" s="7" t="s">
        <v>13754</v>
      </c>
      <c r="B2627" s="45" t="s">
        <v>13755</v>
      </c>
      <c r="C2627" s="7" t="s">
        <v>13756</v>
      </c>
      <c r="D2627" s="7" t="s">
        <v>13757</v>
      </c>
      <c r="E2627" s="7" t="s">
        <v>13758</v>
      </c>
      <c r="F2627" s="7" t="s">
        <v>13759</v>
      </c>
      <c r="G2627" s="7"/>
      <c r="H2627" s="46" t="s">
        <v>249</v>
      </c>
      <c r="I2627" s="7" t="s">
        <v>160</v>
      </c>
      <c r="J2627" s="7" t="s">
        <v>148</v>
      </c>
      <c r="K2627" s="7"/>
      <c r="L2627" s="7"/>
      <c r="M2627" s="7"/>
    </row>
    <row r="2628" ht="15.75" customHeight="1">
      <c r="A2628" s="7" t="s">
        <v>13760</v>
      </c>
      <c r="B2628" s="45" t="s">
        <v>13761</v>
      </c>
      <c r="C2628" s="7" t="s">
        <v>13762</v>
      </c>
      <c r="D2628" s="7" t="s">
        <v>13763</v>
      </c>
      <c r="E2628" s="7" t="s">
        <v>4362</v>
      </c>
      <c r="F2628" s="7" t="s">
        <v>1816</v>
      </c>
      <c r="G2628" s="7"/>
      <c r="H2628" s="46" t="s">
        <v>249</v>
      </c>
      <c r="I2628" s="7" t="s">
        <v>160</v>
      </c>
      <c r="J2628" s="7" t="s">
        <v>148</v>
      </c>
      <c r="K2628" s="7"/>
      <c r="L2628" s="7"/>
      <c r="M2628" s="7"/>
    </row>
    <row r="2629" ht="15.75" customHeight="1">
      <c r="A2629" s="7" t="s">
        <v>13764</v>
      </c>
      <c r="B2629" s="45" t="s">
        <v>13765</v>
      </c>
      <c r="C2629" s="7" t="s">
        <v>13766</v>
      </c>
      <c r="D2629" s="7" t="s">
        <v>13767</v>
      </c>
      <c r="E2629" s="7" t="s">
        <v>13768</v>
      </c>
      <c r="F2629" s="7" t="s">
        <v>13769</v>
      </c>
      <c r="G2629" s="7"/>
      <c r="H2629" s="46" t="s">
        <v>249</v>
      </c>
      <c r="I2629" s="7" t="s">
        <v>160</v>
      </c>
      <c r="J2629" s="7" t="s">
        <v>148</v>
      </c>
      <c r="K2629" s="7"/>
      <c r="L2629" s="7"/>
      <c r="M2629" s="7"/>
    </row>
    <row r="2630" ht="15.75" customHeight="1">
      <c r="A2630" s="7" t="s">
        <v>13770</v>
      </c>
      <c r="B2630" s="45" t="s">
        <v>13771</v>
      </c>
      <c r="C2630" s="7" t="s">
        <v>13772</v>
      </c>
      <c r="D2630" s="7" t="s">
        <v>1962</v>
      </c>
      <c r="E2630" s="7" t="s">
        <v>13773</v>
      </c>
      <c r="F2630" s="7" t="s">
        <v>1964</v>
      </c>
      <c r="G2630" s="7"/>
      <c r="H2630" s="46" t="s">
        <v>249</v>
      </c>
      <c r="I2630" s="7" t="s">
        <v>160</v>
      </c>
      <c r="J2630" s="7" t="s">
        <v>148</v>
      </c>
      <c r="K2630" s="7"/>
      <c r="L2630" s="7"/>
      <c r="M2630" s="7"/>
    </row>
    <row r="2631" ht="15.75" customHeight="1">
      <c r="A2631" s="7" t="s">
        <v>13774</v>
      </c>
      <c r="B2631" s="45" t="s">
        <v>13775</v>
      </c>
      <c r="C2631" s="7" t="s">
        <v>13776</v>
      </c>
      <c r="D2631" s="7" t="s">
        <v>13777</v>
      </c>
      <c r="E2631" s="7" t="s">
        <v>13778</v>
      </c>
      <c r="F2631" s="7" t="s">
        <v>13779</v>
      </c>
      <c r="G2631" s="7"/>
      <c r="H2631" s="46" t="s">
        <v>249</v>
      </c>
      <c r="I2631" s="7" t="s">
        <v>160</v>
      </c>
      <c r="J2631" s="7" t="s">
        <v>148</v>
      </c>
      <c r="K2631" s="7"/>
      <c r="L2631" s="7"/>
      <c r="M2631" s="7"/>
    </row>
    <row r="2632" ht="15.75" customHeight="1">
      <c r="A2632" s="7" t="s">
        <v>13780</v>
      </c>
      <c r="B2632" s="45" t="s">
        <v>13781</v>
      </c>
      <c r="C2632" s="7" t="s">
        <v>13776</v>
      </c>
      <c r="D2632" s="7" t="s">
        <v>13782</v>
      </c>
      <c r="E2632" s="7" t="s">
        <v>13783</v>
      </c>
      <c r="F2632" s="7" t="s">
        <v>13784</v>
      </c>
      <c r="G2632" s="7"/>
      <c r="H2632" s="46" t="s">
        <v>249</v>
      </c>
      <c r="I2632" s="7" t="s">
        <v>160</v>
      </c>
      <c r="J2632" s="7" t="s">
        <v>148</v>
      </c>
      <c r="K2632" s="7"/>
      <c r="L2632" s="7"/>
      <c r="M2632" s="7"/>
    </row>
    <row r="2633" ht="15.75" customHeight="1">
      <c r="A2633" s="7" t="s">
        <v>13785</v>
      </c>
      <c r="B2633" s="45" t="s">
        <v>13786</v>
      </c>
      <c r="C2633" s="7" t="s">
        <v>13787</v>
      </c>
      <c r="D2633" s="7" t="s">
        <v>13788</v>
      </c>
      <c r="E2633" s="7" t="s">
        <v>13789</v>
      </c>
      <c r="F2633" s="7" t="s">
        <v>13790</v>
      </c>
      <c r="G2633" s="7" t="s">
        <v>13791</v>
      </c>
      <c r="H2633" s="46" t="s">
        <v>249</v>
      </c>
      <c r="I2633" s="7" t="s">
        <v>160</v>
      </c>
      <c r="J2633" s="7" t="s">
        <v>148</v>
      </c>
      <c r="K2633" s="7"/>
      <c r="L2633" s="7"/>
      <c r="M2633" s="7"/>
    </row>
    <row r="2634" ht="15.75" customHeight="1">
      <c r="A2634" s="7" t="s">
        <v>13792</v>
      </c>
      <c r="B2634" s="45" t="s">
        <v>13793</v>
      </c>
      <c r="C2634" s="7" t="s">
        <v>13794</v>
      </c>
      <c r="D2634" s="7" t="s">
        <v>13795</v>
      </c>
      <c r="E2634" s="7" t="s">
        <v>13796</v>
      </c>
      <c r="F2634" s="7" t="s">
        <v>13797</v>
      </c>
      <c r="G2634" s="7"/>
      <c r="H2634" s="46" t="s">
        <v>249</v>
      </c>
      <c r="I2634" s="7" t="s">
        <v>160</v>
      </c>
      <c r="J2634" s="7" t="s">
        <v>148</v>
      </c>
      <c r="K2634" s="7"/>
      <c r="L2634" s="7"/>
      <c r="M2634" s="7"/>
    </row>
    <row r="2635" ht="15.75" customHeight="1">
      <c r="A2635" s="7" t="s">
        <v>13798</v>
      </c>
      <c r="B2635" s="45" t="s">
        <v>13799</v>
      </c>
      <c r="C2635" s="7" t="s">
        <v>13800</v>
      </c>
      <c r="D2635" s="7" t="s">
        <v>13801</v>
      </c>
      <c r="E2635" s="7" t="s">
        <v>13802</v>
      </c>
      <c r="F2635" s="7" t="s">
        <v>13803</v>
      </c>
      <c r="G2635" s="7"/>
      <c r="H2635" s="46" t="s">
        <v>249</v>
      </c>
      <c r="I2635" s="7" t="s">
        <v>160</v>
      </c>
      <c r="J2635" s="7" t="s">
        <v>148</v>
      </c>
      <c r="K2635" s="7"/>
      <c r="L2635" s="7"/>
      <c r="M2635" s="7"/>
    </row>
    <row r="2636" ht="15.75" customHeight="1">
      <c r="A2636" s="7" t="s">
        <v>13804</v>
      </c>
      <c r="B2636" s="45" t="s">
        <v>13805</v>
      </c>
      <c r="C2636" s="7" t="s">
        <v>13806</v>
      </c>
      <c r="D2636" s="7" t="s">
        <v>13807</v>
      </c>
      <c r="E2636" s="7" t="s">
        <v>13808</v>
      </c>
      <c r="F2636" s="7" t="s">
        <v>13809</v>
      </c>
      <c r="G2636" s="7"/>
      <c r="H2636" s="46" t="s">
        <v>249</v>
      </c>
      <c r="I2636" s="7" t="s">
        <v>160</v>
      </c>
      <c r="J2636" s="7" t="s">
        <v>148</v>
      </c>
      <c r="K2636" s="7"/>
      <c r="L2636" s="7"/>
      <c r="M2636" s="7"/>
    </row>
    <row r="2637" ht="15.75" customHeight="1">
      <c r="A2637" s="7" t="s">
        <v>13810</v>
      </c>
      <c r="B2637" s="45" t="s">
        <v>13811</v>
      </c>
      <c r="C2637" s="7" t="s">
        <v>330</v>
      </c>
      <c r="D2637" s="7" t="s">
        <v>13812</v>
      </c>
      <c r="E2637" s="7" t="s">
        <v>338</v>
      </c>
      <c r="F2637" s="7" t="s">
        <v>339</v>
      </c>
      <c r="G2637" s="7"/>
      <c r="H2637" s="46" t="s">
        <v>249</v>
      </c>
      <c r="I2637" s="7" t="s">
        <v>160</v>
      </c>
      <c r="J2637" s="7" t="s">
        <v>148</v>
      </c>
      <c r="K2637" s="7"/>
      <c r="L2637" s="7"/>
      <c r="M2637" s="7"/>
    </row>
    <row r="2638" ht="15.75" customHeight="1">
      <c r="A2638" s="7" t="s">
        <v>13813</v>
      </c>
      <c r="B2638" s="45" t="s">
        <v>13814</v>
      </c>
      <c r="C2638" s="7" t="s">
        <v>3785</v>
      </c>
      <c r="D2638" s="7" t="s">
        <v>13815</v>
      </c>
      <c r="E2638" s="7" t="s">
        <v>13816</v>
      </c>
      <c r="F2638" s="7" t="s">
        <v>3788</v>
      </c>
      <c r="G2638" s="7"/>
      <c r="H2638" s="46" t="s">
        <v>249</v>
      </c>
      <c r="I2638" s="7" t="s">
        <v>160</v>
      </c>
      <c r="J2638" s="7" t="s">
        <v>148</v>
      </c>
      <c r="K2638" s="7"/>
      <c r="L2638" s="7"/>
      <c r="M2638" s="7"/>
    </row>
    <row r="2639" ht="15.75" customHeight="1">
      <c r="A2639" s="7" t="s">
        <v>13817</v>
      </c>
      <c r="B2639" s="45" t="s">
        <v>13818</v>
      </c>
      <c r="C2639" s="7" t="s">
        <v>13819</v>
      </c>
      <c r="D2639" s="7" t="s">
        <v>13820</v>
      </c>
      <c r="E2639" s="7" t="s">
        <v>13821</v>
      </c>
      <c r="F2639" s="7" t="s">
        <v>13822</v>
      </c>
      <c r="G2639" s="7"/>
      <c r="H2639" s="46" t="s">
        <v>249</v>
      </c>
      <c r="I2639" s="7" t="s">
        <v>160</v>
      </c>
      <c r="J2639" s="7" t="s">
        <v>148</v>
      </c>
      <c r="K2639" s="7"/>
      <c r="L2639" s="7"/>
      <c r="M2639" s="7"/>
    </row>
    <row r="2640" ht="15.75" customHeight="1">
      <c r="A2640" s="7" t="s">
        <v>13823</v>
      </c>
      <c r="B2640" s="45" t="s">
        <v>13824</v>
      </c>
      <c r="C2640" s="7" t="s">
        <v>13825</v>
      </c>
      <c r="D2640" s="7" t="s">
        <v>13826</v>
      </c>
      <c r="E2640" s="7" t="s">
        <v>13827</v>
      </c>
      <c r="F2640" s="7" t="s">
        <v>13828</v>
      </c>
      <c r="G2640" s="7"/>
      <c r="H2640" s="46" t="s">
        <v>249</v>
      </c>
      <c r="I2640" s="7" t="s">
        <v>160</v>
      </c>
      <c r="J2640" s="7" t="s">
        <v>148</v>
      </c>
      <c r="K2640" s="7"/>
      <c r="L2640" s="7"/>
      <c r="M2640" s="7"/>
    </row>
    <row r="2641" ht="15.75" customHeight="1">
      <c r="A2641" s="7" t="s">
        <v>13829</v>
      </c>
      <c r="B2641" s="45" t="s">
        <v>13830</v>
      </c>
      <c r="C2641" s="7" t="s">
        <v>13831</v>
      </c>
      <c r="D2641" s="7" t="s">
        <v>13832</v>
      </c>
      <c r="E2641" s="7" t="s">
        <v>13833</v>
      </c>
      <c r="F2641" s="7" t="s">
        <v>13834</v>
      </c>
      <c r="G2641" s="7"/>
      <c r="H2641" s="46" t="s">
        <v>249</v>
      </c>
      <c r="I2641" s="7" t="s">
        <v>160</v>
      </c>
      <c r="J2641" s="7" t="s">
        <v>148</v>
      </c>
      <c r="K2641" s="7"/>
      <c r="L2641" s="7"/>
      <c r="M2641" s="7"/>
    </row>
    <row r="2642" ht="15.75" customHeight="1">
      <c r="A2642" s="7" t="s">
        <v>13835</v>
      </c>
      <c r="B2642" s="45" t="s">
        <v>13836</v>
      </c>
      <c r="C2642" s="7" t="s">
        <v>13837</v>
      </c>
      <c r="D2642" s="7" t="s">
        <v>13838</v>
      </c>
      <c r="E2642" s="7" t="s">
        <v>13839</v>
      </c>
      <c r="F2642" s="7" t="s">
        <v>13840</v>
      </c>
      <c r="G2642" s="7"/>
      <c r="H2642" s="46" t="s">
        <v>249</v>
      </c>
      <c r="I2642" s="7" t="s">
        <v>160</v>
      </c>
      <c r="J2642" s="7" t="s">
        <v>148</v>
      </c>
      <c r="K2642" s="7"/>
      <c r="L2642" s="7"/>
      <c r="M2642" s="7"/>
    </row>
    <row r="2643" ht="15.75" customHeight="1">
      <c r="A2643" s="7" t="s">
        <v>13841</v>
      </c>
      <c r="B2643" s="45" t="s">
        <v>13842</v>
      </c>
      <c r="C2643" s="7" t="s">
        <v>13843</v>
      </c>
      <c r="D2643" s="7" t="s">
        <v>13844</v>
      </c>
      <c r="E2643" s="7" t="s">
        <v>13845</v>
      </c>
      <c r="F2643" s="7" t="s">
        <v>13846</v>
      </c>
      <c r="G2643" s="7"/>
      <c r="H2643" s="46" t="s">
        <v>249</v>
      </c>
      <c r="I2643" s="7" t="s">
        <v>160</v>
      </c>
      <c r="J2643" s="7" t="s">
        <v>148</v>
      </c>
      <c r="K2643" s="7"/>
      <c r="L2643" s="7"/>
      <c r="M2643" s="7"/>
    </row>
    <row r="2644" ht="15.75" customHeight="1">
      <c r="A2644" s="7" t="s">
        <v>13847</v>
      </c>
      <c r="B2644" s="45" t="s">
        <v>13848</v>
      </c>
      <c r="C2644" s="7" t="s">
        <v>2006</v>
      </c>
      <c r="D2644" s="7" t="s">
        <v>13849</v>
      </c>
      <c r="E2644" s="7" t="s">
        <v>2008</v>
      </c>
      <c r="F2644" s="7" t="s">
        <v>2009</v>
      </c>
      <c r="G2644" s="7"/>
      <c r="H2644" s="46" t="s">
        <v>249</v>
      </c>
      <c r="I2644" s="7" t="s">
        <v>160</v>
      </c>
      <c r="J2644" s="7" t="s">
        <v>148</v>
      </c>
      <c r="K2644" s="7"/>
      <c r="L2644" s="7"/>
      <c r="M2644" s="7"/>
    </row>
    <row r="2645" ht="15.75" customHeight="1">
      <c r="A2645" s="7" t="s">
        <v>13850</v>
      </c>
      <c r="B2645" s="45" t="s">
        <v>13851</v>
      </c>
      <c r="C2645" s="7" t="s">
        <v>13852</v>
      </c>
      <c r="D2645" s="7" t="s">
        <v>13853</v>
      </c>
      <c r="E2645" s="7" t="s">
        <v>2008</v>
      </c>
      <c r="F2645" s="7" t="s">
        <v>2009</v>
      </c>
      <c r="G2645" s="7"/>
      <c r="H2645" s="46" t="s">
        <v>249</v>
      </c>
      <c r="I2645" s="7" t="s">
        <v>160</v>
      </c>
      <c r="J2645" s="7" t="s">
        <v>148</v>
      </c>
      <c r="K2645" s="7"/>
      <c r="L2645" s="7"/>
      <c r="M2645" s="7"/>
    </row>
    <row r="2646" ht="15.75" customHeight="1">
      <c r="A2646" s="7" t="s">
        <v>13854</v>
      </c>
      <c r="B2646" s="45" t="s">
        <v>13855</v>
      </c>
      <c r="C2646" s="7" t="s">
        <v>13856</v>
      </c>
      <c r="D2646" s="7" t="s">
        <v>13857</v>
      </c>
      <c r="E2646" s="7" t="s">
        <v>13858</v>
      </c>
      <c r="F2646" s="7" t="s">
        <v>13859</v>
      </c>
      <c r="G2646" s="7"/>
      <c r="H2646" s="46" t="s">
        <v>249</v>
      </c>
      <c r="I2646" s="7" t="s">
        <v>160</v>
      </c>
      <c r="J2646" s="7" t="s">
        <v>148</v>
      </c>
      <c r="K2646" s="7"/>
      <c r="L2646" s="7"/>
      <c r="M2646" s="7"/>
    </row>
    <row r="2647" ht="15.75" customHeight="1">
      <c r="A2647" s="7" t="s">
        <v>13860</v>
      </c>
      <c r="B2647" s="45" t="s">
        <v>13861</v>
      </c>
      <c r="C2647" s="7" t="s">
        <v>13862</v>
      </c>
      <c r="D2647" s="7" t="s">
        <v>13863</v>
      </c>
      <c r="E2647" s="7" t="s">
        <v>13864</v>
      </c>
      <c r="F2647" s="7" t="s">
        <v>13865</v>
      </c>
      <c r="G2647" s="7"/>
      <c r="H2647" s="46" t="s">
        <v>249</v>
      </c>
      <c r="I2647" s="7" t="s">
        <v>160</v>
      </c>
      <c r="J2647" s="7" t="s">
        <v>148</v>
      </c>
      <c r="K2647" s="7"/>
      <c r="L2647" s="7"/>
      <c r="M2647" s="7"/>
    </row>
    <row r="2648" ht="15.75" customHeight="1">
      <c r="A2648" s="7" t="s">
        <v>13866</v>
      </c>
      <c r="B2648" s="45" t="s">
        <v>13867</v>
      </c>
      <c r="C2648" s="7" t="s">
        <v>13862</v>
      </c>
      <c r="D2648" s="7" t="s">
        <v>13868</v>
      </c>
      <c r="E2648" s="7" t="s">
        <v>13869</v>
      </c>
      <c r="F2648" s="7" t="s">
        <v>13865</v>
      </c>
      <c r="G2648" s="7"/>
      <c r="H2648" s="46" t="s">
        <v>249</v>
      </c>
      <c r="I2648" s="7" t="s">
        <v>160</v>
      </c>
      <c r="J2648" s="7" t="s">
        <v>148</v>
      </c>
      <c r="K2648" s="7"/>
      <c r="L2648" s="7"/>
      <c r="M2648" s="7"/>
    </row>
    <row r="2649" ht="15.75" customHeight="1">
      <c r="A2649" s="7" t="s">
        <v>13870</v>
      </c>
      <c r="B2649" s="45" t="s">
        <v>13871</v>
      </c>
      <c r="C2649" s="7" t="s">
        <v>13872</v>
      </c>
      <c r="D2649" s="7" t="s">
        <v>13873</v>
      </c>
      <c r="E2649" s="7" t="s">
        <v>13874</v>
      </c>
      <c r="F2649" s="7" t="s">
        <v>13875</v>
      </c>
      <c r="G2649" s="7"/>
      <c r="H2649" s="46" t="s">
        <v>249</v>
      </c>
      <c r="I2649" s="7" t="s">
        <v>160</v>
      </c>
      <c r="J2649" s="7" t="s">
        <v>148</v>
      </c>
      <c r="K2649" s="7"/>
      <c r="L2649" s="7"/>
      <c r="M2649" s="7"/>
    </row>
    <row r="2650" ht="15.75" customHeight="1">
      <c r="A2650" s="7" t="s">
        <v>13876</v>
      </c>
      <c r="B2650" s="45" t="s">
        <v>13877</v>
      </c>
      <c r="C2650" s="7" t="s">
        <v>13776</v>
      </c>
      <c r="D2650" s="7" t="s">
        <v>13878</v>
      </c>
      <c r="E2650" s="7" t="s">
        <v>13879</v>
      </c>
      <c r="F2650" s="7" t="s">
        <v>13880</v>
      </c>
      <c r="G2650" s="7"/>
      <c r="H2650" s="46" t="s">
        <v>249</v>
      </c>
      <c r="I2650" s="7" t="s">
        <v>160</v>
      </c>
      <c r="J2650" s="7" t="s">
        <v>148</v>
      </c>
      <c r="K2650" s="7"/>
      <c r="L2650" s="7"/>
      <c r="M2650" s="7"/>
    </row>
    <row r="2651" ht="15.75" customHeight="1">
      <c r="A2651" s="7" t="s">
        <v>13881</v>
      </c>
      <c r="B2651" s="45" t="s">
        <v>13882</v>
      </c>
      <c r="C2651" s="7" t="s">
        <v>13883</v>
      </c>
      <c r="D2651" s="7" t="s">
        <v>13884</v>
      </c>
      <c r="E2651" s="7" t="s">
        <v>13885</v>
      </c>
      <c r="F2651" s="7" t="s">
        <v>13886</v>
      </c>
      <c r="G2651" s="7"/>
      <c r="H2651" s="46" t="s">
        <v>249</v>
      </c>
      <c r="I2651" s="7" t="s">
        <v>160</v>
      </c>
      <c r="J2651" s="7" t="s">
        <v>148</v>
      </c>
      <c r="K2651" s="7"/>
      <c r="L2651" s="7"/>
      <c r="M2651" s="7"/>
    </row>
    <row r="2652" ht="15.75" customHeight="1">
      <c r="A2652" s="7" t="s">
        <v>13887</v>
      </c>
      <c r="B2652" s="45" t="s">
        <v>13888</v>
      </c>
      <c r="C2652" s="7" t="s">
        <v>13889</v>
      </c>
      <c r="D2652" s="7" t="s">
        <v>13890</v>
      </c>
      <c r="E2652" s="7" t="s">
        <v>13891</v>
      </c>
      <c r="F2652" s="7" t="s">
        <v>13892</v>
      </c>
      <c r="G2652" s="7"/>
      <c r="H2652" s="46" t="s">
        <v>249</v>
      </c>
      <c r="I2652" s="7" t="s">
        <v>160</v>
      </c>
      <c r="J2652" s="7" t="s">
        <v>148</v>
      </c>
      <c r="K2652" s="7"/>
      <c r="L2652" s="7"/>
      <c r="M2652" s="7"/>
    </row>
    <row r="2653" ht="15.75" customHeight="1">
      <c r="A2653" s="7" t="s">
        <v>13893</v>
      </c>
      <c r="B2653" s="45" t="s">
        <v>13894</v>
      </c>
      <c r="C2653" s="7" t="s">
        <v>5403</v>
      </c>
      <c r="D2653" s="7" t="s">
        <v>13895</v>
      </c>
      <c r="E2653" s="7" t="s">
        <v>5405</v>
      </c>
      <c r="F2653" s="7" t="s">
        <v>13896</v>
      </c>
      <c r="G2653" s="7"/>
      <c r="H2653" s="46" t="s">
        <v>249</v>
      </c>
      <c r="I2653" s="7" t="s">
        <v>160</v>
      </c>
      <c r="J2653" s="7" t="s">
        <v>148</v>
      </c>
      <c r="K2653" s="7"/>
      <c r="L2653" s="7"/>
      <c r="M2653" s="7"/>
    </row>
    <row r="2654" ht="15.75" customHeight="1">
      <c r="A2654" s="7" t="s">
        <v>13897</v>
      </c>
      <c r="B2654" s="45" t="s">
        <v>13898</v>
      </c>
      <c r="C2654" s="7" t="s">
        <v>13899</v>
      </c>
      <c r="D2654" s="7" t="s">
        <v>13900</v>
      </c>
      <c r="E2654" s="7" t="s">
        <v>13901</v>
      </c>
      <c r="F2654" s="7" t="s">
        <v>13902</v>
      </c>
      <c r="G2654" s="7"/>
      <c r="H2654" s="46" t="s">
        <v>249</v>
      </c>
      <c r="I2654" s="7" t="s">
        <v>160</v>
      </c>
      <c r="J2654" s="7" t="s">
        <v>148</v>
      </c>
      <c r="K2654" s="7"/>
      <c r="L2654" s="7"/>
      <c r="M2654" s="7"/>
    </row>
    <row r="2655" ht="15.75" customHeight="1">
      <c r="A2655" s="7" t="s">
        <v>13903</v>
      </c>
      <c r="B2655" s="45" t="s">
        <v>13904</v>
      </c>
      <c r="C2655" s="7" t="s">
        <v>13905</v>
      </c>
      <c r="D2655" s="7" t="s">
        <v>13906</v>
      </c>
      <c r="E2655" s="7" t="s">
        <v>13907</v>
      </c>
      <c r="F2655" s="7" t="s">
        <v>4989</v>
      </c>
      <c r="G2655" s="7"/>
      <c r="H2655" s="46" t="s">
        <v>249</v>
      </c>
      <c r="I2655" s="7" t="s">
        <v>160</v>
      </c>
      <c r="J2655" s="7" t="s">
        <v>148</v>
      </c>
      <c r="K2655" s="7"/>
      <c r="L2655" s="7"/>
      <c r="M2655" s="7"/>
    </row>
    <row r="2656" ht="15.75" customHeight="1">
      <c r="A2656" s="7" t="s">
        <v>13908</v>
      </c>
      <c r="B2656" s="45" t="s">
        <v>13909</v>
      </c>
      <c r="C2656" s="7" t="s">
        <v>2431</v>
      </c>
      <c r="D2656" s="7" t="s">
        <v>13910</v>
      </c>
      <c r="E2656" s="7" t="s">
        <v>13911</v>
      </c>
      <c r="F2656" s="7" t="s">
        <v>2433</v>
      </c>
      <c r="G2656" s="7"/>
      <c r="H2656" s="46" t="s">
        <v>249</v>
      </c>
      <c r="I2656" s="7" t="s">
        <v>160</v>
      </c>
      <c r="J2656" s="7" t="s">
        <v>148</v>
      </c>
      <c r="K2656" s="7"/>
      <c r="L2656" s="7"/>
      <c r="M2656" s="7"/>
    </row>
    <row r="2657" ht="15.75" customHeight="1">
      <c r="A2657" s="7" t="s">
        <v>13912</v>
      </c>
      <c r="B2657" s="45" t="s">
        <v>13913</v>
      </c>
      <c r="C2657" s="7" t="s">
        <v>13914</v>
      </c>
      <c r="D2657" s="7" t="s">
        <v>13915</v>
      </c>
      <c r="E2657" s="7" t="s">
        <v>13916</v>
      </c>
      <c r="F2657" s="7" t="s">
        <v>13917</v>
      </c>
      <c r="G2657" s="7"/>
      <c r="H2657" s="46" t="s">
        <v>249</v>
      </c>
      <c r="I2657" s="7" t="s">
        <v>160</v>
      </c>
      <c r="J2657" s="7" t="s">
        <v>148</v>
      </c>
      <c r="K2657" s="7"/>
      <c r="L2657" s="7"/>
      <c r="M2657" s="7"/>
    </row>
    <row r="2658" ht="15.75" customHeight="1">
      <c r="A2658" s="7" t="s">
        <v>13918</v>
      </c>
      <c r="B2658" s="45" t="s">
        <v>13919</v>
      </c>
      <c r="C2658" s="7" t="s">
        <v>13920</v>
      </c>
      <c r="D2658" s="7" t="s">
        <v>13921</v>
      </c>
      <c r="E2658" s="7" t="s">
        <v>13922</v>
      </c>
      <c r="F2658" s="7" t="s">
        <v>13923</v>
      </c>
      <c r="G2658" s="7"/>
      <c r="H2658" s="46" t="s">
        <v>249</v>
      </c>
      <c r="I2658" s="7" t="s">
        <v>160</v>
      </c>
      <c r="J2658" s="7" t="s">
        <v>148</v>
      </c>
      <c r="K2658" s="7"/>
      <c r="L2658" s="7"/>
      <c r="M2658" s="7"/>
    </row>
    <row r="2659" ht="15.75" customHeight="1">
      <c r="A2659" s="7" t="s">
        <v>13924</v>
      </c>
      <c r="B2659" s="45" t="s">
        <v>13925</v>
      </c>
      <c r="C2659" s="7" t="s">
        <v>13926</v>
      </c>
      <c r="D2659" s="7" t="s">
        <v>13927</v>
      </c>
      <c r="E2659" s="7" t="s">
        <v>13928</v>
      </c>
      <c r="F2659" s="7" t="s">
        <v>13929</v>
      </c>
      <c r="G2659" s="7"/>
      <c r="H2659" s="46" t="s">
        <v>249</v>
      </c>
      <c r="I2659" s="7" t="s">
        <v>160</v>
      </c>
      <c r="J2659" s="7" t="s">
        <v>148</v>
      </c>
      <c r="K2659" s="7"/>
      <c r="L2659" s="7"/>
      <c r="M2659" s="7"/>
    </row>
    <row r="2660" ht="15.75" customHeight="1">
      <c r="A2660" s="7" t="s">
        <v>13930</v>
      </c>
      <c r="B2660" s="45" t="s">
        <v>13931</v>
      </c>
      <c r="C2660" s="7" t="s">
        <v>13926</v>
      </c>
      <c r="D2660" s="7" t="s">
        <v>13932</v>
      </c>
      <c r="E2660" s="7" t="s">
        <v>13928</v>
      </c>
      <c r="F2660" s="7" t="s">
        <v>13929</v>
      </c>
      <c r="G2660" s="7"/>
      <c r="H2660" s="46" t="s">
        <v>249</v>
      </c>
      <c r="I2660" s="7" t="s">
        <v>160</v>
      </c>
      <c r="J2660" s="7" t="s">
        <v>148</v>
      </c>
      <c r="K2660" s="7"/>
      <c r="L2660" s="7"/>
      <c r="M2660" s="7"/>
    </row>
    <row r="2661" ht="15.75" customHeight="1">
      <c r="A2661" s="7" t="s">
        <v>13933</v>
      </c>
      <c r="B2661" s="45" t="s">
        <v>13934</v>
      </c>
      <c r="C2661" s="7" t="s">
        <v>13935</v>
      </c>
      <c r="D2661" s="7" t="s">
        <v>13936</v>
      </c>
      <c r="E2661" s="7" t="s">
        <v>13937</v>
      </c>
      <c r="F2661" s="7" t="s">
        <v>13938</v>
      </c>
      <c r="G2661" s="7"/>
      <c r="H2661" s="46" t="s">
        <v>249</v>
      </c>
      <c r="I2661" s="7" t="s">
        <v>160</v>
      </c>
      <c r="J2661" s="7" t="s">
        <v>148</v>
      </c>
      <c r="K2661" s="7"/>
      <c r="L2661" s="7"/>
      <c r="M2661" s="7"/>
    </row>
    <row r="2662" ht="15.75" customHeight="1">
      <c r="A2662" s="7" t="s">
        <v>13939</v>
      </c>
      <c r="B2662" s="45" t="s">
        <v>13940</v>
      </c>
      <c r="C2662" s="7" t="s">
        <v>13941</v>
      </c>
      <c r="D2662" s="7" t="s">
        <v>13942</v>
      </c>
      <c r="E2662" s="7" t="s">
        <v>13943</v>
      </c>
      <c r="F2662" s="7" t="s">
        <v>13944</v>
      </c>
      <c r="G2662" s="7"/>
      <c r="H2662" s="46" t="s">
        <v>249</v>
      </c>
      <c r="I2662" s="7" t="s">
        <v>160</v>
      </c>
      <c r="J2662" s="7" t="s">
        <v>148</v>
      </c>
      <c r="K2662" s="7"/>
      <c r="L2662" s="7"/>
      <c r="M2662" s="7"/>
    </row>
    <row r="2663" ht="15.75" customHeight="1">
      <c r="A2663" s="7" t="s">
        <v>13945</v>
      </c>
      <c r="B2663" s="45" t="s">
        <v>13946</v>
      </c>
      <c r="C2663" s="7" t="s">
        <v>13947</v>
      </c>
      <c r="D2663" s="7" t="s">
        <v>13942</v>
      </c>
      <c r="E2663" s="7" t="s">
        <v>13943</v>
      </c>
      <c r="F2663" s="7" t="s">
        <v>13944</v>
      </c>
      <c r="G2663" s="7"/>
      <c r="H2663" s="46" t="s">
        <v>249</v>
      </c>
      <c r="I2663" s="7" t="s">
        <v>160</v>
      </c>
      <c r="J2663" s="7" t="s">
        <v>148</v>
      </c>
      <c r="K2663" s="7"/>
      <c r="L2663" s="7"/>
      <c r="M2663" s="7"/>
    </row>
    <row r="2664" ht="15.75" customHeight="1">
      <c r="A2664" s="7" t="s">
        <v>13948</v>
      </c>
      <c r="B2664" s="45" t="s">
        <v>13949</v>
      </c>
      <c r="C2664" s="7" t="s">
        <v>3307</v>
      </c>
      <c r="D2664" s="7" t="s">
        <v>13950</v>
      </c>
      <c r="E2664" s="7" t="s">
        <v>13951</v>
      </c>
      <c r="F2664" s="7" t="s">
        <v>3310</v>
      </c>
      <c r="G2664" s="7"/>
      <c r="H2664" s="46" t="s">
        <v>249</v>
      </c>
      <c r="I2664" s="7" t="s">
        <v>160</v>
      </c>
      <c r="J2664" s="7" t="s">
        <v>148</v>
      </c>
      <c r="K2664" s="7"/>
      <c r="L2664" s="7"/>
      <c r="M2664" s="7"/>
    </row>
    <row r="2665" ht="15.75" customHeight="1">
      <c r="A2665" s="7" t="s">
        <v>13952</v>
      </c>
      <c r="B2665" s="45" t="s">
        <v>13953</v>
      </c>
      <c r="C2665" s="7" t="s">
        <v>13831</v>
      </c>
      <c r="D2665" s="7" t="s">
        <v>13954</v>
      </c>
      <c r="E2665" s="7" t="s">
        <v>13955</v>
      </c>
      <c r="F2665" s="7" t="s">
        <v>13956</v>
      </c>
      <c r="G2665" s="7"/>
      <c r="H2665" s="46" t="s">
        <v>249</v>
      </c>
      <c r="I2665" s="7" t="s">
        <v>160</v>
      </c>
      <c r="J2665" s="7" t="s">
        <v>148</v>
      </c>
      <c r="K2665" s="7"/>
      <c r="L2665" s="7"/>
      <c r="M2665" s="7"/>
    </row>
    <row r="2666" ht="15.75" customHeight="1">
      <c r="A2666" s="7" t="s">
        <v>13957</v>
      </c>
      <c r="B2666" s="45" t="s">
        <v>13958</v>
      </c>
      <c r="C2666" s="7" t="s">
        <v>13959</v>
      </c>
      <c r="D2666" s="7" t="s">
        <v>13960</v>
      </c>
      <c r="E2666" s="7" t="s">
        <v>13961</v>
      </c>
      <c r="F2666" s="7" t="s">
        <v>13962</v>
      </c>
      <c r="G2666" s="7"/>
      <c r="H2666" s="46" t="s">
        <v>249</v>
      </c>
      <c r="I2666" s="7" t="s">
        <v>160</v>
      </c>
      <c r="J2666" s="7" t="s">
        <v>148</v>
      </c>
      <c r="K2666" s="7"/>
      <c r="L2666" s="7"/>
      <c r="M2666" s="7"/>
    </row>
    <row r="2667" ht="15.75" customHeight="1">
      <c r="A2667" s="7" t="s">
        <v>13963</v>
      </c>
      <c r="B2667" s="45" t="s">
        <v>13964</v>
      </c>
      <c r="C2667" s="7" t="s">
        <v>13965</v>
      </c>
      <c r="D2667" s="7" t="s">
        <v>13966</v>
      </c>
      <c r="E2667" s="7" t="s">
        <v>13864</v>
      </c>
      <c r="F2667" s="7" t="s">
        <v>13865</v>
      </c>
      <c r="G2667" s="7"/>
      <c r="H2667" s="46" t="s">
        <v>249</v>
      </c>
      <c r="I2667" s="7" t="s">
        <v>160</v>
      </c>
      <c r="J2667" s="7" t="s">
        <v>148</v>
      </c>
      <c r="K2667" s="7"/>
      <c r="L2667" s="7"/>
      <c r="M2667" s="7"/>
    </row>
    <row r="2668" ht="15.75" customHeight="1">
      <c r="A2668" s="7" t="s">
        <v>13967</v>
      </c>
      <c r="B2668" s="45" t="s">
        <v>13968</v>
      </c>
      <c r="C2668" s="7" t="s">
        <v>13969</v>
      </c>
      <c r="D2668" s="7" t="s">
        <v>13970</v>
      </c>
      <c r="E2668" s="7" t="s">
        <v>13971</v>
      </c>
      <c r="F2668" s="7" t="s">
        <v>13865</v>
      </c>
      <c r="G2668" s="7"/>
      <c r="H2668" s="46" t="s">
        <v>249</v>
      </c>
      <c r="I2668" s="7" t="s">
        <v>160</v>
      </c>
      <c r="J2668" s="7" t="s">
        <v>148</v>
      </c>
      <c r="K2668" s="7"/>
      <c r="L2668" s="7"/>
      <c r="M2668" s="7"/>
    </row>
    <row r="2669" ht="15.75" customHeight="1">
      <c r="A2669" s="7" t="s">
        <v>13972</v>
      </c>
      <c r="B2669" s="45" t="s">
        <v>13973</v>
      </c>
      <c r="C2669" s="7" t="s">
        <v>13974</v>
      </c>
      <c r="D2669" s="7" t="s">
        <v>13975</v>
      </c>
      <c r="E2669" s="7" t="s">
        <v>13976</v>
      </c>
      <c r="F2669" s="7" t="s">
        <v>3327</v>
      </c>
      <c r="G2669" s="7"/>
      <c r="H2669" s="46" t="s">
        <v>249</v>
      </c>
      <c r="I2669" s="7" t="s">
        <v>160</v>
      </c>
      <c r="J2669" s="7" t="s">
        <v>148</v>
      </c>
      <c r="K2669" s="7"/>
      <c r="L2669" s="7"/>
      <c r="M2669" s="7"/>
    </row>
    <row r="2670" ht="15.75" customHeight="1">
      <c r="A2670" s="7" t="s">
        <v>13977</v>
      </c>
      <c r="B2670" s="45" t="s">
        <v>13978</v>
      </c>
      <c r="C2670" s="7" t="s">
        <v>13979</v>
      </c>
      <c r="D2670" s="7" t="s">
        <v>13980</v>
      </c>
      <c r="E2670" s="7" t="s">
        <v>13981</v>
      </c>
      <c r="F2670" s="7" t="s">
        <v>13982</v>
      </c>
      <c r="G2670" s="7"/>
      <c r="H2670" s="46" t="s">
        <v>249</v>
      </c>
      <c r="I2670" s="7" t="s">
        <v>160</v>
      </c>
      <c r="J2670" s="7" t="s">
        <v>148</v>
      </c>
      <c r="K2670" s="7"/>
      <c r="L2670" s="7"/>
      <c r="M2670" s="7"/>
    </row>
    <row r="2671" ht="15.75" customHeight="1">
      <c r="A2671" s="7" t="s">
        <v>13983</v>
      </c>
      <c r="B2671" s="45" t="s">
        <v>13984</v>
      </c>
      <c r="C2671" s="7" t="s">
        <v>13985</v>
      </c>
      <c r="D2671" s="7" t="s">
        <v>13986</v>
      </c>
      <c r="E2671" s="7" t="s">
        <v>12411</v>
      </c>
      <c r="F2671" s="7" t="s">
        <v>12412</v>
      </c>
      <c r="G2671" s="7"/>
      <c r="H2671" s="46" t="s">
        <v>249</v>
      </c>
      <c r="I2671" s="7" t="s">
        <v>160</v>
      </c>
      <c r="J2671" s="7" t="s">
        <v>148</v>
      </c>
      <c r="K2671" s="7"/>
      <c r="L2671" s="7"/>
      <c r="M2671" s="7"/>
    </row>
    <row r="2672" ht="15.75" customHeight="1">
      <c r="A2672" s="7" t="s">
        <v>13987</v>
      </c>
      <c r="B2672" s="45" t="s">
        <v>13988</v>
      </c>
      <c r="C2672" s="7" t="s">
        <v>13985</v>
      </c>
      <c r="D2672" s="7" t="s">
        <v>13989</v>
      </c>
      <c r="E2672" s="7" t="s">
        <v>13990</v>
      </c>
      <c r="F2672" s="7" t="s">
        <v>12412</v>
      </c>
      <c r="G2672" s="7"/>
      <c r="H2672" s="46" t="s">
        <v>249</v>
      </c>
      <c r="I2672" s="7" t="s">
        <v>160</v>
      </c>
      <c r="J2672" s="7" t="s">
        <v>148</v>
      </c>
      <c r="K2672" s="7"/>
      <c r="L2672" s="7"/>
      <c r="M2672" s="7"/>
    </row>
    <row r="2673" ht="15.75" customHeight="1">
      <c r="A2673" s="7" t="s">
        <v>13991</v>
      </c>
      <c r="B2673" s="45" t="s">
        <v>13992</v>
      </c>
      <c r="C2673" s="7" t="s">
        <v>13993</v>
      </c>
      <c r="D2673" s="7" t="s">
        <v>13994</v>
      </c>
      <c r="E2673" s="7" t="s">
        <v>13995</v>
      </c>
      <c r="F2673" s="7" t="s">
        <v>13996</v>
      </c>
      <c r="G2673" s="7"/>
      <c r="H2673" s="46" t="s">
        <v>249</v>
      </c>
      <c r="I2673" s="7" t="s">
        <v>160</v>
      </c>
      <c r="J2673" s="7" t="s">
        <v>148</v>
      </c>
      <c r="K2673" s="7"/>
      <c r="L2673" s="7"/>
      <c r="M2673" s="7"/>
    </row>
    <row r="2674" ht="15.75" customHeight="1">
      <c r="A2674" s="7" t="s">
        <v>13997</v>
      </c>
      <c r="B2674" s="45" t="s">
        <v>13998</v>
      </c>
      <c r="C2674" s="7" t="s">
        <v>13999</v>
      </c>
      <c r="D2674" s="7" t="s">
        <v>14000</v>
      </c>
      <c r="E2674" s="7" t="s">
        <v>13995</v>
      </c>
      <c r="F2674" s="7" t="s">
        <v>13996</v>
      </c>
      <c r="G2674" s="7"/>
      <c r="H2674" s="46" t="s">
        <v>249</v>
      </c>
      <c r="I2674" s="7" t="s">
        <v>160</v>
      </c>
      <c r="J2674" s="7" t="s">
        <v>148</v>
      </c>
      <c r="K2674" s="7"/>
      <c r="L2674" s="7"/>
      <c r="M2674" s="7"/>
    </row>
    <row r="2675" ht="15.75" customHeight="1">
      <c r="A2675" s="7" t="s">
        <v>14001</v>
      </c>
      <c r="B2675" s="45" t="s">
        <v>14002</v>
      </c>
      <c r="C2675" s="7" t="s">
        <v>10376</v>
      </c>
      <c r="D2675" s="7" t="s">
        <v>14003</v>
      </c>
      <c r="E2675" s="7" t="s">
        <v>10378</v>
      </c>
      <c r="F2675" s="7" t="s">
        <v>10379</v>
      </c>
      <c r="G2675" s="7"/>
      <c r="H2675" s="46" t="s">
        <v>249</v>
      </c>
      <c r="I2675" s="7" t="s">
        <v>160</v>
      </c>
      <c r="J2675" s="7" t="s">
        <v>148</v>
      </c>
      <c r="K2675" s="7"/>
      <c r="L2675" s="7"/>
      <c r="M2675" s="7"/>
    </row>
    <row r="2676" ht="15.75" customHeight="1">
      <c r="A2676" s="7" t="s">
        <v>14004</v>
      </c>
      <c r="B2676" s="45" t="s">
        <v>14005</v>
      </c>
      <c r="C2676" s="7" t="s">
        <v>14006</v>
      </c>
      <c r="D2676" s="7" t="s">
        <v>14007</v>
      </c>
      <c r="E2676" s="7" t="s">
        <v>14008</v>
      </c>
      <c r="F2676" s="7" t="s">
        <v>14009</v>
      </c>
      <c r="G2676" s="7"/>
      <c r="H2676" s="46" t="s">
        <v>249</v>
      </c>
      <c r="I2676" s="7" t="s">
        <v>160</v>
      </c>
      <c r="J2676" s="7" t="s">
        <v>148</v>
      </c>
      <c r="K2676" s="7"/>
      <c r="L2676" s="7"/>
      <c r="M2676" s="7"/>
    </row>
    <row r="2677" ht="15.75" customHeight="1">
      <c r="A2677" s="7" t="s">
        <v>14010</v>
      </c>
      <c r="B2677" s="45" t="s">
        <v>14011</v>
      </c>
      <c r="C2677" s="7" t="s">
        <v>6579</v>
      </c>
      <c r="D2677" s="7" t="s">
        <v>14012</v>
      </c>
      <c r="E2677" s="7" t="s">
        <v>14013</v>
      </c>
      <c r="F2677" s="7" t="s">
        <v>14014</v>
      </c>
      <c r="G2677" s="7"/>
      <c r="H2677" s="46" t="s">
        <v>249</v>
      </c>
      <c r="I2677" s="7" t="s">
        <v>160</v>
      </c>
      <c r="J2677" s="7" t="s">
        <v>148</v>
      </c>
      <c r="K2677" s="7"/>
      <c r="L2677" s="7"/>
      <c r="M2677" s="7"/>
    </row>
    <row r="2678" ht="15.75" customHeight="1">
      <c r="A2678" s="7" t="s">
        <v>14015</v>
      </c>
      <c r="B2678" s="45" t="s">
        <v>14016</v>
      </c>
      <c r="C2678" s="7" t="s">
        <v>14017</v>
      </c>
      <c r="D2678" s="7" t="s">
        <v>14018</v>
      </c>
      <c r="E2678" s="7" t="s">
        <v>14019</v>
      </c>
      <c r="F2678" s="7" t="s">
        <v>14020</v>
      </c>
      <c r="G2678" s="7"/>
      <c r="H2678" s="46" t="s">
        <v>249</v>
      </c>
      <c r="I2678" s="7" t="s">
        <v>160</v>
      </c>
      <c r="J2678" s="7" t="s">
        <v>148</v>
      </c>
      <c r="K2678" s="7"/>
      <c r="L2678" s="7"/>
      <c r="M2678" s="7"/>
    </row>
    <row r="2679" ht="15.75" customHeight="1">
      <c r="A2679" s="7" t="s">
        <v>14021</v>
      </c>
      <c r="B2679" s="45" t="s">
        <v>14022</v>
      </c>
      <c r="C2679" s="7" t="s">
        <v>14023</v>
      </c>
      <c r="D2679" s="7" t="s">
        <v>14024</v>
      </c>
      <c r="E2679" s="7" t="s">
        <v>14025</v>
      </c>
      <c r="F2679" s="7" t="s">
        <v>14026</v>
      </c>
      <c r="G2679" s="7"/>
      <c r="H2679" s="46" t="s">
        <v>249</v>
      </c>
      <c r="I2679" s="7" t="s">
        <v>160</v>
      </c>
      <c r="J2679" s="7" t="s">
        <v>148</v>
      </c>
      <c r="K2679" s="7"/>
      <c r="L2679" s="7"/>
      <c r="M2679" s="7"/>
    </row>
    <row r="2680" ht="15.75" customHeight="1">
      <c r="A2680" s="7" t="s">
        <v>14027</v>
      </c>
      <c r="B2680" s="45" t="s">
        <v>14028</v>
      </c>
      <c r="C2680" s="7" t="s">
        <v>14029</v>
      </c>
      <c r="D2680" s="7" t="s">
        <v>14030</v>
      </c>
      <c r="E2680" s="7" t="s">
        <v>14031</v>
      </c>
      <c r="F2680" s="7" t="s">
        <v>14032</v>
      </c>
      <c r="G2680" s="7"/>
      <c r="H2680" s="46" t="s">
        <v>249</v>
      </c>
      <c r="I2680" s="7" t="s">
        <v>160</v>
      </c>
      <c r="J2680" s="7" t="s">
        <v>148</v>
      </c>
      <c r="K2680" s="7"/>
      <c r="L2680" s="7"/>
      <c r="M2680" s="7"/>
    </row>
    <row r="2681" ht="15.75" customHeight="1">
      <c r="A2681" s="7" t="s">
        <v>14033</v>
      </c>
      <c r="B2681" s="45" t="s">
        <v>14034</v>
      </c>
      <c r="C2681" s="7" t="s">
        <v>14035</v>
      </c>
      <c r="D2681" s="7" t="s">
        <v>14036</v>
      </c>
      <c r="E2681" s="7" t="s">
        <v>14037</v>
      </c>
      <c r="F2681" s="7" t="s">
        <v>14038</v>
      </c>
      <c r="G2681" s="7"/>
      <c r="H2681" s="46" t="s">
        <v>249</v>
      </c>
      <c r="I2681" s="7" t="s">
        <v>160</v>
      </c>
      <c r="J2681" s="7" t="s">
        <v>148</v>
      </c>
      <c r="K2681" s="7"/>
      <c r="L2681" s="7"/>
      <c r="M2681" s="7"/>
    </row>
    <row r="2682" ht="15.75" customHeight="1">
      <c r="A2682" s="7" t="s">
        <v>14039</v>
      </c>
      <c r="B2682" s="45" t="s">
        <v>14040</v>
      </c>
      <c r="C2682" s="7" t="s">
        <v>14041</v>
      </c>
      <c r="D2682" s="7" t="s">
        <v>14042</v>
      </c>
      <c r="E2682" s="7" t="s">
        <v>14043</v>
      </c>
      <c r="F2682" s="7" t="s">
        <v>14044</v>
      </c>
      <c r="G2682" s="7" t="s">
        <v>14045</v>
      </c>
      <c r="H2682" s="46" t="s">
        <v>249</v>
      </c>
      <c r="I2682" s="7" t="s">
        <v>160</v>
      </c>
      <c r="J2682" s="7" t="s">
        <v>148</v>
      </c>
      <c r="K2682" s="7"/>
      <c r="L2682" s="7"/>
      <c r="M2682" s="7"/>
    </row>
    <row r="2683" ht="15.75" customHeight="1">
      <c r="A2683" s="7" t="s">
        <v>14046</v>
      </c>
      <c r="B2683" s="45" t="s">
        <v>14047</v>
      </c>
      <c r="C2683" s="7" t="s">
        <v>14048</v>
      </c>
      <c r="D2683" s="7" t="s">
        <v>14049</v>
      </c>
      <c r="E2683" s="7" t="s">
        <v>14050</v>
      </c>
      <c r="F2683" s="7" t="s">
        <v>14051</v>
      </c>
      <c r="G2683" s="7" t="s">
        <v>14052</v>
      </c>
      <c r="H2683" s="46" t="s">
        <v>249</v>
      </c>
      <c r="I2683" s="7" t="s">
        <v>160</v>
      </c>
      <c r="J2683" s="7" t="s">
        <v>148</v>
      </c>
      <c r="K2683" s="7"/>
      <c r="L2683" s="7"/>
      <c r="M2683" s="7"/>
    </row>
    <row r="2684" ht="15.75" customHeight="1">
      <c r="A2684" s="7" t="s">
        <v>14053</v>
      </c>
      <c r="B2684" s="45" t="s">
        <v>14054</v>
      </c>
      <c r="C2684" s="7" t="s">
        <v>14055</v>
      </c>
      <c r="D2684" s="7" t="s">
        <v>14056</v>
      </c>
      <c r="E2684" s="7" t="s">
        <v>14057</v>
      </c>
      <c r="F2684" s="7" t="s">
        <v>14058</v>
      </c>
      <c r="G2684" s="7"/>
      <c r="H2684" s="46" t="s">
        <v>249</v>
      </c>
      <c r="I2684" s="7" t="s">
        <v>160</v>
      </c>
      <c r="J2684" s="7" t="s">
        <v>148</v>
      </c>
      <c r="K2684" s="7"/>
      <c r="L2684" s="7"/>
      <c r="M2684" s="7"/>
    </row>
    <row r="2685" ht="15.75" customHeight="1">
      <c r="A2685" s="7" t="s">
        <v>14059</v>
      </c>
      <c r="B2685" s="45" t="s">
        <v>14060</v>
      </c>
      <c r="C2685" s="7" t="s">
        <v>14061</v>
      </c>
      <c r="D2685" s="7" t="s">
        <v>14062</v>
      </c>
      <c r="E2685" s="7" t="s">
        <v>14063</v>
      </c>
      <c r="F2685" s="7" t="s">
        <v>14064</v>
      </c>
      <c r="G2685" s="7"/>
      <c r="H2685" s="46" t="s">
        <v>249</v>
      </c>
      <c r="I2685" s="7" t="s">
        <v>160</v>
      </c>
      <c r="J2685" s="7" t="s">
        <v>148</v>
      </c>
      <c r="K2685" s="7"/>
      <c r="L2685" s="7"/>
      <c r="M2685" s="7"/>
    </row>
    <row r="2686" ht="15.75" customHeight="1">
      <c r="A2686" s="7" t="s">
        <v>14065</v>
      </c>
      <c r="B2686" s="45" t="s">
        <v>14066</v>
      </c>
      <c r="C2686" s="7" t="s">
        <v>14067</v>
      </c>
      <c r="D2686" s="7" t="s">
        <v>14068</v>
      </c>
      <c r="E2686" s="7" t="s">
        <v>14069</v>
      </c>
      <c r="F2686" s="7" t="s">
        <v>14070</v>
      </c>
      <c r="G2686" s="7"/>
      <c r="H2686" s="46" t="s">
        <v>249</v>
      </c>
      <c r="I2686" s="7" t="s">
        <v>160</v>
      </c>
      <c r="J2686" s="7" t="s">
        <v>148</v>
      </c>
      <c r="K2686" s="7"/>
      <c r="L2686" s="7"/>
      <c r="M2686" s="7"/>
    </row>
    <row r="2687" ht="15.75" customHeight="1">
      <c r="A2687" s="7" t="s">
        <v>14071</v>
      </c>
      <c r="B2687" s="45" t="s">
        <v>14072</v>
      </c>
      <c r="C2687" s="7" t="s">
        <v>14073</v>
      </c>
      <c r="D2687" s="7" t="s">
        <v>14074</v>
      </c>
      <c r="E2687" s="7" t="s">
        <v>14075</v>
      </c>
      <c r="F2687" s="7" t="s">
        <v>14076</v>
      </c>
      <c r="G2687" s="7"/>
      <c r="H2687" s="46" t="s">
        <v>249</v>
      </c>
      <c r="I2687" s="7" t="s">
        <v>160</v>
      </c>
      <c r="J2687" s="7" t="s">
        <v>148</v>
      </c>
      <c r="K2687" s="7"/>
      <c r="L2687" s="7"/>
      <c r="M2687" s="7"/>
    </row>
    <row r="2688" ht="15.75" customHeight="1">
      <c r="A2688" s="7" t="s">
        <v>14077</v>
      </c>
      <c r="B2688" s="45" t="s">
        <v>14078</v>
      </c>
      <c r="C2688" s="7" t="s">
        <v>14079</v>
      </c>
      <c r="D2688" s="7" t="s">
        <v>14080</v>
      </c>
      <c r="E2688" s="7" t="s">
        <v>14081</v>
      </c>
      <c r="F2688" s="7" t="s">
        <v>14082</v>
      </c>
      <c r="G2688" s="7"/>
      <c r="H2688" s="46" t="s">
        <v>249</v>
      </c>
      <c r="I2688" s="7" t="s">
        <v>160</v>
      </c>
      <c r="J2688" s="7" t="s">
        <v>148</v>
      </c>
      <c r="K2688" s="7"/>
      <c r="L2688" s="7"/>
      <c r="M2688" s="7"/>
    </row>
    <row r="2689" ht="15.75" customHeight="1">
      <c r="A2689" s="7" t="s">
        <v>14083</v>
      </c>
      <c r="B2689" s="45" t="s">
        <v>14084</v>
      </c>
      <c r="C2689" s="7" t="s">
        <v>14085</v>
      </c>
      <c r="D2689" s="7" t="s">
        <v>14086</v>
      </c>
      <c r="E2689" s="7" t="s">
        <v>14087</v>
      </c>
      <c r="F2689" s="7" t="s">
        <v>14088</v>
      </c>
      <c r="G2689" s="7"/>
      <c r="H2689" s="46" t="s">
        <v>249</v>
      </c>
      <c r="I2689" s="7" t="s">
        <v>160</v>
      </c>
      <c r="J2689" s="7" t="s">
        <v>148</v>
      </c>
      <c r="K2689" s="7"/>
      <c r="L2689" s="7"/>
      <c r="M2689" s="7"/>
    </row>
    <row r="2690" ht="15.75" customHeight="1">
      <c r="A2690" s="7" t="s">
        <v>14089</v>
      </c>
      <c r="B2690" s="45" t="s">
        <v>14090</v>
      </c>
      <c r="C2690" s="7" t="s">
        <v>14091</v>
      </c>
      <c r="D2690" s="7" t="s">
        <v>14092</v>
      </c>
      <c r="E2690" s="7" t="s">
        <v>14093</v>
      </c>
      <c r="F2690" s="7" t="s">
        <v>14094</v>
      </c>
      <c r="G2690" s="7"/>
      <c r="H2690" s="46" t="s">
        <v>249</v>
      </c>
      <c r="I2690" s="7" t="s">
        <v>160</v>
      </c>
      <c r="J2690" s="7" t="s">
        <v>148</v>
      </c>
      <c r="K2690" s="7"/>
      <c r="L2690" s="7"/>
      <c r="M2690" s="7"/>
    </row>
    <row r="2691" ht="15.75" customHeight="1">
      <c r="A2691" s="7" t="s">
        <v>14095</v>
      </c>
      <c r="B2691" s="45" t="s">
        <v>14096</v>
      </c>
      <c r="C2691" s="7" t="s">
        <v>14097</v>
      </c>
      <c r="D2691" s="7" t="s">
        <v>14098</v>
      </c>
      <c r="E2691" s="7" t="s">
        <v>14099</v>
      </c>
      <c r="F2691" s="7" t="s">
        <v>13596</v>
      </c>
      <c r="G2691" s="7"/>
      <c r="H2691" s="46" t="s">
        <v>249</v>
      </c>
      <c r="I2691" s="7" t="s">
        <v>160</v>
      </c>
      <c r="J2691" s="7" t="s">
        <v>148</v>
      </c>
      <c r="K2691" s="7"/>
      <c r="L2691" s="7"/>
      <c r="M2691" s="7"/>
    </row>
    <row r="2692" ht="15.75" customHeight="1">
      <c r="A2692" s="7" t="s">
        <v>14100</v>
      </c>
      <c r="B2692" s="45" t="s">
        <v>14101</v>
      </c>
      <c r="C2692" s="7" t="s">
        <v>14097</v>
      </c>
      <c r="D2692" s="7" t="s">
        <v>14102</v>
      </c>
      <c r="E2692" s="7" t="s">
        <v>14103</v>
      </c>
      <c r="F2692" s="7" t="s">
        <v>13596</v>
      </c>
      <c r="G2692" s="7"/>
      <c r="H2692" s="46" t="s">
        <v>249</v>
      </c>
      <c r="I2692" s="7" t="s">
        <v>160</v>
      </c>
      <c r="J2692" s="7" t="s">
        <v>148</v>
      </c>
      <c r="K2692" s="7"/>
      <c r="L2692" s="7"/>
      <c r="M2692" s="7"/>
    </row>
    <row r="2693" ht="15.75" customHeight="1">
      <c r="A2693" s="7" t="s">
        <v>14104</v>
      </c>
      <c r="B2693" s="45" t="s">
        <v>14105</v>
      </c>
      <c r="C2693" s="7" t="s">
        <v>14106</v>
      </c>
      <c r="D2693" s="7" t="s">
        <v>14107</v>
      </c>
      <c r="E2693" s="7" t="s">
        <v>14108</v>
      </c>
      <c r="F2693" s="7" t="s">
        <v>13596</v>
      </c>
      <c r="G2693" s="7"/>
      <c r="H2693" s="46" t="s">
        <v>249</v>
      </c>
      <c r="I2693" s="7" t="s">
        <v>160</v>
      </c>
      <c r="J2693" s="7" t="s">
        <v>148</v>
      </c>
      <c r="K2693" s="7"/>
      <c r="L2693" s="7"/>
      <c r="M2693" s="7"/>
    </row>
    <row r="2694" ht="15.75" customHeight="1">
      <c r="A2694" s="7" t="s">
        <v>14109</v>
      </c>
      <c r="B2694" s="45" t="s">
        <v>14110</v>
      </c>
      <c r="C2694" s="7" t="s">
        <v>14111</v>
      </c>
      <c r="D2694" s="7" t="s">
        <v>14112</v>
      </c>
      <c r="E2694" s="7" t="s">
        <v>14113</v>
      </c>
      <c r="F2694" s="7" t="s">
        <v>14114</v>
      </c>
      <c r="G2694" s="7"/>
      <c r="H2694" s="46" t="s">
        <v>249</v>
      </c>
      <c r="I2694" s="7" t="s">
        <v>160</v>
      </c>
      <c r="J2694" s="7" t="s">
        <v>148</v>
      </c>
      <c r="K2694" s="7"/>
      <c r="L2694" s="7"/>
      <c r="M2694" s="7"/>
    </row>
    <row r="2695" ht="15.75" customHeight="1">
      <c r="A2695" s="7" t="s">
        <v>14115</v>
      </c>
      <c r="B2695" s="45" t="s">
        <v>14116</v>
      </c>
      <c r="C2695" s="7" t="s">
        <v>14117</v>
      </c>
      <c r="D2695" s="7" t="s">
        <v>14118</v>
      </c>
      <c r="E2695" s="7" t="s">
        <v>14119</v>
      </c>
      <c r="F2695" s="7" t="s">
        <v>14120</v>
      </c>
      <c r="G2695" s="7"/>
      <c r="H2695" s="46" t="s">
        <v>249</v>
      </c>
      <c r="I2695" s="7" t="s">
        <v>160</v>
      </c>
      <c r="J2695" s="7" t="s">
        <v>148</v>
      </c>
      <c r="K2695" s="7"/>
      <c r="L2695" s="7"/>
      <c r="M2695" s="7"/>
    </row>
    <row r="2696" ht="15.75" customHeight="1">
      <c r="A2696" s="7" t="s">
        <v>14121</v>
      </c>
      <c r="B2696" s="45" t="s">
        <v>14122</v>
      </c>
      <c r="C2696" s="7" t="s">
        <v>14123</v>
      </c>
      <c r="D2696" s="7" t="s">
        <v>14124</v>
      </c>
      <c r="E2696" s="7" t="s">
        <v>14125</v>
      </c>
      <c r="F2696" s="7" t="s">
        <v>14126</v>
      </c>
      <c r="G2696" s="7"/>
      <c r="H2696" s="46" t="s">
        <v>249</v>
      </c>
      <c r="I2696" s="7" t="s">
        <v>160</v>
      </c>
      <c r="J2696" s="7" t="s">
        <v>148</v>
      </c>
      <c r="K2696" s="7"/>
      <c r="L2696" s="7"/>
      <c r="M2696" s="7"/>
    </row>
    <row r="2697" ht="15.75" customHeight="1">
      <c r="A2697" s="7" t="s">
        <v>14127</v>
      </c>
      <c r="B2697" s="45" t="s">
        <v>14128</v>
      </c>
      <c r="C2697" s="7" t="s">
        <v>14129</v>
      </c>
      <c r="D2697" s="7" t="s">
        <v>14130</v>
      </c>
      <c r="E2697" s="7" t="s">
        <v>14131</v>
      </c>
      <c r="F2697" s="7" t="s">
        <v>14132</v>
      </c>
      <c r="G2697" s="7"/>
      <c r="H2697" s="46" t="s">
        <v>249</v>
      </c>
      <c r="I2697" s="7" t="s">
        <v>160</v>
      </c>
      <c r="J2697" s="7" t="s">
        <v>148</v>
      </c>
      <c r="K2697" s="7"/>
      <c r="L2697" s="7"/>
      <c r="M2697" s="7"/>
    </row>
    <row r="2698" ht="15.75" customHeight="1">
      <c r="A2698" s="7" t="s">
        <v>14133</v>
      </c>
      <c r="B2698" s="45" t="s">
        <v>14134</v>
      </c>
      <c r="C2698" s="7" t="s">
        <v>14135</v>
      </c>
      <c r="D2698" s="7" t="s">
        <v>14136</v>
      </c>
      <c r="E2698" s="7" t="s">
        <v>14137</v>
      </c>
      <c r="F2698" s="7" t="s">
        <v>14138</v>
      </c>
      <c r="G2698" s="7"/>
      <c r="H2698" s="46" t="s">
        <v>249</v>
      </c>
      <c r="I2698" s="7" t="s">
        <v>160</v>
      </c>
      <c r="J2698" s="7" t="s">
        <v>148</v>
      </c>
      <c r="K2698" s="7"/>
      <c r="L2698" s="7"/>
      <c r="M2698" s="7"/>
    </row>
    <row r="2699" ht="15.75" customHeight="1">
      <c r="A2699" s="7" t="s">
        <v>14139</v>
      </c>
      <c r="B2699" s="45" t="s">
        <v>14140</v>
      </c>
      <c r="C2699" s="7" t="s">
        <v>14141</v>
      </c>
      <c r="D2699" s="7" t="s">
        <v>14142</v>
      </c>
      <c r="E2699" s="7" t="s">
        <v>14143</v>
      </c>
      <c r="F2699" s="7" t="s">
        <v>14144</v>
      </c>
      <c r="G2699" s="7"/>
      <c r="H2699" s="46" t="s">
        <v>249</v>
      </c>
      <c r="I2699" s="7" t="s">
        <v>160</v>
      </c>
      <c r="J2699" s="7" t="s">
        <v>148</v>
      </c>
      <c r="K2699" s="7"/>
      <c r="L2699" s="7"/>
      <c r="M2699" s="7"/>
    </row>
    <row r="2700" ht="15.75" customHeight="1">
      <c r="A2700" s="7" t="s">
        <v>14145</v>
      </c>
      <c r="B2700" s="45" t="s">
        <v>14146</v>
      </c>
      <c r="C2700" s="7" t="s">
        <v>14141</v>
      </c>
      <c r="D2700" s="7" t="s">
        <v>14147</v>
      </c>
      <c r="E2700" s="7" t="s">
        <v>14143</v>
      </c>
      <c r="F2700" s="7" t="s">
        <v>14144</v>
      </c>
      <c r="G2700" s="7"/>
      <c r="H2700" s="46" t="s">
        <v>249</v>
      </c>
      <c r="I2700" s="7" t="s">
        <v>160</v>
      </c>
      <c r="J2700" s="7" t="s">
        <v>148</v>
      </c>
      <c r="K2700" s="7"/>
      <c r="L2700" s="7"/>
      <c r="M2700" s="7"/>
    </row>
    <row r="2701" ht="15.75" customHeight="1">
      <c r="A2701" s="7" t="s">
        <v>14148</v>
      </c>
      <c r="B2701" s="45" t="s">
        <v>14149</v>
      </c>
      <c r="C2701" s="7" t="s">
        <v>14141</v>
      </c>
      <c r="D2701" s="7" t="s">
        <v>14150</v>
      </c>
      <c r="E2701" s="7" t="s">
        <v>14143</v>
      </c>
      <c r="F2701" s="7" t="s">
        <v>14144</v>
      </c>
      <c r="G2701" s="7"/>
      <c r="H2701" s="46" t="s">
        <v>249</v>
      </c>
      <c r="I2701" s="7" t="s">
        <v>160</v>
      </c>
      <c r="J2701" s="7" t="s">
        <v>148</v>
      </c>
      <c r="K2701" s="7"/>
      <c r="L2701" s="7"/>
      <c r="M2701" s="7"/>
    </row>
    <row r="2702" ht="15.75" customHeight="1">
      <c r="A2702" s="7" t="s">
        <v>14151</v>
      </c>
      <c r="B2702" s="45" t="s">
        <v>14152</v>
      </c>
      <c r="C2702" s="7" t="s">
        <v>14141</v>
      </c>
      <c r="D2702" s="7" t="s">
        <v>14153</v>
      </c>
      <c r="E2702" s="7" t="s">
        <v>14154</v>
      </c>
      <c r="F2702" s="7" t="s">
        <v>14144</v>
      </c>
      <c r="G2702" s="7"/>
      <c r="H2702" s="46" t="s">
        <v>249</v>
      </c>
      <c r="I2702" s="7" t="s">
        <v>160</v>
      </c>
      <c r="J2702" s="7" t="s">
        <v>148</v>
      </c>
      <c r="K2702" s="7"/>
      <c r="L2702" s="7"/>
      <c r="M2702" s="7"/>
    </row>
    <row r="2703" ht="15.75" customHeight="1">
      <c r="A2703" s="7" t="s">
        <v>14155</v>
      </c>
      <c r="B2703" s="45" t="s">
        <v>14156</v>
      </c>
      <c r="C2703" s="7" t="s">
        <v>14141</v>
      </c>
      <c r="D2703" s="7" t="s">
        <v>14157</v>
      </c>
      <c r="E2703" s="7" t="s">
        <v>14143</v>
      </c>
      <c r="F2703" s="7" t="s">
        <v>14144</v>
      </c>
      <c r="G2703" s="7"/>
      <c r="H2703" s="46" t="s">
        <v>249</v>
      </c>
      <c r="I2703" s="7" t="s">
        <v>160</v>
      </c>
      <c r="J2703" s="7" t="s">
        <v>148</v>
      </c>
      <c r="K2703" s="7"/>
      <c r="L2703" s="7"/>
      <c r="M2703" s="7"/>
    </row>
    <row r="2704" ht="15.75" customHeight="1">
      <c r="A2704" s="7" t="s">
        <v>14158</v>
      </c>
      <c r="B2704" s="45" t="s">
        <v>14159</v>
      </c>
      <c r="C2704" s="7" t="s">
        <v>14141</v>
      </c>
      <c r="D2704" s="7" t="s">
        <v>14160</v>
      </c>
      <c r="E2704" s="7" t="s">
        <v>14161</v>
      </c>
      <c r="F2704" s="7" t="s">
        <v>14144</v>
      </c>
      <c r="G2704" s="7"/>
      <c r="H2704" s="46" t="s">
        <v>249</v>
      </c>
      <c r="I2704" s="7" t="s">
        <v>160</v>
      </c>
      <c r="J2704" s="7" t="s">
        <v>148</v>
      </c>
      <c r="K2704" s="7"/>
      <c r="L2704" s="7"/>
      <c r="M2704" s="7"/>
    </row>
    <row r="2705" ht="15.75" customHeight="1">
      <c r="A2705" s="7" t="s">
        <v>14162</v>
      </c>
      <c r="B2705" s="45" t="s">
        <v>14163</v>
      </c>
      <c r="C2705" s="7" t="s">
        <v>14141</v>
      </c>
      <c r="D2705" s="7" t="s">
        <v>14164</v>
      </c>
      <c r="E2705" s="7" t="s">
        <v>14143</v>
      </c>
      <c r="F2705" s="7" t="s">
        <v>14144</v>
      </c>
      <c r="G2705" s="7"/>
      <c r="H2705" s="46" t="s">
        <v>249</v>
      </c>
      <c r="I2705" s="7" t="s">
        <v>160</v>
      </c>
      <c r="J2705" s="7" t="s">
        <v>148</v>
      </c>
      <c r="K2705" s="7"/>
      <c r="L2705" s="7"/>
      <c r="M2705" s="7"/>
    </row>
    <row r="2706" ht="15.75" customHeight="1">
      <c r="A2706" s="7" t="s">
        <v>14165</v>
      </c>
      <c r="B2706" s="45" t="s">
        <v>14166</v>
      </c>
      <c r="C2706" s="7" t="s">
        <v>14141</v>
      </c>
      <c r="D2706" s="7" t="s">
        <v>14167</v>
      </c>
      <c r="E2706" s="7" t="s">
        <v>14161</v>
      </c>
      <c r="F2706" s="7" t="s">
        <v>14144</v>
      </c>
      <c r="G2706" s="7"/>
      <c r="H2706" s="46" t="s">
        <v>249</v>
      </c>
      <c r="I2706" s="7" t="s">
        <v>160</v>
      </c>
      <c r="J2706" s="7" t="s">
        <v>148</v>
      </c>
      <c r="K2706" s="7"/>
      <c r="L2706" s="7"/>
      <c r="M2706" s="7"/>
    </row>
    <row r="2707" ht="15.75" customHeight="1">
      <c r="A2707" s="7" t="s">
        <v>14168</v>
      </c>
      <c r="B2707" s="45" t="s">
        <v>14169</v>
      </c>
      <c r="C2707" s="7" t="s">
        <v>14141</v>
      </c>
      <c r="D2707" s="7" t="s">
        <v>14170</v>
      </c>
      <c r="E2707" s="7" t="s">
        <v>14161</v>
      </c>
      <c r="F2707" s="7" t="s">
        <v>14144</v>
      </c>
      <c r="G2707" s="7"/>
      <c r="H2707" s="46" t="s">
        <v>249</v>
      </c>
      <c r="I2707" s="7" t="s">
        <v>160</v>
      </c>
      <c r="J2707" s="7" t="s">
        <v>148</v>
      </c>
      <c r="K2707" s="7"/>
      <c r="L2707" s="7"/>
      <c r="M2707" s="7"/>
    </row>
    <row r="2708" ht="15.75" customHeight="1">
      <c r="A2708" s="7" t="s">
        <v>14171</v>
      </c>
      <c r="B2708" s="45" t="s">
        <v>14172</v>
      </c>
      <c r="C2708" s="7" t="s">
        <v>14141</v>
      </c>
      <c r="D2708" s="7" t="s">
        <v>14173</v>
      </c>
      <c r="E2708" s="7" t="s">
        <v>14143</v>
      </c>
      <c r="F2708" s="7" t="s">
        <v>14144</v>
      </c>
      <c r="G2708" s="7"/>
      <c r="H2708" s="46" t="s">
        <v>249</v>
      </c>
      <c r="I2708" s="7" t="s">
        <v>160</v>
      </c>
      <c r="J2708" s="7" t="s">
        <v>148</v>
      </c>
      <c r="K2708" s="7"/>
      <c r="L2708" s="7"/>
      <c r="M2708" s="7"/>
    </row>
    <row r="2709" ht="15.75" customHeight="1">
      <c r="A2709" s="7" t="s">
        <v>14174</v>
      </c>
      <c r="B2709" s="45" t="s">
        <v>14175</v>
      </c>
      <c r="C2709" s="7" t="s">
        <v>14141</v>
      </c>
      <c r="D2709" s="7" t="s">
        <v>14176</v>
      </c>
      <c r="E2709" s="7" t="s">
        <v>14143</v>
      </c>
      <c r="F2709" s="7" t="s">
        <v>14144</v>
      </c>
      <c r="G2709" s="7"/>
      <c r="H2709" s="46" t="s">
        <v>249</v>
      </c>
      <c r="I2709" s="7" t="s">
        <v>160</v>
      </c>
      <c r="J2709" s="7" t="s">
        <v>148</v>
      </c>
      <c r="K2709" s="7"/>
      <c r="L2709" s="7"/>
      <c r="M2709" s="7"/>
    </row>
    <row r="2710" ht="15.75" customHeight="1">
      <c r="A2710" s="7" t="s">
        <v>14177</v>
      </c>
      <c r="B2710" s="45" t="s">
        <v>14178</v>
      </c>
      <c r="C2710" s="7" t="s">
        <v>14141</v>
      </c>
      <c r="D2710" s="7" t="s">
        <v>14179</v>
      </c>
      <c r="E2710" s="7" t="s">
        <v>14143</v>
      </c>
      <c r="F2710" s="7" t="s">
        <v>14144</v>
      </c>
      <c r="G2710" s="7"/>
      <c r="H2710" s="46" t="s">
        <v>249</v>
      </c>
      <c r="I2710" s="7" t="s">
        <v>160</v>
      </c>
      <c r="J2710" s="7" t="s">
        <v>148</v>
      </c>
      <c r="K2710" s="7"/>
      <c r="L2710" s="7"/>
      <c r="M2710" s="7"/>
    </row>
    <row r="2711" ht="15.75" customHeight="1">
      <c r="A2711" s="7" t="s">
        <v>14180</v>
      </c>
      <c r="B2711" s="45" t="s">
        <v>14181</v>
      </c>
      <c r="C2711" s="7" t="s">
        <v>14182</v>
      </c>
      <c r="D2711" s="7" t="s">
        <v>14183</v>
      </c>
      <c r="E2711" s="7" t="s">
        <v>14161</v>
      </c>
      <c r="F2711" s="7" t="s">
        <v>14144</v>
      </c>
      <c r="G2711" s="7"/>
      <c r="H2711" s="46" t="s">
        <v>249</v>
      </c>
      <c r="I2711" s="7" t="s">
        <v>160</v>
      </c>
      <c r="J2711" s="7" t="s">
        <v>148</v>
      </c>
      <c r="K2711" s="7"/>
      <c r="L2711" s="7"/>
      <c r="M2711" s="7"/>
    </row>
    <row r="2712" ht="15.75" customHeight="1">
      <c r="A2712" s="7" t="s">
        <v>14184</v>
      </c>
      <c r="B2712" s="45" t="s">
        <v>14185</v>
      </c>
      <c r="C2712" s="7" t="s">
        <v>14141</v>
      </c>
      <c r="D2712" s="7" t="s">
        <v>14186</v>
      </c>
      <c r="E2712" s="7" t="s">
        <v>14161</v>
      </c>
      <c r="F2712" s="7" t="s">
        <v>14144</v>
      </c>
      <c r="G2712" s="7"/>
      <c r="H2712" s="46" t="s">
        <v>249</v>
      </c>
      <c r="I2712" s="7" t="s">
        <v>160</v>
      </c>
      <c r="J2712" s="7" t="s">
        <v>148</v>
      </c>
      <c r="K2712" s="7"/>
      <c r="L2712" s="7"/>
      <c r="M2712" s="7"/>
    </row>
    <row r="2713" ht="15.75" customHeight="1">
      <c r="A2713" s="7" t="s">
        <v>14187</v>
      </c>
      <c r="B2713" s="45" t="s">
        <v>14188</v>
      </c>
      <c r="C2713" s="7" t="s">
        <v>14189</v>
      </c>
      <c r="D2713" s="7" t="s">
        <v>14190</v>
      </c>
      <c r="E2713" s="7" t="s">
        <v>14161</v>
      </c>
      <c r="F2713" s="7" t="s">
        <v>14144</v>
      </c>
      <c r="G2713" s="7"/>
      <c r="H2713" s="46" t="s">
        <v>249</v>
      </c>
      <c r="I2713" s="7" t="s">
        <v>160</v>
      </c>
      <c r="J2713" s="7" t="s">
        <v>148</v>
      </c>
      <c r="K2713" s="7"/>
      <c r="L2713" s="7"/>
      <c r="M2713" s="7"/>
    </row>
    <row r="2714" ht="15.75" customHeight="1">
      <c r="A2714" s="7" t="s">
        <v>14191</v>
      </c>
      <c r="B2714" s="45" t="s">
        <v>14192</v>
      </c>
      <c r="C2714" s="7" t="s">
        <v>14189</v>
      </c>
      <c r="D2714" s="7" t="s">
        <v>14193</v>
      </c>
      <c r="E2714" s="7" t="s">
        <v>14161</v>
      </c>
      <c r="F2714" s="7" t="s">
        <v>14144</v>
      </c>
      <c r="G2714" s="7"/>
      <c r="H2714" s="46" t="s">
        <v>249</v>
      </c>
      <c r="I2714" s="7" t="s">
        <v>160</v>
      </c>
      <c r="J2714" s="7" t="s">
        <v>148</v>
      </c>
      <c r="K2714" s="7"/>
      <c r="L2714" s="7"/>
      <c r="M2714" s="7"/>
    </row>
    <row r="2715" ht="15.75" customHeight="1">
      <c r="A2715" s="7" t="s">
        <v>14194</v>
      </c>
      <c r="B2715" s="45" t="s">
        <v>14195</v>
      </c>
      <c r="C2715" s="7" t="s">
        <v>14141</v>
      </c>
      <c r="D2715" s="7" t="s">
        <v>14196</v>
      </c>
      <c r="E2715" s="7" t="s">
        <v>14161</v>
      </c>
      <c r="F2715" s="7" t="s">
        <v>14144</v>
      </c>
      <c r="G2715" s="7"/>
      <c r="H2715" s="46" t="s">
        <v>249</v>
      </c>
      <c r="I2715" s="7" t="s">
        <v>160</v>
      </c>
      <c r="J2715" s="7" t="s">
        <v>148</v>
      </c>
      <c r="K2715" s="7"/>
      <c r="L2715" s="7"/>
      <c r="M2715" s="7"/>
    </row>
    <row r="2716" ht="15.75" customHeight="1">
      <c r="A2716" s="7" t="s">
        <v>14197</v>
      </c>
      <c r="B2716" s="45" t="s">
        <v>14198</v>
      </c>
      <c r="C2716" s="7" t="s">
        <v>14141</v>
      </c>
      <c r="D2716" s="7" t="s">
        <v>14199</v>
      </c>
      <c r="E2716" s="7" t="s">
        <v>14161</v>
      </c>
      <c r="F2716" s="7" t="s">
        <v>14144</v>
      </c>
      <c r="G2716" s="7"/>
      <c r="H2716" s="46" t="s">
        <v>249</v>
      </c>
      <c r="I2716" s="7" t="s">
        <v>160</v>
      </c>
      <c r="J2716" s="7" t="s">
        <v>148</v>
      </c>
      <c r="K2716" s="7"/>
      <c r="L2716" s="7"/>
      <c r="M2716" s="7"/>
    </row>
    <row r="2717" ht="15.75" customHeight="1">
      <c r="A2717" s="7" t="s">
        <v>14200</v>
      </c>
      <c r="B2717" s="45" t="s">
        <v>14201</v>
      </c>
      <c r="C2717" s="7" t="s">
        <v>14202</v>
      </c>
      <c r="D2717" s="7" t="s">
        <v>14203</v>
      </c>
      <c r="E2717" s="7" t="s">
        <v>14204</v>
      </c>
      <c r="F2717" s="7" t="s">
        <v>14144</v>
      </c>
      <c r="G2717" s="7" t="s">
        <v>14205</v>
      </c>
      <c r="H2717" s="46" t="s">
        <v>249</v>
      </c>
      <c r="I2717" s="7" t="s">
        <v>160</v>
      </c>
      <c r="J2717" s="7" t="s">
        <v>148</v>
      </c>
      <c r="K2717" s="7"/>
      <c r="L2717" s="7"/>
      <c r="M2717" s="7"/>
    </row>
    <row r="2718" ht="15.75" customHeight="1">
      <c r="A2718" s="7" t="s">
        <v>14206</v>
      </c>
      <c r="B2718" s="45" t="s">
        <v>14207</v>
      </c>
      <c r="C2718" s="7" t="s">
        <v>14141</v>
      </c>
      <c r="D2718" s="7" t="s">
        <v>14208</v>
      </c>
      <c r="E2718" s="7" t="s">
        <v>14143</v>
      </c>
      <c r="F2718" s="7" t="s">
        <v>14144</v>
      </c>
      <c r="G2718" s="7"/>
      <c r="H2718" s="46" t="s">
        <v>249</v>
      </c>
      <c r="I2718" s="7" t="s">
        <v>160</v>
      </c>
      <c r="J2718" s="7" t="s">
        <v>148</v>
      </c>
      <c r="K2718" s="7"/>
      <c r="L2718" s="7"/>
      <c r="M2718" s="7"/>
    </row>
    <row r="2719" ht="15.75" customHeight="1">
      <c r="A2719" s="7" t="s">
        <v>14209</v>
      </c>
      <c r="B2719" s="45" t="s">
        <v>14210</v>
      </c>
      <c r="C2719" s="7" t="s">
        <v>14141</v>
      </c>
      <c r="D2719" s="7" t="s">
        <v>14211</v>
      </c>
      <c r="E2719" s="7" t="s">
        <v>14143</v>
      </c>
      <c r="F2719" s="7" t="s">
        <v>14144</v>
      </c>
      <c r="G2719" s="7"/>
      <c r="H2719" s="46" t="s">
        <v>249</v>
      </c>
      <c r="I2719" s="7" t="s">
        <v>160</v>
      </c>
      <c r="J2719" s="7" t="s">
        <v>148</v>
      </c>
      <c r="K2719" s="7"/>
      <c r="L2719" s="7"/>
      <c r="M2719" s="7"/>
    </row>
    <row r="2720" ht="15.75" customHeight="1">
      <c r="A2720" s="7" t="s">
        <v>14212</v>
      </c>
      <c r="B2720" s="45" t="s">
        <v>14213</v>
      </c>
      <c r="C2720" s="7" t="s">
        <v>14141</v>
      </c>
      <c r="D2720" s="7" t="s">
        <v>14214</v>
      </c>
      <c r="E2720" s="7" t="s">
        <v>14161</v>
      </c>
      <c r="F2720" s="7" t="s">
        <v>14144</v>
      </c>
      <c r="G2720" s="7"/>
      <c r="H2720" s="46" t="s">
        <v>249</v>
      </c>
      <c r="I2720" s="7" t="s">
        <v>160</v>
      </c>
      <c r="J2720" s="7" t="s">
        <v>148</v>
      </c>
      <c r="K2720" s="7"/>
      <c r="L2720" s="7"/>
      <c r="M2720" s="7"/>
    </row>
    <row r="2721" ht="15.75" customHeight="1">
      <c r="A2721" s="7" t="s">
        <v>14215</v>
      </c>
      <c r="B2721" s="45" t="s">
        <v>14216</v>
      </c>
      <c r="C2721" s="7" t="s">
        <v>14217</v>
      </c>
      <c r="D2721" s="7" t="s">
        <v>14218</v>
      </c>
      <c r="E2721" s="7" t="s">
        <v>14219</v>
      </c>
      <c r="F2721" s="7" t="s">
        <v>14220</v>
      </c>
      <c r="G2721" s="7"/>
      <c r="H2721" s="46" t="s">
        <v>249</v>
      </c>
      <c r="I2721" s="7" t="s">
        <v>160</v>
      </c>
      <c r="J2721" s="7" t="s">
        <v>148</v>
      </c>
      <c r="K2721" s="7"/>
      <c r="L2721" s="7"/>
      <c r="M2721" s="7"/>
    </row>
    <row r="2722" ht="15.75" customHeight="1">
      <c r="A2722" s="7" t="s">
        <v>14221</v>
      </c>
      <c r="B2722" s="45" t="s">
        <v>14222</v>
      </c>
      <c r="C2722" s="7" t="s">
        <v>6114</v>
      </c>
      <c r="D2722" s="7" t="s">
        <v>14223</v>
      </c>
      <c r="E2722" s="7" t="s">
        <v>7009</v>
      </c>
      <c r="F2722" s="7" t="s">
        <v>14224</v>
      </c>
      <c r="G2722" s="7"/>
      <c r="H2722" s="46" t="s">
        <v>249</v>
      </c>
      <c r="I2722" s="7" t="s">
        <v>160</v>
      </c>
      <c r="J2722" s="7" t="s">
        <v>148</v>
      </c>
      <c r="K2722" s="7"/>
      <c r="L2722" s="7"/>
      <c r="M2722" s="7"/>
    </row>
    <row r="2723" ht="15.75" customHeight="1">
      <c r="A2723" s="7" t="s">
        <v>14225</v>
      </c>
      <c r="B2723" s="45" t="s">
        <v>14226</v>
      </c>
      <c r="C2723" s="7" t="s">
        <v>14227</v>
      </c>
      <c r="D2723" s="7" t="s">
        <v>14228</v>
      </c>
      <c r="E2723" s="7" t="s">
        <v>14229</v>
      </c>
      <c r="F2723" s="7" t="s">
        <v>14230</v>
      </c>
      <c r="G2723" s="7"/>
      <c r="H2723" s="46" t="s">
        <v>249</v>
      </c>
      <c r="I2723" s="7" t="s">
        <v>160</v>
      </c>
      <c r="J2723" s="7" t="s">
        <v>148</v>
      </c>
      <c r="K2723" s="7"/>
      <c r="L2723" s="7"/>
      <c r="M2723" s="7"/>
    </row>
    <row r="2724" ht="15.75" customHeight="1">
      <c r="A2724" s="7" t="s">
        <v>14231</v>
      </c>
      <c r="B2724" s="45" t="s">
        <v>14232</v>
      </c>
      <c r="C2724" s="7" t="s">
        <v>14233</v>
      </c>
      <c r="D2724" s="7" t="s">
        <v>14234</v>
      </c>
      <c r="E2724" s="7" t="s">
        <v>14235</v>
      </c>
      <c r="F2724" s="7" t="s">
        <v>14236</v>
      </c>
      <c r="G2724" s="7"/>
      <c r="H2724" s="46" t="s">
        <v>249</v>
      </c>
      <c r="I2724" s="7" t="s">
        <v>160</v>
      </c>
      <c r="J2724" s="7" t="s">
        <v>148</v>
      </c>
      <c r="K2724" s="7"/>
      <c r="L2724" s="7"/>
      <c r="M2724" s="7"/>
    </row>
    <row r="2725" ht="15.75" customHeight="1">
      <c r="A2725" s="7" t="s">
        <v>14237</v>
      </c>
      <c r="B2725" s="45" t="s">
        <v>14238</v>
      </c>
      <c r="C2725" s="7" t="s">
        <v>14239</v>
      </c>
      <c r="D2725" s="7" t="s">
        <v>14240</v>
      </c>
      <c r="E2725" s="7" t="s">
        <v>14235</v>
      </c>
      <c r="F2725" s="7" t="s">
        <v>14236</v>
      </c>
      <c r="G2725" s="7"/>
      <c r="H2725" s="46" t="s">
        <v>249</v>
      </c>
      <c r="I2725" s="7" t="s">
        <v>160</v>
      </c>
      <c r="J2725" s="7" t="s">
        <v>148</v>
      </c>
      <c r="K2725" s="7"/>
      <c r="L2725" s="7"/>
      <c r="M2725" s="7"/>
    </row>
    <row r="2726" ht="15.75" customHeight="1">
      <c r="A2726" s="7" t="s">
        <v>14241</v>
      </c>
      <c r="B2726" s="45" t="s">
        <v>14242</v>
      </c>
      <c r="C2726" s="7" t="s">
        <v>14243</v>
      </c>
      <c r="D2726" s="7" t="s">
        <v>14244</v>
      </c>
      <c r="E2726" s="7" t="s">
        <v>14245</v>
      </c>
      <c r="F2726" s="7" t="s">
        <v>14236</v>
      </c>
      <c r="G2726" s="7"/>
      <c r="H2726" s="46" t="s">
        <v>249</v>
      </c>
      <c r="I2726" s="7" t="s">
        <v>160</v>
      </c>
      <c r="J2726" s="7" t="s">
        <v>148</v>
      </c>
      <c r="K2726" s="7"/>
      <c r="L2726" s="7"/>
      <c r="M2726" s="7"/>
    </row>
    <row r="2727" ht="15.75" customHeight="1">
      <c r="A2727" s="7" t="s">
        <v>14246</v>
      </c>
      <c r="B2727" s="45" t="s">
        <v>14247</v>
      </c>
      <c r="C2727" s="7" t="s">
        <v>14248</v>
      </c>
      <c r="D2727" s="7" t="s">
        <v>14249</v>
      </c>
      <c r="E2727" s="7" t="s">
        <v>14250</v>
      </c>
      <c r="F2727" s="7" t="s">
        <v>3219</v>
      </c>
      <c r="G2727" s="7"/>
      <c r="H2727" s="46" t="s">
        <v>249</v>
      </c>
      <c r="I2727" s="7" t="s">
        <v>160</v>
      </c>
      <c r="J2727" s="7" t="s">
        <v>148</v>
      </c>
      <c r="K2727" s="7"/>
      <c r="L2727" s="7"/>
      <c r="M2727" s="7"/>
    </row>
    <row r="2728" ht="15.75" customHeight="1">
      <c r="A2728" s="7" t="s">
        <v>14251</v>
      </c>
      <c r="B2728" s="45" t="s">
        <v>14252</v>
      </c>
      <c r="C2728" s="7" t="s">
        <v>14253</v>
      </c>
      <c r="D2728" s="7" t="s">
        <v>14254</v>
      </c>
      <c r="E2728" s="7" t="s">
        <v>14255</v>
      </c>
      <c r="F2728" s="7" t="s">
        <v>3219</v>
      </c>
      <c r="G2728" s="7"/>
      <c r="H2728" s="46" t="s">
        <v>249</v>
      </c>
      <c r="I2728" s="7" t="s">
        <v>160</v>
      </c>
      <c r="J2728" s="7" t="s">
        <v>148</v>
      </c>
      <c r="K2728" s="7"/>
      <c r="L2728" s="7"/>
      <c r="M2728" s="7"/>
    </row>
    <row r="2729" ht="15.75" customHeight="1">
      <c r="A2729" s="7" t="s">
        <v>14256</v>
      </c>
      <c r="B2729" s="45" t="s">
        <v>14257</v>
      </c>
      <c r="C2729" s="7" t="s">
        <v>14253</v>
      </c>
      <c r="D2729" s="7" t="s">
        <v>14258</v>
      </c>
      <c r="E2729" s="7" t="s">
        <v>14259</v>
      </c>
      <c r="F2729" s="7" t="s">
        <v>3219</v>
      </c>
      <c r="G2729" s="7"/>
      <c r="H2729" s="46" t="s">
        <v>249</v>
      </c>
      <c r="I2729" s="7" t="s">
        <v>160</v>
      </c>
      <c r="J2729" s="7" t="s">
        <v>148</v>
      </c>
      <c r="K2729" s="7"/>
      <c r="L2729" s="7"/>
      <c r="M2729" s="7"/>
    </row>
    <row r="2730" ht="15.75" customHeight="1">
      <c r="A2730" s="7" t="s">
        <v>14260</v>
      </c>
      <c r="B2730" s="45" t="s">
        <v>14261</v>
      </c>
      <c r="C2730" s="7" t="s">
        <v>10659</v>
      </c>
      <c r="D2730" s="7" t="s">
        <v>14262</v>
      </c>
      <c r="E2730" s="7" t="s">
        <v>14263</v>
      </c>
      <c r="F2730" s="7" t="s">
        <v>14264</v>
      </c>
      <c r="G2730" s="7"/>
      <c r="H2730" s="46" t="s">
        <v>249</v>
      </c>
      <c r="I2730" s="7" t="s">
        <v>160</v>
      </c>
      <c r="J2730" s="7" t="s">
        <v>148</v>
      </c>
      <c r="K2730" s="7"/>
      <c r="L2730" s="7"/>
      <c r="M2730" s="7"/>
    </row>
    <row r="2731" ht="15.75" customHeight="1">
      <c r="A2731" s="7" t="s">
        <v>14265</v>
      </c>
      <c r="B2731" s="45" t="s">
        <v>14266</v>
      </c>
      <c r="C2731" s="7" t="s">
        <v>10659</v>
      </c>
      <c r="D2731" s="7" t="s">
        <v>14267</v>
      </c>
      <c r="E2731" s="7" t="s">
        <v>14268</v>
      </c>
      <c r="F2731" s="7" t="s">
        <v>3219</v>
      </c>
      <c r="G2731" s="7"/>
      <c r="H2731" s="46" t="s">
        <v>249</v>
      </c>
      <c r="I2731" s="7" t="s">
        <v>160</v>
      </c>
      <c r="J2731" s="7" t="s">
        <v>148</v>
      </c>
      <c r="K2731" s="7"/>
      <c r="L2731" s="7"/>
      <c r="M2731" s="7"/>
    </row>
    <row r="2732" ht="15.75" customHeight="1">
      <c r="A2732" s="7" t="s">
        <v>14269</v>
      </c>
      <c r="B2732" s="45" t="s">
        <v>14270</v>
      </c>
      <c r="C2732" s="7" t="s">
        <v>14271</v>
      </c>
      <c r="D2732" s="7" t="s">
        <v>14272</v>
      </c>
      <c r="E2732" s="7" t="s">
        <v>14273</v>
      </c>
      <c r="F2732" s="7" t="s">
        <v>14274</v>
      </c>
      <c r="G2732" s="7"/>
      <c r="H2732" s="46" t="s">
        <v>249</v>
      </c>
      <c r="I2732" s="7" t="s">
        <v>160</v>
      </c>
      <c r="J2732" s="7" t="s">
        <v>148</v>
      </c>
      <c r="K2732" s="7"/>
      <c r="L2732" s="7"/>
      <c r="M2732" s="7"/>
    </row>
    <row r="2733" ht="15.75" customHeight="1">
      <c r="A2733" s="7" t="s">
        <v>14275</v>
      </c>
      <c r="B2733" s="45" t="s">
        <v>14276</v>
      </c>
      <c r="C2733" s="7" t="s">
        <v>14277</v>
      </c>
      <c r="D2733" s="7" t="s">
        <v>14278</v>
      </c>
      <c r="E2733" s="7" t="s">
        <v>14279</v>
      </c>
      <c r="F2733" s="7" t="s">
        <v>14274</v>
      </c>
      <c r="G2733" s="7"/>
      <c r="H2733" s="46" t="s">
        <v>249</v>
      </c>
      <c r="I2733" s="7" t="s">
        <v>160</v>
      </c>
      <c r="J2733" s="7" t="s">
        <v>148</v>
      </c>
      <c r="K2733" s="7"/>
      <c r="L2733" s="7"/>
      <c r="M2733" s="7"/>
    </row>
    <row r="2734" ht="15.75" customHeight="1">
      <c r="A2734" s="7" t="s">
        <v>14280</v>
      </c>
      <c r="B2734" s="45" t="s">
        <v>14281</v>
      </c>
      <c r="C2734" s="7" t="s">
        <v>3779</v>
      </c>
      <c r="D2734" s="7" t="s">
        <v>14282</v>
      </c>
      <c r="E2734" s="7" t="s">
        <v>14283</v>
      </c>
      <c r="F2734" s="7" t="s">
        <v>3782</v>
      </c>
      <c r="G2734" s="7"/>
      <c r="H2734" s="46" t="s">
        <v>249</v>
      </c>
      <c r="I2734" s="7" t="s">
        <v>160</v>
      </c>
      <c r="J2734" s="7" t="s">
        <v>148</v>
      </c>
      <c r="K2734" s="7"/>
      <c r="L2734" s="7"/>
      <c r="M2734" s="7"/>
    </row>
    <row r="2735" ht="15.75" customHeight="1">
      <c r="A2735" s="7" t="s">
        <v>14284</v>
      </c>
      <c r="B2735" s="45" t="s">
        <v>14285</v>
      </c>
      <c r="C2735" s="7" t="s">
        <v>3779</v>
      </c>
      <c r="D2735" s="7" t="s">
        <v>14286</v>
      </c>
      <c r="E2735" s="7" t="s">
        <v>4289</v>
      </c>
      <c r="F2735" s="7" t="s">
        <v>14287</v>
      </c>
      <c r="G2735" s="7"/>
      <c r="H2735" s="46" t="s">
        <v>249</v>
      </c>
      <c r="I2735" s="7" t="s">
        <v>160</v>
      </c>
      <c r="J2735" s="7" t="s">
        <v>148</v>
      </c>
      <c r="K2735" s="7"/>
      <c r="L2735" s="7"/>
      <c r="M2735" s="7"/>
    </row>
    <row r="2736" ht="15.75" customHeight="1">
      <c r="A2736" s="7" t="s">
        <v>14288</v>
      </c>
      <c r="B2736" s="45" t="s">
        <v>14289</v>
      </c>
      <c r="C2736" s="7" t="s">
        <v>14290</v>
      </c>
      <c r="D2736" s="7" t="s">
        <v>14291</v>
      </c>
      <c r="E2736" s="7" t="s">
        <v>14292</v>
      </c>
      <c r="F2736" s="7" t="s">
        <v>14293</v>
      </c>
      <c r="G2736" s="7"/>
      <c r="H2736" s="46" t="s">
        <v>249</v>
      </c>
      <c r="I2736" s="7" t="s">
        <v>160</v>
      </c>
      <c r="J2736" s="7" t="s">
        <v>148</v>
      </c>
      <c r="K2736" s="7"/>
      <c r="L2736" s="7"/>
      <c r="M2736" s="7"/>
    </row>
    <row r="2737" ht="15.75" customHeight="1">
      <c r="A2737" s="7" t="s">
        <v>14294</v>
      </c>
      <c r="B2737" s="45" t="s">
        <v>14295</v>
      </c>
      <c r="C2737" s="7" t="s">
        <v>14296</v>
      </c>
      <c r="D2737" s="7" t="s">
        <v>14297</v>
      </c>
      <c r="E2737" s="7" t="s">
        <v>14292</v>
      </c>
      <c r="F2737" s="7" t="s">
        <v>14293</v>
      </c>
      <c r="G2737" s="7"/>
      <c r="H2737" s="46" t="s">
        <v>249</v>
      </c>
      <c r="I2737" s="7" t="s">
        <v>160</v>
      </c>
      <c r="J2737" s="7" t="s">
        <v>148</v>
      </c>
      <c r="K2737" s="7"/>
      <c r="L2737" s="7"/>
      <c r="M2737" s="7"/>
    </row>
    <row r="2738" ht="15.75" customHeight="1">
      <c r="A2738" s="7" t="s">
        <v>14298</v>
      </c>
      <c r="B2738" s="45" t="s">
        <v>14299</v>
      </c>
      <c r="C2738" s="7" t="s">
        <v>14300</v>
      </c>
      <c r="D2738" s="7" t="s">
        <v>14301</v>
      </c>
      <c r="E2738" s="7" t="s">
        <v>10669</v>
      </c>
      <c r="F2738" s="7" t="s">
        <v>10665</v>
      </c>
      <c r="G2738" s="7" t="s">
        <v>14302</v>
      </c>
      <c r="H2738" s="46" t="s">
        <v>249</v>
      </c>
      <c r="I2738" s="7" t="s">
        <v>160</v>
      </c>
      <c r="J2738" s="7" t="s">
        <v>148</v>
      </c>
      <c r="K2738" s="7"/>
      <c r="L2738" s="7"/>
      <c r="M2738" s="7"/>
    </row>
    <row r="2739" ht="15.75" customHeight="1">
      <c r="A2739" s="7" t="s">
        <v>14303</v>
      </c>
      <c r="B2739" s="45" t="s">
        <v>14304</v>
      </c>
      <c r="C2739" s="7" t="s">
        <v>14305</v>
      </c>
      <c r="D2739" s="7" t="s">
        <v>14306</v>
      </c>
      <c r="E2739" s="7" t="s">
        <v>14307</v>
      </c>
      <c r="F2739" s="7" t="s">
        <v>14308</v>
      </c>
      <c r="G2739" s="7"/>
      <c r="H2739" s="46" t="s">
        <v>249</v>
      </c>
      <c r="I2739" s="7" t="s">
        <v>160</v>
      </c>
      <c r="J2739" s="7" t="s">
        <v>148</v>
      </c>
      <c r="K2739" s="7"/>
      <c r="L2739" s="7"/>
      <c r="M2739" s="7"/>
    </row>
    <row r="2740" ht="15.75" customHeight="1">
      <c r="A2740" s="7" t="s">
        <v>14309</v>
      </c>
      <c r="B2740" s="45" t="s">
        <v>14310</v>
      </c>
      <c r="C2740" s="7" t="s">
        <v>14311</v>
      </c>
      <c r="D2740" s="7" t="s">
        <v>14312</v>
      </c>
      <c r="E2740" s="7" t="s">
        <v>1339</v>
      </c>
      <c r="F2740" s="7" t="s">
        <v>12200</v>
      </c>
      <c r="G2740" s="7"/>
      <c r="H2740" s="46" t="s">
        <v>249</v>
      </c>
      <c r="I2740" s="7" t="s">
        <v>160</v>
      </c>
      <c r="J2740" s="7" t="s">
        <v>148</v>
      </c>
      <c r="K2740" s="7"/>
      <c r="L2740" s="7"/>
      <c r="M2740" s="7"/>
    </row>
    <row r="2741" ht="15.75" customHeight="1">
      <c r="A2741" s="7" t="s">
        <v>14313</v>
      </c>
      <c r="B2741" s="45" t="s">
        <v>14314</v>
      </c>
      <c r="C2741" s="7" t="s">
        <v>14315</v>
      </c>
      <c r="D2741" s="7" t="s">
        <v>14316</v>
      </c>
      <c r="E2741" s="7" t="s">
        <v>14317</v>
      </c>
      <c r="F2741" s="7" t="s">
        <v>14318</v>
      </c>
      <c r="G2741" s="7"/>
      <c r="H2741" s="46" t="s">
        <v>249</v>
      </c>
      <c r="I2741" s="7" t="s">
        <v>160</v>
      </c>
      <c r="J2741" s="7" t="s">
        <v>148</v>
      </c>
      <c r="K2741" s="7"/>
      <c r="L2741" s="7"/>
      <c r="M2741" s="7"/>
    </row>
    <row r="2742" ht="15.75" customHeight="1">
      <c r="A2742" s="7" t="s">
        <v>14319</v>
      </c>
      <c r="B2742" s="45" t="s">
        <v>14320</v>
      </c>
      <c r="C2742" s="7" t="s">
        <v>14321</v>
      </c>
      <c r="D2742" s="7" t="s">
        <v>14322</v>
      </c>
      <c r="E2742" s="7" t="s">
        <v>14323</v>
      </c>
      <c r="F2742" s="7" t="s">
        <v>14324</v>
      </c>
      <c r="G2742" s="7"/>
      <c r="H2742" s="46" t="s">
        <v>249</v>
      </c>
      <c r="I2742" s="7" t="s">
        <v>160</v>
      </c>
      <c r="J2742" s="7" t="s">
        <v>148</v>
      </c>
      <c r="K2742" s="7"/>
      <c r="L2742" s="7"/>
      <c r="M2742" s="7"/>
    </row>
    <row r="2743" ht="15.75" customHeight="1">
      <c r="A2743" s="7" t="s">
        <v>14325</v>
      </c>
      <c r="B2743" s="45" t="s">
        <v>14326</v>
      </c>
      <c r="C2743" s="7" t="s">
        <v>10003</v>
      </c>
      <c r="D2743" s="7" t="s">
        <v>14327</v>
      </c>
      <c r="E2743" s="7" t="s">
        <v>14328</v>
      </c>
      <c r="F2743" s="7" t="s">
        <v>10006</v>
      </c>
      <c r="G2743" s="7"/>
      <c r="H2743" s="46" t="s">
        <v>249</v>
      </c>
      <c r="I2743" s="7" t="s">
        <v>160</v>
      </c>
      <c r="J2743" s="7" t="s">
        <v>148</v>
      </c>
      <c r="K2743" s="7"/>
      <c r="L2743" s="7"/>
      <c r="M2743" s="7"/>
    </row>
    <row r="2744" ht="15.75" customHeight="1">
      <c r="A2744" s="7" t="s">
        <v>14329</v>
      </c>
      <c r="B2744" s="45" t="s">
        <v>14330</v>
      </c>
      <c r="C2744" s="7" t="s">
        <v>12189</v>
      </c>
      <c r="D2744" s="7" t="s">
        <v>14331</v>
      </c>
      <c r="E2744" s="7" t="s">
        <v>2640</v>
      </c>
      <c r="F2744" s="7" t="s">
        <v>2641</v>
      </c>
      <c r="G2744" s="7"/>
      <c r="H2744" s="46" t="s">
        <v>249</v>
      </c>
      <c r="I2744" s="7" t="s">
        <v>160</v>
      </c>
      <c r="J2744" s="7" t="s">
        <v>148</v>
      </c>
      <c r="K2744" s="7"/>
      <c r="L2744" s="7"/>
      <c r="M2744" s="7"/>
    </row>
    <row r="2745" ht="15.75" customHeight="1">
      <c r="A2745" s="7" t="s">
        <v>14332</v>
      </c>
      <c r="B2745" s="45" t="s">
        <v>14333</v>
      </c>
      <c r="C2745" s="7" t="s">
        <v>13132</v>
      </c>
      <c r="D2745" s="7" t="s">
        <v>14334</v>
      </c>
      <c r="E2745" s="7" t="s">
        <v>12191</v>
      </c>
      <c r="F2745" s="7" t="s">
        <v>2641</v>
      </c>
      <c r="G2745" s="7"/>
      <c r="H2745" s="46" t="s">
        <v>249</v>
      </c>
      <c r="I2745" s="7" t="s">
        <v>160</v>
      </c>
      <c r="J2745" s="7" t="s">
        <v>148</v>
      </c>
      <c r="K2745" s="7"/>
      <c r="L2745" s="7"/>
      <c r="M2745" s="7"/>
    </row>
    <row r="2746" ht="15.75" customHeight="1">
      <c r="A2746" s="7" t="s">
        <v>14335</v>
      </c>
      <c r="B2746" s="45" t="s">
        <v>14336</v>
      </c>
      <c r="C2746" s="7" t="s">
        <v>14337</v>
      </c>
      <c r="D2746" s="7" t="s">
        <v>14338</v>
      </c>
      <c r="E2746" s="7" t="s">
        <v>12191</v>
      </c>
      <c r="F2746" s="7" t="s">
        <v>2641</v>
      </c>
      <c r="G2746" s="7"/>
      <c r="H2746" s="46" t="s">
        <v>249</v>
      </c>
      <c r="I2746" s="7" t="s">
        <v>160</v>
      </c>
      <c r="J2746" s="7" t="s">
        <v>148</v>
      </c>
      <c r="K2746" s="7"/>
      <c r="L2746" s="7"/>
      <c r="M2746" s="7"/>
    </row>
    <row r="2747" ht="15.75" customHeight="1">
      <c r="A2747" s="7" t="s">
        <v>14339</v>
      </c>
      <c r="B2747" s="45" t="s">
        <v>14340</v>
      </c>
      <c r="C2747" s="7" t="s">
        <v>12258</v>
      </c>
      <c r="D2747" s="7" t="s">
        <v>14341</v>
      </c>
      <c r="E2747" s="7" t="s">
        <v>12191</v>
      </c>
      <c r="F2747" s="7" t="s">
        <v>2641</v>
      </c>
      <c r="G2747" s="7"/>
      <c r="H2747" s="46" t="s">
        <v>249</v>
      </c>
      <c r="I2747" s="7" t="s">
        <v>160</v>
      </c>
      <c r="J2747" s="7" t="s">
        <v>148</v>
      </c>
      <c r="K2747" s="7"/>
      <c r="L2747" s="7"/>
      <c r="M2747" s="7"/>
    </row>
    <row r="2748" ht="15.75" customHeight="1">
      <c r="A2748" s="7" t="s">
        <v>14342</v>
      </c>
      <c r="B2748" s="45" t="s">
        <v>14343</v>
      </c>
      <c r="C2748" s="7" t="s">
        <v>12189</v>
      </c>
      <c r="D2748" s="7" t="s">
        <v>14344</v>
      </c>
      <c r="E2748" s="7" t="s">
        <v>14345</v>
      </c>
      <c r="F2748" s="7" t="s">
        <v>2641</v>
      </c>
      <c r="G2748" s="7"/>
      <c r="H2748" s="46" t="s">
        <v>249</v>
      </c>
      <c r="I2748" s="7" t="s">
        <v>160</v>
      </c>
      <c r="J2748" s="7" t="s">
        <v>148</v>
      </c>
      <c r="K2748" s="7"/>
      <c r="L2748" s="7"/>
      <c r="M2748" s="7"/>
    </row>
    <row r="2749" ht="15.75" customHeight="1">
      <c r="A2749" s="7" t="s">
        <v>14346</v>
      </c>
      <c r="B2749" s="45" t="s">
        <v>14347</v>
      </c>
      <c r="C2749" s="7" t="s">
        <v>13132</v>
      </c>
      <c r="D2749" s="7" t="s">
        <v>14348</v>
      </c>
      <c r="E2749" s="7" t="s">
        <v>12191</v>
      </c>
      <c r="F2749" s="7" t="s">
        <v>2641</v>
      </c>
      <c r="G2749" s="7"/>
      <c r="H2749" s="46" t="s">
        <v>249</v>
      </c>
      <c r="I2749" s="7" t="s">
        <v>160</v>
      </c>
      <c r="J2749" s="7" t="s">
        <v>148</v>
      </c>
      <c r="K2749" s="7"/>
      <c r="L2749" s="7"/>
      <c r="M2749" s="7"/>
    </row>
    <row r="2750" ht="15.75" customHeight="1">
      <c r="A2750" s="7" t="s">
        <v>14349</v>
      </c>
      <c r="B2750" s="45" t="s">
        <v>14350</v>
      </c>
      <c r="C2750" s="7" t="s">
        <v>12189</v>
      </c>
      <c r="D2750" s="7" t="s">
        <v>14351</v>
      </c>
      <c r="E2750" s="7" t="s">
        <v>14352</v>
      </c>
      <c r="F2750" s="7" t="s">
        <v>2641</v>
      </c>
      <c r="G2750" s="7"/>
      <c r="H2750" s="46" t="s">
        <v>249</v>
      </c>
      <c r="I2750" s="7" t="s">
        <v>160</v>
      </c>
      <c r="J2750" s="7" t="s">
        <v>148</v>
      </c>
      <c r="K2750" s="7"/>
      <c r="L2750" s="7"/>
      <c r="M2750" s="7"/>
    </row>
    <row r="2751" ht="15.75" customHeight="1">
      <c r="A2751" s="7" t="s">
        <v>14353</v>
      </c>
      <c r="B2751" s="45" t="s">
        <v>14354</v>
      </c>
      <c r="C2751" s="7" t="s">
        <v>12189</v>
      </c>
      <c r="D2751" s="7" t="s">
        <v>14355</v>
      </c>
      <c r="E2751" s="7" t="s">
        <v>12191</v>
      </c>
      <c r="F2751" s="7" t="s">
        <v>2641</v>
      </c>
      <c r="G2751" s="7"/>
      <c r="H2751" s="46" t="s">
        <v>249</v>
      </c>
      <c r="I2751" s="7" t="s">
        <v>160</v>
      </c>
      <c r="J2751" s="7" t="s">
        <v>148</v>
      </c>
      <c r="K2751" s="7"/>
      <c r="L2751" s="7"/>
      <c r="M2751" s="7"/>
    </row>
    <row r="2752" ht="15.75" customHeight="1">
      <c r="A2752" s="7" t="s">
        <v>14356</v>
      </c>
      <c r="B2752" s="45" t="s">
        <v>14357</v>
      </c>
      <c r="C2752" s="7" t="s">
        <v>14358</v>
      </c>
      <c r="D2752" s="7" t="s">
        <v>14359</v>
      </c>
      <c r="E2752" s="7" t="s">
        <v>14360</v>
      </c>
      <c r="F2752" s="7" t="s">
        <v>14361</v>
      </c>
      <c r="G2752" s="7"/>
      <c r="H2752" s="46" t="s">
        <v>249</v>
      </c>
      <c r="I2752" s="7" t="s">
        <v>160</v>
      </c>
      <c r="J2752" s="7" t="s">
        <v>148</v>
      </c>
      <c r="K2752" s="7"/>
      <c r="L2752" s="7"/>
      <c r="M2752" s="7"/>
    </row>
    <row r="2753" ht="15.75" customHeight="1">
      <c r="A2753" s="7" t="s">
        <v>14362</v>
      </c>
      <c r="B2753" s="45" t="s">
        <v>14363</v>
      </c>
      <c r="C2753" s="7" t="s">
        <v>14364</v>
      </c>
      <c r="D2753" s="7" t="s">
        <v>14365</v>
      </c>
      <c r="E2753" s="7" t="s">
        <v>14366</v>
      </c>
      <c r="F2753" s="7" t="s">
        <v>14367</v>
      </c>
      <c r="G2753" s="7"/>
      <c r="H2753" s="46" t="s">
        <v>249</v>
      </c>
      <c r="I2753" s="7" t="s">
        <v>160</v>
      </c>
      <c r="J2753" s="7" t="s">
        <v>148</v>
      </c>
      <c r="K2753" s="7"/>
      <c r="L2753" s="7"/>
      <c r="M2753" s="7"/>
    </row>
    <row r="2754" ht="15.75" customHeight="1">
      <c r="A2754" s="7" t="s">
        <v>14368</v>
      </c>
      <c r="B2754" s="45" t="s">
        <v>14369</v>
      </c>
      <c r="C2754" s="7" t="s">
        <v>14370</v>
      </c>
      <c r="D2754" s="7" t="s">
        <v>14371</v>
      </c>
      <c r="E2754" s="7" t="s">
        <v>14372</v>
      </c>
      <c r="F2754" s="7" t="s">
        <v>14373</v>
      </c>
      <c r="G2754" s="7"/>
      <c r="H2754" s="46" t="s">
        <v>249</v>
      </c>
      <c r="I2754" s="7" t="s">
        <v>160</v>
      </c>
      <c r="J2754" s="7" t="s">
        <v>148</v>
      </c>
      <c r="K2754" s="7"/>
      <c r="L2754" s="7"/>
      <c r="M2754" s="7"/>
    </row>
    <row r="2755" ht="15.75" customHeight="1">
      <c r="A2755" s="7" t="s">
        <v>14374</v>
      </c>
      <c r="B2755" s="45" t="s">
        <v>14375</v>
      </c>
      <c r="C2755" s="7" t="s">
        <v>14376</v>
      </c>
      <c r="D2755" s="7" t="s">
        <v>14377</v>
      </c>
      <c r="E2755" s="7" t="s">
        <v>14378</v>
      </c>
      <c r="F2755" s="7" t="s">
        <v>14379</v>
      </c>
      <c r="G2755" s="7"/>
      <c r="H2755" s="46" t="s">
        <v>249</v>
      </c>
      <c r="I2755" s="7" t="s">
        <v>160</v>
      </c>
      <c r="J2755" s="7" t="s">
        <v>148</v>
      </c>
      <c r="K2755" s="7"/>
      <c r="L2755" s="7"/>
      <c r="M2755" s="7"/>
    </row>
    <row r="2756" ht="15.75" customHeight="1">
      <c r="A2756" s="7" t="s">
        <v>14380</v>
      </c>
      <c r="B2756" s="45" t="s">
        <v>14381</v>
      </c>
      <c r="C2756" s="7" t="s">
        <v>14382</v>
      </c>
      <c r="D2756" s="7" t="s">
        <v>14383</v>
      </c>
      <c r="E2756" s="7" t="s">
        <v>14384</v>
      </c>
      <c r="F2756" s="7" t="s">
        <v>14385</v>
      </c>
      <c r="G2756" s="7"/>
      <c r="H2756" s="46" t="s">
        <v>249</v>
      </c>
      <c r="I2756" s="7" t="s">
        <v>160</v>
      </c>
      <c r="J2756" s="7" t="s">
        <v>148</v>
      </c>
      <c r="K2756" s="7"/>
      <c r="L2756" s="7"/>
      <c r="M2756" s="7"/>
    </row>
    <row r="2757" ht="15.75" customHeight="1">
      <c r="A2757" s="7" t="s">
        <v>14386</v>
      </c>
      <c r="B2757" s="45" t="s">
        <v>14387</v>
      </c>
      <c r="C2757" s="7" t="s">
        <v>14382</v>
      </c>
      <c r="D2757" s="7" t="s">
        <v>14388</v>
      </c>
      <c r="E2757" s="7" t="s">
        <v>14384</v>
      </c>
      <c r="F2757" s="7" t="s">
        <v>14385</v>
      </c>
      <c r="G2757" s="7"/>
      <c r="H2757" s="46" t="s">
        <v>249</v>
      </c>
      <c r="I2757" s="7" t="s">
        <v>160</v>
      </c>
      <c r="J2757" s="7" t="s">
        <v>148</v>
      </c>
      <c r="K2757" s="7"/>
      <c r="L2757" s="7"/>
      <c r="M2757" s="7"/>
    </row>
    <row r="2758" ht="15.75" customHeight="1">
      <c r="A2758" s="7" t="s">
        <v>14389</v>
      </c>
      <c r="B2758" s="45" t="s">
        <v>14390</v>
      </c>
      <c r="C2758" s="7" t="s">
        <v>14391</v>
      </c>
      <c r="D2758" s="7" t="s">
        <v>14392</v>
      </c>
      <c r="E2758" s="7" t="s">
        <v>14393</v>
      </c>
      <c r="F2758" s="7" t="s">
        <v>14394</v>
      </c>
      <c r="G2758" s="7"/>
      <c r="H2758" s="46" t="s">
        <v>249</v>
      </c>
      <c r="I2758" s="7" t="s">
        <v>160</v>
      </c>
      <c r="J2758" s="7" t="s">
        <v>148</v>
      </c>
      <c r="K2758" s="7"/>
      <c r="L2758" s="7"/>
      <c r="M2758" s="7"/>
    </row>
    <row r="2759" ht="15.75" customHeight="1">
      <c r="A2759" s="7" t="s">
        <v>14395</v>
      </c>
      <c r="B2759" s="45" t="s">
        <v>14396</v>
      </c>
      <c r="C2759" s="7" t="s">
        <v>14382</v>
      </c>
      <c r="D2759" s="7" t="s">
        <v>14397</v>
      </c>
      <c r="E2759" s="7" t="s">
        <v>14384</v>
      </c>
      <c r="F2759" s="7" t="s">
        <v>14385</v>
      </c>
      <c r="G2759" s="7"/>
      <c r="H2759" s="46" t="s">
        <v>249</v>
      </c>
      <c r="I2759" s="7" t="s">
        <v>160</v>
      </c>
      <c r="J2759" s="7" t="s">
        <v>148</v>
      </c>
      <c r="K2759" s="7"/>
      <c r="L2759" s="7"/>
      <c r="M2759" s="7"/>
    </row>
    <row r="2760" ht="15.75" customHeight="1">
      <c r="A2760" s="7" t="s">
        <v>14398</v>
      </c>
      <c r="B2760" s="45" t="s">
        <v>14399</v>
      </c>
      <c r="C2760" s="7" t="s">
        <v>14391</v>
      </c>
      <c r="D2760" s="7" t="s">
        <v>14400</v>
      </c>
      <c r="E2760" s="7" t="s">
        <v>14401</v>
      </c>
      <c r="F2760" s="7" t="s">
        <v>14394</v>
      </c>
      <c r="G2760" s="7"/>
      <c r="H2760" s="46" t="s">
        <v>249</v>
      </c>
      <c r="I2760" s="7" t="s">
        <v>160</v>
      </c>
      <c r="J2760" s="7" t="s">
        <v>148</v>
      </c>
      <c r="K2760" s="7"/>
      <c r="L2760" s="7"/>
      <c r="M2760" s="7"/>
    </row>
    <row r="2761" ht="15.75" customHeight="1">
      <c r="A2761" s="7" t="s">
        <v>14402</v>
      </c>
      <c r="B2761" s="45" t="s">
        <v>14403</v>
      </c>
      <c r="C2761" s="7" t="s">
        <v>14382</v>
      </c>
      <c r="D2761" s="7" t="s">
        <v>14404</v>
      </c>
      <c r="E2761" s="7" t="s">
        <v>14405</v>
      </c>
      <c r="F2761" s="7" t="s">
        <v>14406</v>
      </c>
      <c r="G2761" s="7"/>
      <c r="H2761" s="46" t="s">
        <v>249</v>
      </c>
      <c r="I2761" s="7" t="s">
        <v>160</v>
      </c>
      <c r="J2761" s="7" t="s">
        <v>148</v>
      </c>
      <c r="K2761" s="7"/>
      <c r="L2761" s="7"/>
      <c r="M2761" s="7"/>
    </row>
    <row r="2762" ht="15.75" customHeight="1">
      <c r="A2762" s="7" t="s">
        <v>14407</v>
      </c>
      <c r="B2762" s="45" t="s">
        <v>14408</v>
      </c>
      <c r="C2762" s="7" t="s">
        <v>14391</v>
      </c>
      <c r="D2762" s="7" t="s">
        <v>14409</v>
      </c>
      <c r="E2762" s="7" t="s">
        <v>14410</v>
      </c>
      <c r="F2762" s="7" t="s">
        <v>14394</v>
      </c>
      <c r="G2762" s="7"/>
      <c r="H2762" s="46" t="s">
        <v>249</v>
      </c>
      <c r="I2762" s="7" t="s">
        <v>160</v>
      </c>
      <c r="J2762" s="7" t="s">
        <v>148</v>
      </c>
      <c r="K2762" s="7"/>
      <c r="L2762" s="7"/>
      <c r="M2762" s="7"/>
    </row>
    <row r="2763" ht="15.75" customHeight="1">
      <c r="A2763" s="7" t="s">
        <v>14411</v>
      </c>
      <c r="B2763" s="45" t="s">
        <v>14412</v>
      </c>
      <c r="C2763" s="7" t="s">
        <v>14391</v>
      </c>
      <c r="D2763" s="7" t="s">
        <v>14413</v>
      </c>
      <c r="E2763" s="7" t="s">
        <v>14414</v>
      </c>
      <c r="F2763" s="7" t="s">
        <v>14394</v>
      </c>
      <c r="G2763" s="7"/>
      <c r="H2763" s="46" t="s">
        <v>249</v>
      </c>
      <c r="I2763" s="7" t="s">
        <v>160</v>
      </c>
      <c r="J2763" s="7" t="s">
        <v>148</v>
      </c>
      <c r="K2763" s="7"/>
      <c r="L2763" s="7"/>
      <c r="M2763" s="7"/>
    </row>
    <row r="2764" ht="15.75" customHeight="1">
      <c r="A2764" s="7" t="s">
        <v>14415</v>
      </c>
      <c r="B2764" s="45" t="s">
        <v>14416</v>
      </c>
      <c r="C2764" s="7" t="s">
        <v>14382</v>
      </c>
      <c r="D2764" s="7" t="s">
        <v>14417</v>
      </c>
      <c r="E2764" s="7" t="s">
        <v>14384</v>
      </c>
      <c r="F2764" s="7" t="s">
        <v>14385</v>
      </c>
      <c r="G2764" s="7"/>
      <c r="H2764" s="46" t="s">
        <v>249</v>
      </c>
      <c r="I2764" s="7" t="s">
        <v>160</v>
      </c>
      <c r="J2764" s="7" t="s">
        <v>148</v>
      </c>
      <c r="K2764" s="7"/>
      <c r="L2764" s="7"/>
      <c r="M2764" s="7"/>
    </row>
    <row r="2765" ht="15.75" customHeight="1">
      <c r="A2765" s="7" t="s">
        <v>14418</v>
      </c>
      <c r="B2765" s="45" t="s">
        <v>14419</v>
      </c>
      <c r="C2765" s="7" t="s">
        <v>14391</v>
      </c>
      <c r="D2765" s="7" t="s">
        <v>14420</v>
      </c>
      <c r="E2765" s="7" t="s">
        <v>14421</v>
      </c>
      <c r="F2765" s="7" t="s">
        <v>14394</v>
      </c>
      <c r="G2765" s="7"/>
      <c r="H2765" s="46" t="s">
        <v>249</v>
      </c>
      <c r="I2765" s="7" t="s">
        <v>160</v>
      </c>
      <c r="J2765" s="7" t="s">
        <v>148</v>
      </c>
      <c r="K2765" s="7"/>
      <c r="L2765" s="7"/>
      <c r="M2765" s="7"/>
    </row>
    <row r="2766" ht="15.75" customHeight="1">
      <c r="A2766" s="7" t="s">
        <v>14422</v>
      </c>
      <c r="B2766" s="45" t="s">
        <v>14423</v>
      </c>
      <c r="C2766" s="7" t="s">
        <v>14391</v>
      </c>
      <c r="D2766" s="7" t="s">
        <v>14424</v>
      </c>
      <c r="E2766" s="7" t="s">
        <v>14425</v>
      </c>
      <c r="F2766" s="7" t="s">
        <v>14394</v>
      </c>
      <c r="G2766" s="7"/>
      <c r="H2766" s="46" t="s">
        <v>249</v>
      </c>
      <c r="I2766" s="7" t="s">
        <v>160</v>
      </c>
      <c r="J2766" s="7" t="s">
        <v>148</v>
      </c>
      <c r="K2766" s="7"/>
      <c r="L2766" s="7"/>
      <c r="M2766" s="7"/>
    </row>
    <row r="2767" ht="15.75" customHeight="1">
      <c r="A2767" s="7" t="s">
        <v>14426</v>
      </c>
      <c r="B2767" s="45" t="s">
        <v>14427</v>
      </c>
      <c r="C2767" s="7" t="s">
        <v>14391</v>
      </c>
      <c r="D2767" s="7" t="s">
        <v>14428</v>
      </c>
      <c r="E2767" s="7" t="s">
        <v>14429</v>
      </c>
      <c r="F2767" s="7" t="s">
        <v>14394</v>
      </c>
      <c r="G2767" s="7"/>
      <c r="H2767" s="46" t="s">
        <v>249</v>
      </c>
      <c r="I2767" s="7" t="s">
        <v>160</v>
      </c>
      <c r="J2767" s="7" t="s">
        <v>148</v>
      </c>
      <c r="K2767" s="7"/>
      <c r="L2767" s="7"/>
      <c r="M2767" s="7"/>
    </row>
    <row r="2768" ht="15.75" customHeight="1">
      <c r="A2768" s="7" t="s">
        <v>14430</v>
      </c>
      <c r="B2768" s="45" t="s">
        <v>14431</v>
      </c>
      <c r="C2768" s="7" t="s">
        <v>14432</v>
      </c>
      <c r="D2768" s="7" t="s">
        <v>14433</v>
      </c>
      <c r="E2768" s="7" t="s">
        <v>14384</v>
      </c>
      <c r="F2768" s="7" t="s">
        <v>14385</v>
      </c>
      <c r="G2768" s="7"/>
      <c r="H2768" s="46" t="s">
        <v>249</v>
      </c>
      <c r="I2768" s="7" t="s">
        <v>160</v>
      </c>
      <c r="J2768" s="7" t="s">
        <v>148</v>
      </c>
      <c r="K2768" s="7"/>
      <c r="L2768" s="7"/>
      <c r="M2768" s="7"/>
    </row>
    <row r="2769" ht="15.75" customHeight="1">
      <c r="A2769" s="7" t="s">
        <v>14434</v>
      </c>
      <c r="B2769" s="45" t="s">
        <v>14435</v>
      </c>
      <c r="C2769" s="7" t="s">
        <v>14391</v>
      </c>
      <c r="D2769" s="7" t="s">
        <v>14436</v>
      </c>
      <c r="E2769" s="7" t="s">
        <v>14437</v>
      </c>
      <c r="F2769" s="7" t="s">
        <v>14394</v>
      </c>
      <c r="G2769" s="7"/>
      <c r="H2769" s="46" t="s">
        <v>249</v>
      </c>
      <c r="I2769" s="7" t="s">
        <v>160</v>
      </c>
      <c r="J2769" s="7" t="s">
        <v>148</v>
      </c>
      <c r="K2769" s="7"/>
      <c r="L2769" s="7"/>
      <c r="M2769" s="7"/>
    </row>
    <row r="2770" ht="15.75" customHeight="1">
      <c r="A2770" s="7" t="s">
        <v>14438</v>
      </c>
      <c r="B2770" s="45" t="s">
        <v>14439</v>
      </c>
      <c r="C2770" s="7" t="s">
        <v>14382</v>
      </c>
      <c r="D2770" s="7" t="s">
        <v>14440</v>
      </c>
      <c r="E2770" s="7" t="s">
        <v>14405</v>
      </c>
      <c r="F2770" s="7" t="s">
        <v>14406</v>
      </c>
      <c r="G2770" s="7"/>
      <c r="H2770" s="46" t="s">
        <v>249</v>
      </c>
      <c r="I2770" s="7" t="s">
        <v>160</v>
      </c>
      <c r="J2770" s="7" t="s">
        <v>148</v>
      </c>
      <c r="K2770" s="7"/>
      <c r="L2770" s="7"/>
      <c r="M2770" s="7"/>
    </row>
    <row r="2771" ht="15.75" customHeight="1">
      <c r="A2771" s="7" t="s">
        <v>14441</v>
      </c>
      <c r="B2771" s="45" t="s">
        <v>14442</v>
      </c>
      <c r="C2771" s="7" t="s">
        <v>14391</v>
      </c>
      <c r="D2771" s="7" t="s">
        <v>14443</v>
      </c>
      <c r="E2771" s="7" t="s">
        <v>14444</v>
      </c>
      <c r="F2771" s="7" t="s">
        <v>14394</v>
      </c>
      <c r="G2771" s="7"/>
      <c r="H2771" s="46" t="s">
        <v>249</v>
      </c>
      <c r="I2771" s="7" t="s">
        <v>160</v>
      </c>
      <c r="J2771" s="7" t="s">
        <v>148</v>
      </c>
      <c r="K2771" s="7"/>
      <c r="L2771" s="7"/>
      <c r="M2771" s="7"/>
    </row>
    <row r="2772" ht="15.75" customHeight="1">
      <c r="A2772" s="7" t="s">
        <v>14445</v>
      </c>
      <c r="B2772" s="45" t="s">
        <v>14446</v>
      </c>
      <c r="C2772" s="7" t="s">
        <v>14391</v>
      </c>
      <c r="D2772" s="7" t="s">
        <v>14447</v>
      </c>
      <c r="E2772" s="7" t="s">
        <v>14448</v>
      </c>
      <c r="F2772" s="7" t="s">
        <v>14394</v>
      </c>
      <c r="G2772" s="7"/>
      <c r="H2772" s="46" t="s">
        <v>249</v>
      </c>
      <c r="I2772" s="7" t="s">
        <v>160</v>
      </c>
      <c r="J2772" s="7" t="s">
        <v>148</v>
      </c>
      <c r="K2772" s="7"/>
      <c r="L2772" s="7"/>
      <c r="M2772" s="7"/>
    </row>
    <row r="2773" ht="15.75" customHeight="1">
      <c r="A2773" s="7" t="s">
        <v>14449</v>
      </c>
      <c r="B2773" s="45" t="s">
        <v>14450</v>
      </c>
      <c r="C2773" s="7" t="s">
        <v>14391</v>
      </c>
      <c r="D2773" s="7" t="s">
        <v>14451</v>
      </c>
      <c r="E2773" s="7" t="s">
        <v>14452</v>
      </c>
      <c r="F2773" s="7" t="s">
        <v>14394</v>
      </c>
      <c r="G2773" s="7"/>
      <c r="H2773" s="46" t="s">
        <v>249</v>
      </c>
      <c r="I2773" s="7" t="s">
        <v>160</v>
      </c>
      <c r="J2773" s="7" t="s">
        <v>148</v>
      </c>
      <c r="K2773" s="7"/>
      <c r="L2773" s="7"/>
      <c r="M2773" s="7"/>
    </row>
    <row r="2774" ht="15.75" customHeight="1">
      <c r="A2774" s="7" t="s">
        <v>14453</v>
      </c>
      <c r="B2774" s="45" t="s">
        <v>14454</v>
      </c>
      <c r="C2774" s="7" t="s">
        <v>14455</v>
      </c>
      <c r="D2774" s="7" t="s">
        <v>14456</v>
      </c>
      <c r="E2774" s="7" t="s">
        <v>14457</v>
      </c>
      <c r="F2774" s="7" t="s">
        <v>14458</v>
      </c>
      <c r="G2774" s="7"/>
      <c r="H2774" s="46" t="s">
        <v>249</v>
      </c>
      <c r="I2774" s="7" t="s">
        <v>160</v>
      </c>
      <c r="J2774" s="7" t="s">
        <v>148</v>
      </c>
      <c r="K2774" s="7"/>
      <c r="L2774" s="7"/>
      <c r="M2774" s="7"/>
    </row>
    <row r="2775" ht="15.75" customHeight="1">
      <c r="A2775" s="7" t="s">
        <v>14459</v>
      </c>
      <c r="B2775" s="45" t="s">
        <v>14460</v>
      </c>
      <c r="C2775" s="7" t="s">
        <v>14461</v>
      </c>
      <c r="D2775" s="7" t="s">
        <v>14462</v>
      </c>
      <c r="E2775" s="7" t="s">
        <v>14463</v>
      </c>
      <c r="F2775" s="7" t="s">
        <v>14464</v>
      </c>
      <c r="G2775" s="7"/>
      <c r="H2775" s="46" t="s">
        <v>249</v>
      </c>
      <c r="I2775" s="7" t="s">
        <v>160</v>
      </c>
      <c r="J2775" s="7" t="s">
        <v>148</v>
      </c>
      <c r="K2775" s="7"/>
      <c r="L2775" s="7"/>
      <c r="M2775" s="7"/>
    </row>
    <row r="2776" ht="15.75" customHeight="1">
      <c r="A2776" s="7" t="s">
        <v>14465</v>
      </c>
      <c r="B2776" s="45" t="s">
        <v>14466</v>
      </c>
      <c r="C2776" s="7" t="s">
        <v>1864</v>
      </c>
      <c r="D2776" s="7" t="s">
        <v>1865</v>
      </c>
      <c r="E2776" s="7" t="s">
        <v>1866</v>
      </c>
      <c r="F2776" s="7" t="s">
        <v>1867</v>
      </c>
      <c r="G2776" s="7"/>
      <c r="H2776" s="46" t="s">
        <v>249</v>
      </c>
      <c r="I2776" s="7" t="s">
        <v>160</v>
      </c>
      <c r="J2776" s="7" t="s">
        <v>148</v>
      </c>
      <c r="K2776" s="7"/>
      <c r="L2776" s="7"/>
      <c r="M2776" s="7"/>
    </row>
    <row r="2777" ht="15.75" customHeight="1">
      <c r="A2777" s="7" t="s">
        <v>14467</v>
      </c>
      <c r="B2777" s="45" t="s">
        <v>14468</v>
      </c>
      <c r="C2777" s="7" t="s">
        <v>14469</v>
      </c>
      <c r="D2777" s="7" t="s">
        <v>14470</v>
      </c>
      <c r="E2777" s="7" t="s">
        <v>14471</v>
      </c>
      <c r="F2777" s="7" t="s">
        <v>14472</v>
      </c>
      <c r="G2777" s="7"/>
      <c r="H2777" s="46" t="s">
        <v>249</v>
      </c>
      <c r="I2777" s="7" t="s">
        <v>160</v>
      </c>
      <c r="J2777" s="7" t="s">
        <v>148</v>
      </c>
      <c r="K2777" s="7"/>
      <c r="L2777" s="7"/>
      <c r="M2777" s="7"/>
    </row>
    <row r="2778" ht="15.75" customHeight="1">
      <c r="A2778" s="7" t="s">
        <v>14473</v>
      </c>
      <c r="B2778" s="45" t="s">
        <v>14474</v>
      </c>
      <c r="C2778" s="7" t="s">
        <v>14475</v>
      </c>
      <c r="D2778" s="7" t="s">
        <v>14470</v>
      </c>
      <c r="E2778" s="7" t="s">
        <v>14471</v>
      </c>
      <c r="F2778" s="7" t="s">
        <v>14472</v>
      </c>
      <c r="G2778" s="7"/>
      <c r="H2778" s="46" t="s">
        <v>249</v>
      </c>
      <c r="I2778" s="7" t="s">
        <v>160</v>
      </c>
      <c r="J2778" s="7" t="s">
        <v>148</v>
      </c>
      <c r="K2778" s="7"/>
      <c r="L2778" s="7"/>
      <c r="M2778" s="7"/>
    </row>
    <row r="2779" ht="15.75" customHeight="1">
      <c r="A2779" s="7" t="s">
        <v>14476</v>
      </c>
      <c r="B2779" s="45" t="s">
        <v>14477</v>
      </c>
      <c r="C2779" s="7" t="s">
        <v>14478</v>
      </c>
      <c r="D2779" s="7" t="s">
        <v>14479</v>
      </c>
      <c r="E2779" s="7" t="s">
        <v>14480</v>
      </c>
      <c r="F2779" s="7" t="s">
        <v>14481</v>
      </c>
      <c r="G2779" s="7"/>
      <c r="H2779" s="46" t="s">
        <v>249</v>
      </c>
      <c r="I2779" s="7" t="s">
        <v>160</v>
      </c>
      <c r="J2779" s="7" t="s">
        <v>148</v>
      </c>
      <c r="K2779" s="7"/>
      <c r="L2779" s="7"/>
      <c r="M2779" s="7"/>
    </row>
    <row r="2780" ht="15.75" customHeight="1">
      <c r="A2780" s="7" t="s">
        <v>14482</v>
      </c>
      <c r="B2780" s="45" t="s">
        <v>14483</v>
      </c>
      <c r="C2780" s="7" t="s">
        <v>14484</v>
      </c>
      <c r="D2780" s="7" t="s">
        <v>14485</v>
      </c>
      <c r="E2780" s="7" t="s">
        <v>14486</v>
      </c>
      <c r="F2780" s="7" t="s">
        <v>14487</v>
      </c>
      <c r="G2780" s="7"/>
      <c r="H2780" s="46" t="s">
        <v>249</v>
      </c>
      <c r="I2780" s="7" t="s">
        <v>160</v>
      </c>
      <c r="J2780" s="7" t="s">
        <v>148</v>
      </c>
      <c r="K2780" s="7"/>
      <c r="L2780" s="7"/>
      <c r="M2780" s="7"/>
    </row>
    <row r="2781" ht="15.75" customHeight="1">
      <c r="A2781" s="7" t="s">
        <v>14488</v>
      </c>
      <c r="B2781" s="45" t="s">
        <v>14489</v>
      </c>
      <c r="C2781" s="7" t="s">
        <v>14490</v>
      </c>
      <c r="D2781" s="7" t="s">
        <v>14491</v>
      </c>
      <c r="E2781" s="7" t="s">
        <v>14492</v>
      </c>
      <c r="F2781" s="7" t="s">
        <v>14493</v>
      </c>
      <c r="G2781" s="7"/>
      <c r="H2781" s="46" t="s">
        <v>249</v>
      </c>
      <c r="I2781" s="7" t="s">
        <v>160</v>
      </c>
      <c r="J2781" s="7" t="s">
        <v>148</v>
      </c>
      <c r="K2781" s="7"/>
      <c r="L2781" s="7"/>
      <c r="M2781" s="7"/>
    </row>
    <row r="2782" ht="15.75" customHeight="1">
      <c r="A2782" s="7" t="s">
        <v>14494</v>
      </c>
      <c r="B2782" s="45" t="s">
        <v>14495</v>
      </c>
      <c r="C2782" s="7" t="s">
        <v>14496</v>
      </c>
      <c r="D2782" s="7" t="s">
        <v>14497</v>
      </c>
      <c r="E2782" s="7" t="s">
        <v>14498</v>
      </c>
      <c r="F2782" s="7" t="s">
        <v>14499</v>
      </c>
      <c r="G2782" s="7"/>
      <c r="H2782" s="46" t="s">
        <v>249</v>
      </c>
      <c r="I2782" s="7" t="s">
        <v>160</v>
      </c>
      <c r="J2782" s="7" t="s">
        <v>148</v>
      </c>
      <c r="K2782" s="7"/>
      <c r="L2782" s="7"/>
      <c r="M2782" s="7"/>
    </row>
    <row r="2783" ht="15.75" customHeight="1">
      <c r="A2783" s="7" t="s">
        <v>14500</v>
      </c>
      <c r="B2783" s="45" t="s">
        <v>14501</v>
      </c>
      <c r="C2783" s="7" t="s">
        <v>14502</v>
      </c>
      <c r="D2783" s="7" t="s">
        <v>14503</v>
      </c>
      <c r="E2783" s="7" t="s">
        <v>14504</v>
      </c>
      <c r="F2783" s="7" t="s">
        <v>14505</v>
      </c>
      <c r="G2783" s="7" t="s">
        <v>14506</v>
      </c>
      <c r="H2783" s="46" t="s">
        <v>249</v>
      </c>
      <c r="I2783" s="7" t="s">
        <v>160</v>
      </c>
      <c r="J2783" s="7" t="s">
        <v>148</v>
      </c>
      <c r="K2783" s="7"/>
      <c r="L2783" s="7"/>
      <c r="M2783" s="7"/>
    </row>
    <row r="2784" ht="15.75" customHeight="1">
      <c r="A2784" s="7" t="s">
        <v>14507</v>
      </c>
      <c r="B2784" s="45" t="s">
        <v>14508</v>
      </c>
      <c r="C2784" s="7" t="s">
        <v>14509</v>
      </c>
      <c r="D2784" s="7" t="s">
        <v>14510</v>
      </c>
      <c r="E2784" s="7" t="s">
        <v>14511</v>
      </c>
      <c r="F2784" s="7" t="s">
        <v>14512</v>
      </c>
      <c r="G2784" s="7"/>
      <c r="H2784" s="46" t="s">
        <v>249</v>
      </c>
      <c r="I2784" s="7" t="s">
        <v>160</v>
      </c>
      <c r="J2784" s="7" t="s">
        <v>148</v>
      </c>
      <c r="K2784" s="7"/>
      <c r="L2784" s="7"/>
      <c r="M2784" s="7"/>
    </row>
    <row r="2785" ht="15.75" customHeight="1">
      <c r="A2785" s="7" t="s">
        <v>14513</v>
      </c>
      <c r="B2785" s="45" t="s">
        <v>14514</v>
      </c>
      <c r="C2785" s="7" t="s">
        <v>14515</v>
      </c>
      <c r="D2785" s="7" t="s">
        <v>14516</v>
      </c>
      <c r="E2785" s="7" t="s">
        <v>13185</v>
      </c>
      <c r="F2785" s="7" t="s">
        <v>13181</v>
      </c>
      <c r="G2785" s="7"/>
      <c r="H2785" s="46" t="s">
        <v>249</v>
      </c>
      <c r="I2785" s="7" t="s">
        <v>160</v>
      </c>
      <c r="J2785" s="7" t="s">
        <v>148</v>
      </c>
      <c r="K2785" s="7"/>
      <c r="L2785" s="7"/>
      <c r="M2785" s="7"/>
    </row>
    <row r="2786" ht="15.75" customHeight="1">
      <c r="A2786" s="7" t="s">
        <v>14517</v>
      </c>
      <c r="B2786" s="45" t="s">
        <v>14518</v>
      </c>
      <c r="C2786" s="7" t="s">
        <v>14519</v>
      </c>
      <c r="D2786" s="7" t="s">
        <v>14520</v>
      </c>
      <c r="E2786" s="7" t="s">
        <v>12465</v>
      </c>
      <c r="F2786" s="7" t="s">
        <v>14521</v>
      </c>
      <c r="G2786" s="7"/>
      <c r="H2786" s="46" t="s">
        <v>249</v>
      </c>
      <c r="I2786" s="7" t="s">
        <v>160</v>
      </c>
      <c r="J2786" s="7" t="s">
        <v>148</v>
      </c>
      <c r="K2786" s="7"/>
      <c r="L2786" s="7"/>
      <c r="M2786" s="7"/>
    </row>
    <row r="2787" ht="15.75" customHeight="1">
      <c r="A2787" s="7" t="s">
        <v>14522</v>
      </c>
      <c r="B2787" s="45" t="s">
        <v>14523</v>
      </c>
      <c r="C2787" s="7" t="s">
        <v>12693</v>
      </c>
      <c r="D2787" s="7" t="s">
        <v>14524</v>
      </c>
      <c r="E2787" s="7" t="s">
        <v>14525</v>
      </c>
      <c r="F2787" s="7" t="s">
        <v>14526</v>
      </c>
      <c r="G2787" s="7"/>
      <c r="H2787" s="46" t="s">
        <v>249</v>
      </c>
      <c r="I2787" s="7" t="s">
        <v>160</v>
      </c>
      <c r="J2787" s="7" t="s">
        <v>148</v>
      </c>
      <c r="K2787" s="7"/>
      <c r="L2787" s="7"/>
      <c r="M2787" s="7"/>
    </row>
    <row r="2788" ht="15.75" customHeight="1">
      <c r="A2788" s="7" t="s">
        <v>14527</v>
      </c>
      <c r="B2788" s="45" t="s">
        <v>14528</v>
      </c>
      <c r="C2788" s="7" t="s">
        <v>14529</v>
      </c>
      <c r="D2788" s="7" t="s">
        <v>14530</v>
      </c>
      <c r="E2788" s="7" t="s">
        <v>14531</v>
      </c>
      <c r="F2788" s="7" t="s">
        <v>14532</v>
      </c>
      <c r="G2788" s="7"/>
      <c r="H2788" s="46" t="s">
        <v>249</v>
      </c>
      <c r="I2788" s="7" t="s">
        <v>160</v>
      </c>
      <c r="J2788" s="7" t="s">
        <v>148</v>
      </c>
      <c r="K2788" s="7"/>
      <c r="L2788" s="7"/>
      <c r="M2788" s="7"/>
    </row>
    <row r="2789" ht="15.75" customHeight="1">
      <c r="A2789" s="7" t="s">
        <v>14533</v>
      </c>
      <c r="B2789" s="45" t="s">
        <v>14534</v>
      </c>
      <c r="C2789" s="7" t="s">
        <v>14535</v>
      </c>
      <c r="D2789" s="7" t="s">
        <v>14536</v>
      </c>
      <c r="E2789" s="7" t="s">
        <v>14537</v>
      </c>
      <c r="F2789" s="7" t="s">
        <v>14538</v>
      </c>
      <c r="G2789" s="7"/>
      <c r="H2789" s="46" t="s">
        <v>249</v>
      </c>
      <c r="I2789" s="7" t="s">
        <v>160</v>
      </c>
      <c r="J2789" s="7" t="s">
        <v>148</v>
      </c>
      <c r="K2789" s="7"/>
      <c r="L2789" s="7"/>
      <c r="M2789" s="7"/>
    </row>
    <row r="2790" ht="15.75" customHeight="1">
      <c r="A2790" s="7" t="s">
        <v>14539</v>
      </c>
      <c r="B2790" s="45" t="s">
        <v>14540</v>
      </c>
      <c r="C2790" s="7" t="s">
        <v>14541</v>
      </c>
      <c r="D2790" s="7" t="s">
        <v>14542</v>
      </c>
      <c r="E2790" s="7" t="s">
        <v>14543</v>
      </c>
      <c r="F2790" s="7" t="s">
        <v>14544</v>
      </c>
      <c r="G2790" s="7"/>
      <c r="H2790" s="46" t="s">
        <v>249</v>
      </c>
      <c r="I2790" s="7" t="s">
        <v>160</v>
      </c>
      <c r="J2790" s="7" t="s">
        <v>148</v>
      </c>
      <c r="K2790" s="7"/>
      <c r="L2790" s="7"/>
      <c r="M2790" s="7"/>
    </row>
    <row r="2791" ht="15.75" customHeight="1">
      <c r="A2791" s="7" t="s">
        <v>14545</v>
      </c>
      <c r="B2791" s="45" t="s">
        <v>14546</v>
      </c>
      <c r="C2791" s="7" t="s">
        <v>3699</v>
      </c>
      <c r="D2791" s="7" t="s">
        <v>3424</v>
      </c>
      <c r="E2791" s="7" t="s">
        <v>3425</v>
      </c>
      <c r="F2791" s="7" t="s">
        <v>3426</v>
      </c>
      <c r="G2791" s="7" t="s">
        <v>14547</v>
      </c>
      <c r="H2791" s="46" t="s">
        <v>249</v>
      </c>
      <c r="I2791" s="7" t="s">
        <v>160</v>
      </c>
      <c r="J2791" s="7" t="s">
        <v>148</v>
      </c>
      <c r="K2791" s="7"/>
      <c r="L2791" s="7"/>
      <c r="M2791" s="7"/>
    </row>
    <row r="2792" ht="15.75" customHeight="1">
      <c r="A2792" s="7" t="s">
        <v>14548</v>
      </c>
      <c r="B2792" s="45" t="s">
        <v>14549</v>
      </c>
      <c r="C2792" s="7" t="s">
        <v>14550</v>
      </c>
      <c r="D2792" s="7" t="s">
        <v>14551</v>
      </c>
      <c r="E2792" s="7" t="s">
        <v>14552</v>
      </c>
      <c r="F2792" s="7" t="s">
        <v>14553</v>
      </c>
      <c r="G2792" s="7"/>
      <c r="H2792" s="46" t="s">
        <v>249</v>
      </c>
      <c r="I2792" s="7" t="s">
        <v>160</v>
      </c>
      <c r="J2792" s="7" t="s">
        <v>148</v>
      </c>
      <c r="K2792" s="7"/>
      <c r="L2792" s="7"/>
      <c r="M2792" s="7"/>
    </row>
    <row r="2793" ht="15.75" customHeight="1">
      <c r="A2793" s="7" t="s">
        <v>14554</v>
      </c>
      <c r="B2793" s="45" t="s">
        <v>14555</v>
      </c>
      <c r="C2793" s="7" t="s">
        <v>14271</v>
      </c>
      <c r="D2793" s="7" t="s">
        <v>14556</v>
      </c>
      <c r="E2793" s="7" t="s">
        <v>14557</v>
      </c>
      <c r="F2793" s="7" t="s">
        <v>14274</v>
      </c>
      <c r="G2793" s="7"/>
      <c r="H2793" s="46" t="s">
        <v>249</v>
      </c>
      <c r="I2793" s="7" t="s">
        <v>160</v>
      </c>
      <c r="J2793" s="7" t="s">
        <v>148</v>
      </c>
      <c r="K2793" s="7"/>
      <c r="L2793" s="7"/>
      <c r="M2793" s="7"/>
    </row>
    <row r="2794" ht="15.75" customHeight="1">
      <c r="A2794" s="7" t="s">
        <v>14558</v>
      </c>
      <c r="B2794" s="45" t="s">
        <v>14559</v>
      </c>
      <c r="C2794" s="7" t="s">
        <v>14560</v>
      </c>
      <c r="D2794" s="7" t="s">
        <v>13645</v>
      </c>
      <c r="E2794" s="7" t="s">
        <v>13646</v>
      </c>
      <c r="F2794" s="7" t="s">
        <v>13647</v>
      </c>
      <c r="G2794" s="7"/>
      <c r="H2794" s="46" t="s">
        <v>249</v>
      </c>
      <c r="I2794" s="7" t="s">
        <v>160</v>
      </c>
      <c r="J2794" s="7" t="s">
        <v>148</v>
      </c>
      <c r="K2794" s="7"/>
      <c r="L2794" s="7"/>
      <c r="M2794" s="7"/>
    </row>
    <row r="2795" ht="15.75" customHeight="1">
      <c r="A2795" s="7" t="s">
        <v>14561</v>
      </c>
      <c r="B2795" s="45" t="s">
        <v>14562</v>
      </c>
      <c r="C2795" s="7" t="s">
        <v>14563</v>
      </c>
      <c r="D2795" s="7" t="s">
        <v>14564</v>
      </c>
      <c r="E2795" s="7" t="s">
        <v>14565</v>
      </c>
      <c r="F2795" s="7" t="s">
        <v>14566</v>
      </c>
      <c r="G2795" s="7"/>
      <c r="H2795" s="46" t="s">
        <v>249</v>
      </c>
      <c r="I2795" s="7" t="s">
        <v>160</v>
      </c>
      <c r="J2795" s="7" t="s">
        <v>148</v>
      </c>
      <c r="K2795" s="7"/>
      <c r="L2795" s="7"/>
      <c r="M2795" s="7"/>
    </row>
    <row r="2796" ht="15.75" customHeight="1">
      <c r="A2796" s="7" t="s">
        <v>14567</v>
      </c>
      <c r="B2796" s="45" t="s">
        <v>14568</v>
      </c>
      <c r="C2796" s="7" t="s">
        <v>14569</v>
      </c>
      <c r="D2796" s="7" t="s">
        <v>14570</v>
      </c>
      <c r="E2796" s="7" t="s">
        <v>14565</v>
      </c>
      <c r="F2796" s="7" t="s">
        <v>14566</v>
      </c>
      <c r="G2796" s="7"/>
      <c r="H2796" s="46" t="s">
        <v>249</v>
      </c>
      <c r="I2796" s="7" t="s">
        <v>160</v>
      </c>
      <c r="J2796" s="7" t="s">
        <v>148</v>
      </c>
      <c r="K2796" s="7"/>
      <c r="L2796" s="7"/>
      <c r="M2796" s="7"/>
    </row>
    <row r="2797" ht="15.75" customHeight="1">
      <c r="A2797" s="7" t="s">
        <v>14571</v>
      </c>
      <c r="B2797" s="45" t="s">
        <v>14572</v>
      </c>
      <c r="C2797" s="7" t="s">
        <v>14569</v>
      </c>
      <c r="D2797" s="7" t="s">
        <v>14573</v>
      </c>
      <c r="E2797" s="7" t="s">
        <v>14574</v>
      </c>
      <c r="F2797" s="7" t="s">
        <v>14566</v>
      </c>
      <c r="G2797" s="7" t="s">
        <v>14575</v>
      </c>
      <c r="H2797" s="46" t="s">
        <v>249</v>
      </c>
      <c r="I2797" s="7" t="s">
        <v>160</v>
      </c>
      <c r="J2797" s="7" t="s">
        <v>148</v>
      </c>
      <c r="K2797" s="7"/>
      <c r="L2797" s="7"/>
      <c r="M2797" s="7"/>
    </row>
    <row r="2798" ht="15.75" customHeight="1">
      <c r="A2798" s="7" t="s">
        <v>14576</v>
      </c>
      <c r="B2798" s="45" t="s">
        <v>14577</v>
      </c>
      <c r="C2798" s="7" t="s">
        <v>14569</v>
      </c>
      <c r="D2798" s="7" t="s">
        <v>14578</v>
      </c>
      <c r="E2798" s="7" t="s">
        <v>14565</v>
      </c>
      <c r="F2798" s="7" t="s">
        <v>14566</v>
      </c>
      <c r="G2798" s="7"/>
      <c r="H2798" s="46" t="s">
        <v>249</v>
      </c>
      <c r="I2798" s="7" t="s">
        <v>160</v>
      </c>
      <c r="J2798" s="7" t="s">
        <v>148</v>
      </c>
      <c r="K2798" s="7"/>
      <c r="L2798" s="7"/>
      <c r="M2798" s="7"/>
    </row>
    <row r="2799" ht="15.75" customHeight="1">
      <c r="A2799" s="7" t="s">
        <v>14579</v>
      </c>
      <c r="B2799" s="45" t="s">
        <v>14580</v>
      </c>
      <c r="C2799" s="7" t="s">
        <v>14581</v>
      </c>
      <c r="D2799" s="7" t="s">
        <v>14582</v>
      </c>
      <c r="E2799" s="7" t="s">
        <v>14565</v>
      </c>
      <c r="F2799" s="7" t="s">
        <v>14583</v>
      </c>
      <c r="G2799" s="7"/>
      <c r="H2799" s="46" t="s">
        <v>249</v>
      </c>
      <c r="I2799" s="7" t="s">
        <v>160</v>
      </c>
      <c r="J2799" s="7" t="s">
        <v>148</v>
      </c>
      <c r="K2799" s="7"/>
      <c r="L2799" s="7"/>
      <c r="M2799" s="7"/>
    </row>
    <row r="2800" ht="15.75" customHeight="1">
      <c r="A2800" s="7" t="s">
        <v>14584</v>
      </c>
      <c r="B2800" s="45" t="s">
        <v>14585</v>
      </c>
      <c r="C2800" s="7" t="s">
        <v>14569</v>
      </c>
      <c r="D2800" s="7" t="s">
        <v>14586</v>
      </c>
      <c r="E2800" s="7" t="s">
        <v>14587</v>
      </c>
      <c r="F2800" s="7" t="s">
        <v>14566</v>
      </c>
      <c r="G2800" s="7"/>
      <c r="H2800" s="46" t="s">
        <v>249</v>
      </c>
      <c r="I2800" s="7" t="s">
        <v>160</v>
      </c>
      <c r="J2800" s="7" t="s">
        <v>148</v>
      </c>
      <c r="K2800" s="7"/>
      <c r="L2800" s="7"/>
      <c r="M2800" s="7"/>
    </row>
    <row r="2801" ht="15.75" customHeight="1">
      <c r="A2801" s="7" t="s">
        <v>14588</v>
      </c>
      <c r="B2801" s="45" t="s">
        <v>14589</v>
      </c>
      <c r="C2801" s="7" t="s">
        <v>14590</v>
      </c>
      <c r="D2801" s="7" t="s">
        <v>14591</v>
      </c>
      <c r="E2801" s="7" t="s">
        <v>14592</v>
      </c>
      <c r="F2801" s="7" t="s">
        <v>14593</v>
      </c>
      <c r="G2801" s="7"/>
      <c r="H2801" s="46" t="s">
        <v>249</v>
      </c>
      <c r="I2801" s="7" t="s">
        <v>160</v>
      </c>
      <c r="J2801" s="7" t="s">
        <v>148</v>
      </c>
      <c r="K2801" s="7"/>
      <c r="L2801" s="7"/>
      <c r="M2801" s="7"/>
    </row>
    <row r="2802" ht="15.75" customHeight="1">
      <c r="A2802" s="7" t="s">
        <v>14594</v>
      </c>
      <c r="B2802" s="45" t="s">
        <v>14595</v>
      </c>
      <c r="C2802" s="7" t="s">
        <v>14596</v>
      </c>
      <c r="D2802" s="7" t="s">
        <v>14597</v>
      </c>
      <c r="E2802" s="7" t="s">
        <v>14598</v>
      </c>
      <c r="F2802" s="7" t="s">
        <v>14599</v>
      </c>
      <c r="G2802" s="7"/>
      <c r="H2802" s="46" t="s">
        <v>249</v>
      </c>
      <c r="I2802" s="7" t="s">
        <v>160</v>
      </c>
      <c r="J2802" s="7" t="s">
        <v>148</v>
      </c>
      <c r="K2802" s="7"/>
      <c r="L2802" s="7"/>
      <c r="M2802" s="7"/>
    </row>
    <row r="2803" ht="15.75" customHeight="1">
      <c r="A2803" s="7" t="s">
        <v>14600</v>
      </c>
      <c r="B2803" s="45" t="s">
        <v>14601</v>
      </c>
      <c r="C2803" s="7" t="s">
        <v>14602</v>
      </c>
      <c r="D2803" s="7" t="s">
        <v>14603</v>
      </c>
      <c r="E2803" s="7" t="s">
        <v>14604</v>
      </c>
      <c r="F2803" s="7" t="s">
        <v>14605</v>
      </c>
      <c r="G2803" s="7"/>
      <c r="H2803" s="46" t="s">
        <v>249</v>
      </c>
      <c r="I2803" s="7" t="s">
        <v>160</v>
      </c>
      <c r="J2803" s="7" t="s">
        <v>148</v>
      </c>
      <c r="K2803" s="7"/>
      <c r="L2803" s="7"/>
      <c r="M2803" s="7"/>
    </row>
    <row r="2804" ht="15.75" customHeight="1">
      <c r="A2804" s="7" t="s">
        <v>14606</v>
      </c>
      <c r="B2804" s="45" t="s">
        <v>14607</v>
      </c>
      <c r="C2804" s="7" t="s">
        <v>14608</v>
      </c>
      <c r="D2804" s="7" t="s">
        <v>14609</v>
      </c>
      <c r="E2804" s="7" t="s">
        <v>14610</v>
      </c>
      <c r="F2804" s="7" t="s">
        <v>14611</v>
      </c>
      <c r="G2804" s="7"/>
      <c r="H2804" s="46" t="s">
        <v>249</v>
      </c>
      <c r="I2804" s="7" t="s">
        <v>160</v>
      </c>
      <c r="J2804" s="7" t="s">
        <v>148</v>
      </c>
      <c r="K2804" s="7"/>
      <c r="L2804" s="7"/>
      <c r="M2804" s="7"/>
    </row>
    <row r="2805" ht="15.75" customHeight="1">
      <c r="A2805" s="7" t="s">
        <v>14612</v>
      </c>
      <c r="B2805" s="45" t="s">
        <v>14613</v>
      </c>
      <c r="C2805" s="7" t="s">
        <v>14614</v>
      </c>
      <c r="D2805" s="7" t="s">
        <v>14615</v>
      </c>
      <c r="E2805" s="7" t="s">
        <v>14616</v>
      </c>
      <c r="F2805" s="7" t="s">
        <v>14617</v>
      </c>
      <c r="G2805" s="7"/>
      <c r="H2805" s="46" t="s">
        <v>249</v>
      </c>
      <c r="I2805" s="7" t="s">
        <v>160</v>
      </c>
      <c r="J2805" s="7" t="s">
        <v>148</v>
      </c>
      <c r="K2805" s="7"/>
      <c r="L2805" s="7"/>
      <c r="M2805" s="7"/>
    </row>
    <row r="2806" ht="15.75" customHeight="1">
      <c r="A2806" s="7" t="s">
        <v>14618</v>
      </c>
      <c r="B2806" s="45" t="s">
        <v>14619</v>
      </c>
      <c r="C2806" s="7" t="s">
        <v>14620</v>
      </c>
      <c r="D2806" s="7" t="s">
        <v>14621</v>
      </c>
      <c r="E2806" s="7" t="s">
        <v>14622</v>
      </c>
      <c r="F2806" s="7" t="s">
        <v>3800</v>
      </c>
      <c r="G2806" s="7"/>
      <c r="H2806" s="46" t="s">
        <v>249</v>
      </c>
      <c r="I2806" s="7" t="s">
        <v>160</v>
      </c>
      <c r="J2806" s="7" t="s">
        <v>148</v>
      </c>
      <c r="K2806" s="7"/>
      <c r="L2806" s="7"/>
      <c r="M2806" s="7"/>
    </row>
    <row r="2807" ht="15.75" customHeight="1">
      <c r="A2807" s="7" t="s">
        <v>14623</v>
      </c>
      <c r="B2807" s="45" t="s">
        <v>14624</v>
      </c>
      <c r="C2807" s="7" t="s">
        <v>14625</v>
      </c>
      <c r="D2807" s="7" t="s">
        <v>14626</v>
      </c>
      <c r="E2807" s="7" t="s">
        <v>14627</v>
      </c>
      <c r="F2807" s="7" t="s">
        <v>14628</v>
      </c>
      <c r="G2807" s="7"/>
      <c r="H2807" s="46" t="s">
        <v>249</v>
      </c>
      <c r="I2807" s="7" t="s">
        <v>160</v>
      </c>
      <c r="J2807" s="7" t="s">
        <v>148</v>
      </c>
      <c r="K2807" s="7"/>
      <c r="L2807" s="7"/>
      <c r="M2807" s="7"/>
    </row>
    <row r="2808" ht="15.75" customHeight="1">
      <c r="A2808" s="7" t="s">
        <v>14629</v>
      </c>
      <c r="B2808" s="45" t="s">
        <v>14630</v>
      </c>
      <c r="C2808" s="7" t="s">
        <v>7046</v>
      </c>
      <c r="D2808" s="7" t="s">
        <v>14631</v>
      </c>
      <c r="E2808" s="7" t="s">
        <v>7048</v>
      </c>
      <c r="F2808" s="7" t="s">
        <v>7049</v>
      </c>
      <c r="G2808" s="7"/>
      <c r="H2808" s="46" t="s">
        <v>249</v>
      </c>
      <c r="I2808" s="7" t="s">
        <v>160</v>
      </c>
      <c r="J2808" s="7" t="s">
        <v>148</v>
      </c>
      <c r="K2808" s="7"/>
      <c r="L2808" s="7"/>
      <c r="M2808" s="7"/>
    </row>
    <row r="2809" ht="15.75" customHeight="1">
      <c r="A2809" s="7" t="s">
        <v>14632</v>
      </c>
      <c r="B2809" s="45" t="s">
        <v>14633</v>
      </c>
      <c r="C2809" s="7" t="s">
        <v>14634</v>
      </c>
      <c r="D2809" s="7" t="s">
        <v>14635</v>
      </c>
      <c r="E2809" s="7" t="s">
        <v>14636</v>
      </c>
      <c r="F2809" s="7" t="s">
        <v>14637</v>
      </c>
      <c r="G2809" s="7"/>
      <c r="H2809" s="46" t="s">
        <v>249</v>
      </c>
      <c r="I2809" s="7" t="s">
        <v>160</v>
      </c>
      <c r="J2809" s="7" t="s">
        <v>148</v>
      </c>
      <c r="K2809" s="7"/>
      <c r="L2809" s="7"/>
      <c r="M2809" s="7"/>
    </row>
    <row r="2810" ht="15.75" customHeight="1">
      <c r="A2810" s="7" t="s">
        <v>14638</v>
      </c>
      <c r="B2810" s="45" t="s">
        <v>14639</v>
      </c>
      <c r="C2810" s="7" t="s">
        <v>14640</v>
      </c>
      <c r="D2810" s="7" t="s">
        <v>14641</v>
      </c>
      <c r="E2810" s="7" t="s">
        <v>6524</v>
      </c>
      <c r="F2810" s="7" t="s">
        <v>6525</v>
      </c>
      <c r="G2810" s="7"/>
      <c r="H2810" s="46" t="s">
        <v>249</v>
      </c>
      <c r="I2810" s="7" t="s">
        <v>160</v>
      </c>
      <c r="J2810" s="7" t="s">
        <v>148</v>
      </c>
      <c r="K2810" s="7"/>
      <c r="L2810" s="7"/>
      <c r="M2810" s="7"/>
    </row>
    <row r="2811" ht="15.75" customHeight="1">
      <c r="A2811" s="7" t="s">
        <v>14642</v>
      </c>
      <c r="B2811" s="45" t="s">
        <v>14643</v>
      </c>
      <c r="C2811" s="7" t="s">
        <v>6663</v>
      </c>
      <c r="D2811" s="7" t="s">
        <v>14644</v>
      </c>
      <c r="E2811" s="7" t="s">
        <v>14645</v>
      </c>
      <c r="F2811" s="7" t="s">
        <v>6802</v>
      </c>
      <c r="G2811" s="7"/>
      <c r="H2811" s="46" t="s">
        <v>249</v>
      </c>
      <c r="I2811" s="7" t="s">
        <v>160</v>
      </c>
      <c r="J2811" s="7" t="s">
        <v>148</v>
      </c>
      <c r="K2811" s="7"/>
      <c r="L2811" s="7"/>
      <c r="M2811" s="7"/>
    </row>
    <row r="2812" ht="15.75" customHeight="1">
      <c r="A2812" s="7" t="s">
        <v>14646</v>
      </c>
      <c r="B2812" s="45" t="s">
        <v>14647</v>
      </c>
      <c r="C2812" s="7" t="s">
        <v>14648</v>
      </c>
      <c r="D2812" s="7" t="s">
        <v>14649</v>
      </c>
      <c r="E2812" s="7" t="s">
        <v>14650</v>
      </c>
      <c r="F2812" s="7" t="s">
        <v>14651</v>
      </c>
      <c r="G2812" s="7"/>
      <c r="H2812" s="46" t="s">
        <v>249</v>
      </c>
      <c r="I2812" s="7" t="s">
        <v>160</v>
      </c>
      <c r="J2812" s="7" t="s">
        <v>148</v>
      </c>
      <c r="K2812" s="7"/>
      <c r="L2812" s="7"/>
      <c r="M2812" s="7"/>
    </row>
    <row r="2813" ht="15.75" customHeight="1">
      <c r="A2813" s="7" t="s">
        <v>14652</v>
      </c>
      <c r="B2813" s="45" t="s">
        <v>14653</v>
      </c>
      <c r="C2813" s="7" t="s">
        <v>14654</v>
      </c>
      <c r="D2813" s="7" t="s">
        <v>14655</v>
      </c>
      <c r="E2813" s="7" t="s">
        <v>14656</v>
      </c>
      <c r="F2813" s="7" t="s">
        <v>14657</v>
      </c>
      <c r="G2813" s="7"/>
      <c r="H2813" s="46" t="s">
        <v>249</v>
      </c>
      <c r="I2813" s="7" t="s">
        <v>160</v>
      </c>
      <c r="J2813" s="7" t="s">
        <v>148</v>
      </c>
      <c r="K2813" s="7"/>
      <c r="L2813" s="7"/>
      <c r="M2813" s="7"/>
    </row>
    <row r="2814" ht="15.75" customHeight="1">
      <c r="A2814" s="7" t="s">
        <v>14658</v>
      </c>
      <c r="B2814" s="45" t="s">
        <v>14659</v>
      </c>
      <c r="C2814" s="7" t="s">
        <v>14660</v>
      </c>
      <c r="D2814" s="7" t="s">
        <v>14661</v>
      </c>
      <c r="E2814" s="7" t="s">
        <v>8733</v>
      </c>
      <c r="F2814" s="7" t="s">
        <v>14662</v>
      </c>
      <c r="G2814" s="7"/>
      <c r="H2814" s="46" t="s">
        <v>249</v>
      </c>
      <c r="I2814" s="7" t="s">
        <v>160</v>
      </c>
      <c r="J2814" s="7" t="s">
        <v>148</v>
      </c>
      <c r="K2814" s="7"/>
      <c r="L2814" s="7"/>
      <c r="M2814" s="7"/>
    </row>
    <row r="2815" ht="15.75" customHeight="1">
      <c r="A2815" s="7" t="s">
        <v>14663</v>
      </c>
      <c r="B2815" s="45" t="s">
        <v>14664</v>
      </c>
      <c r="C2815" s="7" t="s">
        <v>14665</v>
      </c>
      <c r="D2815" s="7" t="s">
        <v>14666</v>
      </c>
      <c r="E2815" s="7" t="s">
        <v>14667</v>
      </c>
      <c r="F2815" s="7" t="s">
        <v>14668</v>
      </c>
      <c r="G2815" s="7"/>
      <c r="H2815" s="46" t="s">
        <v>249</v>
      </c>
      <c r="I2815" s="7" t="s">
        <v>160</v>
      </c>
      <c r="J2815" s="7" t="s">
        <v>148</v>
      </c>
      <c r="K2815" s="7"/>
      <c r="L2815" s="7"/>
      <c r="M2815" s="7"/>
    </row>
    <row r="2816" ht="15.75" customHeight="1">
      <c r="A2816" s="7" t="s">
        <v>14669</v>
      </c>
      <c r="B2816" s="45" t="s">
        <v>14670</v>
      </c>
      <c r="C2816" s="7" t="s">
        <v>14671</v>
      </c>
      <c r="D2816" s="7" t="s">
        <v>14672</v>
      </c>
      <c r="E2816" s="7" t="s">
        <v>14673</v>
      </c>
      <c r="F2816" s="7" t="s">
        <v>14674</v>
      </c>
      <c r="G2816" s="7"/>
      <c r="H2816" s="46" t="s">
        <v>249</v>
      </c>
      <c r="I2816" s="7" t="s">
        <v>160</v>
      </c>
      <c r="J2816" s="7" t="s">
        <v>148</v>
      </c>
      <c r="K2816" s="7"/>
      <c r="L2816" s="7"/>
      <c r="M2816" s="7"/>
    </row>
    <row r="2817" ht="15.75" customHeight="1">
      <c r="A2817" s="7" t="s">
        <v>14675</v>
      </c>
      <c r="B2817" s="45" t="s">
        <v>14676</v>
      </c>
      <c r="C2817" s="7" t="s">
        <v>14677</v>
      </c>
      <c r="D2817" s="7" t="s">
        <v>14678</v>
      </c>
      <c r="E2817" s="7" t="s">
        <v>11024</v>
      </c>
      <c r="F2817" s="7" t="s">
        <v>11025</v>
      </c>
      <c r="G2817" s="7"/>
      <c r="H2817" s="46" t="s">
        <v>249</v>
      </c>
      <c r="I2817" s="7" t="s">
        <v>160</v>
      </c>
      <c r="J2817" s="7" t="s">
        <v>148</v>
      </c>
      <c r="K2817" s="7"/>
      <c r="L2817" s="7"/>
      <c r="M2817" s="7"/>
    </row>
    <row r="2818" ht="15.75" customHeight="1">
      <c r="A2818" s="7" t="s">
        <v>14679</v>
      </c>
      <c r="B2818" s="45" t="s">
        <v>14680</v>
      </c>
      <c r="C2818" s="7" t="s">
        <v>14681</v>
      </c>
      <c r="D2818" s="7" t="s">
        <v>14682</v>
      </c>
      <c r="E2818" s="7" t="s">
        <v>14683</v>
      </c>
      <c r="F2818" s="7" t="s">
        <v>14684</v>
      </c>
      <c r="G2818" s="7"/>
      <c r="H2818" s="46" t="s">
        <v>249</v>
      </c>
      <c r="I2818" s="7" t="s">
        <v>160</v>
      </c>
      <c r="J2818" s="7" t="s">
        <v>148</v>
      </c>
      <c r="K2818" s="7"/>
      <c r="L2818" s="7"/>
      <c r="M2818" s="7"/>
    </row>
    <row r="2819" ht="15.75" customHeight="1">
      <c r="A2819" s="7" t="s">
        <v>14685</v>
      </c>
      <c r="B2819" s="45" t="s">
        <v>14686</v>
      </c>
      <c r="C2819" s="7" t="s">
        <v>14687</v>
      </c>
      <c r="D2819" s="7" t="s">
        <v>14688</v>
      </c>
      <c r="E2819" s="7" t="s">
        <v>12707</v>
      </c>
      <c r="F2819" s="7" t="s">
        <v>12708</v>
      </c>
      <c r="G2819" s="7" t="s">
        <v>14689</v>
      </c>
      <c r="H2819" s="46" t="s">
        <v>249</v>
      </c>
      <c r="I2819" s="7" t="s">
        <v>160</v>
      </c>
      <c r="J2819" s="7" t="s">
        <v>148</v>
      </c>
      <c r="K2819" s="7"/>
      <c r="L2819" s="7"/>
      <c r="M2819" s="7"/>
    </row>
    <row r="2820" ht="15.75" customHeight="1">
      <c r="A2820" s="7" t="s">
        <v>14690</v>
      </c>
      <c r="B2820" s="45" t="s">
        <v>14691</v>
      </c>
      <c r="C2820" s="7" t="s">
        <v>12852</v>
      </c>
      <c r="D2820" s="7" t="s">
        <v>14692</v>
      </c>
      <c r="E2820" s="7" t="s">
        <v>14693</v>
      </c>
      <c r="F2820" s="7" t="s">
        <v>12849</v>
      </c>
      <c r="G2820" s="7"/>
      <c r="H2820" s="46" t="s">
        <v>249</v>
      </c>
      <c r="I2820" s="7" t="s">
        <v>160</v>
      </c>
      <c r="J2820" s="7" t="s">
        <v>148</v>
      </c>
      <c r="K2820" s="7"/>
      <c r="L2820" s="7"/>
      <c r="M2820" s="7"/>
    </row>
    <row r="2821" ht="15.75" customHeight="1">
      <c r="A2821" s="7" t="s">
        <v>14694</v>
      </c>
      <c r="B2821" s="45" t="s">
        <v>14695</v>
      </c>
      <c r="C2821" s="7" t="s">
        <v>14696</v>
      </c>
      <c r="D2821" s="7" t="s">
        <v>14697</v>
      </c>
      <c r="E2821" s="7" t="s">
        <v>14698</v>
      </c>
      <c r="F2821" s="7" t="s">
        <v>14699</v>
      </c>
      <c r="G2821" s="7"/>
      <c r="H2821" s="46" t="s">
        <v>249</v>
      </c>
      <c r="I2821" s="7" t="s">
        <v>160</v>
      </c>
      <c r="J2821" s="7" t="s">
        <v>148</v>
      </c>
      <c r="K2821" s="7"/>
      <c r="L2821" s="7"/>
      <c r="M2821" s="7"/>
    </row>
    <row r="2822" ht="15.75" customHeight="1">
      <c r="A2822" s="7" t="s">
        <v>14700</v>
      </c>
      <c r="B2822" s="45" t="s">
        <v>14701</v>
      </c>
      <c r="C2822" s="7" t="s">
        <v>14702</v>
      </c>
      <c r="D2822" s="7" t="s">
        <v>14703</v>
      </c>
      <c r="E2822" s="7" t="s">
        <v>10378</v>
      </c>
      <c r="F2822" s="7" t="s">
        <v>10379</v>
      </c>
      <c r="G2822" s="7"/>
      <c r="H2822" s="46" t="s">
        <v>249</v>
      </c>
      <c r="I2822" s="7" t="s">
        <v>160</v>
      </c>
      <c r="J2822" s="7" t="s">
        <v>148</v>
      </c>
      <c r="K2822" s="7"/>
      <c r="L2822" s="7"/>
      <c r="M2822" s="7"/>
    </row>
    <row r="2823" ht="15.75" customHeight="1">
      <c r="A2823" s="7" t="s">
        <v>14704</v>
      </c>
      <c r="B2823" s="45" t="s">
        <v>14705</v>
      </c>
      <c r="C2823" s="7" t="s">
        <v>14706</v>
      </c>
      <c r="D2823" s="7" t="s">
        <v>14707</v>
      </c>
      <c r="E2823" s="7" t="s">
        <v>14708</v>
      </c>
      <c r="F2823" s="7" t="s">
        <v>10681</v>
      </c>
      <c r="G2823" s="7"/>
      <c r="H2823" s="46" t="s">
        <v>249</v>
      </c>
      <c r="I2823" s="7" t="s">
        <v>160</v>
      </c>
      <c r="J2823" s="7" t="s">
        <v>148</v>
      </c>
      <c r="K2823" s="7"/>
      <c r="L2823" s="7"/>
      <c r="M2823" s="7"/>
    </row>
    <row r="2824" ht="15.75" customHeight="1">
      <c r="A2824" s="7" t="s">
        <v>14709</v>
      </c>
      <c r="B2824" s="45" t="s">
        <v>14710</v>
      </c>
      <c r="C2824" s="7" t="s">
        <v>10684</v>
      </c>
      <c r="D2824" s="7" t="s">
        <v>14711</v>
      </c>
      <c r="E2824" s="7" t="s">
        <v>10686</v>
      </c>
      <c r="F2824" s="7" t="s">
        <v>9403</v>
      </c>
      <c r="G2824" s="7"/>
      <c r="H2824" s="46" t="s">
        <v>249</v>
      </c>
      <c r="I2824" s="7" t="s">
        <v>160</v>
      </c>
      <c r="J2824" s="7" t="s">
        <v>148</v>
      </c>
      <c r="K2824" s="7"/>
      <c r="L2824" s="7"/>
      <c r="M2824" s="7"/>
    </row>
    <row r="2825" ht="15.75" customHeight="1">
      <c r="A2825" s="7" t="s">
        <v>14712</v>
      </c>
      <c r="B2825" s="45" t="s">
        <v>14713</v>
      </c>
      <c r="C2825" s="7" t="s">
        <v>4740</v>
      </c>
      <c r="D2825" s="7" t="s">
        <v>14714</v>
      </c>
      <c r="E2825" s="7" t="s">
        <v>1544</v>
      </c>
      <c r="F2825" s="7" t="s">
        <v>1545</v>
      </c>
      <c r="G2825" s="7"/>
      <c r="H2825" s="46" t="s">
        <v>249</v>
      </c>
      <c r="I2825" s="7" t="s">
        <v>160</v>
      </c>
      <c r="J2825" s="7" t="s">
        <v>148</v>
      </c>
      <c r="K2825" s="7"/>
      <c r="L2825" s="7"/>
      <c r="M2825" s="7"/>
    </row>
    <row r="2826" ht="15.75" customHeight="1">
      <c r="A2826" s="7" t="s">
        <v>14715</v>
      </c>
      <c r="B2826" s="45" t="s">
        <v>14716</v>
      </c>
      <c r="C2826" s="7" t="s">
        <v>4740</v>
      </c>
      <c r="D2826" s="7" t="s">
        <v>14717</v>
      </c>
      <c r="E2826" s="7" t="s">
        <v>14718</v>
      </c>
      <c r="F2826" s="7" t="s">
        <v>1545</v>
      </c>
      <c r="G2826" s="7"/>
      <c r="H2826" s="46" t="s">
        <v>249</v>
      </c>
      <c r="I2826" s="7" t="s">
        <v>160</v>
      </c>
      <c r="J2826" s="7" t="s">
        <v>148</v>
      </c>
      <c r="K2826" s="7"/>
      <c r="L2826" s="7"/>
      <c r="M2826" s="7"/>
    </row>
    <row r="2827" ht="15.75" customHeight="1">
      <c r="A2827" s="7" t="s">
        <v>14719</v>
      </c>
      <c r="B2827" s="45" t="s">
        <v>14720</v>
      </c>
      <c r="C2827" s="7" t="s">
        <v>10684</v>
      </c>
      <c r="D2827" s="7" t="s">
        <v>14721</v>
      </c>
      <c r="E2827" s="7" t="s">
        <v>10686</v>
      </c>
      <c r="F2827" s="7" t="s">
        <v>9403</v>
      </c>
      <c r="G2827" s="7"/>
      <c r="H2827" s="46" t="s">
        <v>249</v>
      </c>
      <c r="I2827" s="7" t="s">
        <v>160</v>
      </c>
      <c r="J2827" s="7" t="s">
        <v>148</v>
      </c>
      <c r="K2827" s="7"/>
      <c r="L2827" s="7"/>
      <c r="M2827" s="7"/>
    </row>
    <row r="2828" ht="15.75" customHeight="1">
      <c r="A2828" s="7" t="s">
        <v>14722</v>
      </c>
      <c r="B2828" s="45" t="s">
        <v>14723</v>
      </c>
      <c r="C2828" s="7"/>
      <c r="D2828" s="7" t="s">
        <v>14724</v>
      </c>
      <c r="E2828" s="7" t="s">
        <v>14725</v>
      </c>
      <c r="F2828" s="7" t="s">
        <v>287</v>
      </c>
      <c r="G2828" s="7" t="s">
        <v>14726</v>
      </c>
      <c r="H2828" s="47" t="s">
        <v>14727</v>
      </c>
      <c r="I2828" s="7" t="s">
        <v>160</v>
      </c>
      <c r="J2828" s="7" t="s">
        <v>148</v>
      </c>
      <c r="K2828" s="7"/>
      <c r="L2828" s="7"/>
      <c r="M2828" s="7"/>
    </row>
    <row r="2829" ht="15.75" customHeight="1">
      <c r="A2829" s="7" t="s">
        <v>14728</v>
      </c>
      <c r="B2829" s="45" t="s">
        <v>14729</v>
      </c>
      <c r="C2829" s="7"/>
      <c r="D2829" s="7" t="s">
        <v>14730</v>
      </c>
      <c r="E2829" s="7" t="s">
        <v>13157</v>
      </c>
      <c r="F2829" s="7" t="s">
        <v>13158</v>
      </c>
      <c r="G2829" s="7"/>
      <c r="H2829" s="47" t="s">
        <v>14727</v>
      </c>
      <c r="I2829" s="7" t="s">
        <v>160</v>
      </c>
      <c r="J2829" s="7" t="s">
        <v>148</v>
      </c>
      <c r="K2829" s="7"/>
      <c r="L2829" s="7"/>
      <c r="M2829" s="7"/>
    </row>
    <row r="2830" ht="15.75" customHeight="1">
      <c r="A2830" s="7" t="s">
        <v>14731</v>
      </c>
      <c r="B2830" s="45" t="s">
        <v>14732</v>
      </c>
      <c r="C2830" s="7"/>
      <c r="D2830" s="7" t="s">
        <v>319</v>
      </c>
      <c r="E2830" s="7" t="s">
        <v>14733</v>
      </c>
      <c r="F2830" s="7" t="s">
        <v>321</v>
      </c>
      <c r="G2830" s="7" t="s">
        <v>14734</v>
      </c>
      <c r="H2830" s="47" t="s">
        <v>14727</v>
      </c>
      <c r="I2830" s="7" t="s">
        <v>160</v>
      </c>
      <c r="J2830" s="7" t="s">
        <v>148</v>
      </c>
      <c r="K2830" s="7"/>
      <c r="L2830" s="7"/>
      <c r="M2830" s="7"/>
    </row>
    <row r="2831" ht="15.75" customHeight="1">
      <c r="A2831" s="7" t="s">
        <v>14735</v>
      </c>
      <c r="B2831" s="45" t="s">
        <v>14736</v>
      </c>
      <c r="C2831" s="7"/>
      <c r="D2831" s="7" t="s">
        <v>14737</v>
      </c>
      <c r="E2831" s="7" t="s">
        <v>14738</v>
      </c>
      <c r="F2831" s="7" t="s">
        <v>800</v>
      </c>
      <c r="G2831" s="7" t="s">
        <v>14739</v>
      </c>
      <c r="H2831" s="47" t="s">
        <v>14727</v>
      </c>
      <c r="I2831" s="7" t="s">
        <v>160</v>
      </c>
      <c r="J2831" s="7" t="s">
        <v>148</v>
      </c>
      <c r="K2831" s="7"/>
      <c r="L2831" s="7"/>
      <c r="M2831" s="7"/>
    </row>
    <row r="2832" ht="15.75" customHeight="1">
      <c r="A2832" s="7" t="s">
        <v>14740</v>
      </c>
      <c r="B2832" s="45" t="s">
        <v>14741</v>
      </c>
      <c r="C2832" s="7"/>
      <c r="D2832" s="7" t="s">
        <v>9963</v>
      </c>
      <c r="E2832" s="7" t="s">
        <v>9964</v>
      </c>
      <c r="F2832" s="7" t="s">
        <v>9965</v>
      </c>
      <c r="G2832" s="7"/>
      <c r="H2832" s="47" t="s">
        <v>14727</v>
      </c>
      <c r="I2832" s="7" t="s">
        <v>160</v>
      </c>
      <c r="J2832" s="7" t="s">
        <v>148</v>
      </c>
      <c r="K2832" s="7"/>
      <c r="L2832" s="7"/>
      <c r="M2832" s="7"/>
    </row>
    <row r="2833" ht="15.75" customHeight="1">
      <c r="A2833" s="7" t="s">
        <v>14742</v>
      </c>
      <c r="B2833" s="45" t="s">
        <v>14743</v>
      </c>
      <c r="C2833" s="7"/>
      <c r="D2833" s="7" t="s">
        <v>420</v>
      </c>
      <c r="E2833" s="7" t="s">
        <v>14744</v>
      </c>
      <c r="F2833" s="7" t="s">
        <v>422</v>
      </c>
      <c r="G2833" s="7"/>
      <c r="H2833" s="47" t="s">
        <v>14727</v>
      </c>
      <c r="I2833" s="7" t="s">
        <v>160</v>
      </c>
      <c r="J2833" s="7" t="s">
        <v>148</v>
      </c>
      <c r="K2833" s="7"/>
      <c r="L2833" s="7"/>
      <c r="M2833" s="7"/>
    </row>
    <row r="2834" ht="15.75" customHeight="1">
      <c r="A2834" s="7" t="s">
        <v>14745</v>
      </c>
      <c r="B2834" s="45" t="s">
        <v>14746</v>
      </c>
      <c r="C2834" s="7"/>
      <c r="D2834" s="7" t="s">
        <v>14272</v>
      </c>
      <c r="E2834" s="7" t="s">
        <v>14747</v>
      </c>
      <c r="F2834" s="7" t="s">
        <v>14274</v>
      </c>
      <c r="G2834" s="7" t="s">
        <v>14748</v>
      </c>
      <c r="H2834" s="47" t="s">
        <v>14727</v>
      </c>
      <c r="I2834" s="7" t="s">
        <v>160</v>
      </c>
      <c r="J2834" s="7" t="s">
        <v>148</v>
      </c>
      <c r="K2834" s="7"/>
      <c r="L2834" s="7"/>
      <c r="M2834" s="7"/>
    </row>
    <row r="2835" ht="15.75" customHeight="1">
      <c r="A2835" s="7" t="s">
        <v>14749</v>
      </c>
      <c r="B2835" s="45" t="s">
        <v>14750</v>
      </c>
      <c r="C2835" s="7"/>
      <c r="D2835" s="7" t="s">
        <v>14751</v>
      </c>
      <c r="E2835" s="7" t="s">
        <v>405</v>
      </c>
      <c r="F2835" s="7" t="s">
        <v>406</v>
      </c>
      <c r="G2835" s="7" t="s">
        <v>14752</v>
      </c>
      <c r="H2835" s="47" t="s">
        <v>14727</v>
      </c>
      <c r="I2835" s="7" t="s">
        <v>160</v>
      </c>
      <c r="J2835" s="7" t="s">
        <v>148</v>
      </c>
      <c r="K2835" s="7"/>
      <c r="L2835" s="7"/>
      <c r="M2835" s="7"/>
    </row>
    <row r="2836" ht="15.75" customHeight="1">
      <c r="A2836" s="7" t="s">
        <v>14753</v>
      </c>
      <c r="B2836" s="45" t="s">
        <v>14754</v>
      </c>
      <c r="C2836" s="7"/>
      <c r="D2836" s="7" t="s">
        <v>14755</v>
      </c>
      <c r="E2836" s="7" t="s">
        <v>411</v>
      </c>
      <c r="F2836" s="7" t="s">
        <v>412</v>
      </c>
      <c r="G2836" s="7"/>
      <c r="H2836" s="47" t="s">
        <v>14727</v>
      </c>
      <c r="I2836" s="7" t="s">
        <v>160</v>
      </c>
      <c r="J2836" s="7" t="s">
        <v>148</v>
      </c>
      <c r="K2836" s="7"/>
      <c r="L2836" s="7"/>
      <c r="M2836" s="7"/>
    </row>
    <row r="2837" ht="15.75" customHeight="1">
      <c r="A2837" s="7" t="s">
        <v>14756</v>
      </c>
      <c r="B2837" s="45" t="s">
        <v>14757</v>
      </c>
      <c r="C2837" s="7"/>
      <c r="D2837" s="7" t="s">
        <v>9007</v>
      </c>
      <c r="E2837" s="7" t="s">
        <v>14758</v>
      </c>
      <c r="F2837" s="7" t="s">
        <v>9009</v>
      </c>
      <c r="G2837" s="7"/>
      <c r="H2837" s="47" t="s">
        <v>14727</v>
      </c>
      <c r="I2837" s="7" t="s">
        <v>160</v>
      </c>
      <c r="J2837" s="7" t="s">
        <v>148</v>
      </c>
      <c r="K2837" s="7"/>
      <c r="L2837" s="7"/>
      <c r="M2837" s="7"/>
    </row>
    <row r="2838" ht="15.75" customHeight="1">
      <c r="A2838" s="7" t="s">
        <v>14759</v>
      </c>
      <c r="B2838" s="45" t="s">
        <v>14760</v>
      </c>
      <c r="C2838" s="7"/>
      <c r="D2838" s="7" t="s">
        <v>14761</v>
      </c>
      <c r="E2838" s="7" t="s">
        <v>14762</v>
      </c>
      <c r="F2838" s="7" t="s">
        <v>6105</v>
      </c>
      <c r="G2838" s="7"/>
      <c r="H2838" s="47" t="s">
        <v>14727</v>
      </c>
      <c r="I2838" s="7" t="s">
        <v>160</v>
      </c>
      <c r="J2838" s="7" t="s">
        <v>148</v>
      </c>
      <c r="K2838" s="7"/>
      <c r="L2838" s="7"/>
      <c r="M2838" s="7"/>
    </row>
    <row r="2839" ht="15.75" customHeight="1">
      <c r="A2839" s="7" t="s">
        <v>14763</v>
      </c>
      <c r="B2839" s="45" t="s">
        <v>14764</v>
      </c>
      <c r="C2839" s="7"/>
      <c r="D2839" s="7" t="s">
        <v>14761</v>
      </c>
      <c r="E2839" s="7" t="s">
        <v>14762</v>
      </c>
      <c r="F2839" s="7" t="s">
        <v>14765</v>
      </c>
      <c r="G2839" s="7"/>
      <c r="H2839" s="47" t="s">
        <v>14727</v>
      </c>
      <c r="I2839" s="7" t="s">
        <v>160</v>
      </c>
      <c r="J2839" s="7" t="s">
        <v>148</v>
      </c>
      <c r="K2839" s="7"/>
      <c r="L2839" s="7"/>
      <c r="M2839" s="7"/>
    </row>
    <row r="2840" ht="15.75" customHeight="1">
      <c r="A2840" s="7" t="s">
        <v>14766</v>
      </c>
      <c r="B2840" s="45" t="s">
        <v>14767</v>
      </c>
      <c r="C2840" s="7"/>
      <c r="D2840" s="7" t="s">
        <v>14768</v>
      </c>
      <c r="E2840" s="7" t="s">
        <v>487</v>
      </c>
      <c r="F2840" s="7" t="s">
        <v>488</v>
      </c>
      <c r="G2840" s="7"/>
      <c r="H2840" s="47" t="s">
        <v>14727</v>
      </c>
      <c r="I2840" s="7" t="s">
        <v>160</v>
      </c>
      <c r="J2840" s="7" t="s">
        <v>148</v>
      </c>
      <c r="K2840" s="7"/>
      <c r="L2840" s="7"/>
      <c r="M2840" s="7"/>
    </row>
    <row r="2841" ht="15.75" customHeight="1">
      <c r="A2841" s="7" t="s">
        <v>14769</v>
      </c>
      <c r="B2841" s="45" t="s">
        <v>14770</v>
      </c>
      <c r="C2841" s="7"/>
      <c r="D2841" s="7" t="s">
        <v>522</v>
      </c>
      <c r="E2841" s="7" t="s">
        <v>14771</v>
      </c>
      <c r="F2841" s="7" t="s">
        <v>524</v>
      </c>
      <c r="G2841" s="7"/>
      <c r="H2841" s="47" t="s">
        <v>14727</v>
      </c>
      <c r="I2841" s="7" t="s">
        <v>160</v>
      </c>
      <c r="J2841" s="7" t="s">
        <v>148</v>
      </c>
      <c r="K2841" s="7"/>
      <c r="L2841" s="7"/>
      <c r="M2841" s="7"/>
    </row>
    <row r="2842" ht="15.75" customHeight="1">
      <c r="A2842" s="7" t="s">
        <v>14772</v>
      </c>
      <c r="B2842" s="45" t="s">
        <v>14773</v>
      </c>
      <c r="C2842" s="7"/>
      <c r="D2842" s="7" t="s">
        <v>528</v>
      </c>
      <c r="E2842" s="7" t="s">
        <v>529</v>
      </c>
      <c r="F2842" s="7" t="s">
        <v>530</v>
      </c>
      <c r="G2842" s="7"/>
      <c r="H2842" s="47" t="s">
        <v>14727</v>
      </c>
      <c r="I2842" s="7" t="s">
        <v>160</v>
      </c>
      <c r="J2842" s="7" t="s">
        <v>148</v>
      </c>
      <c r="K2842" s="7"/>
      <c r="L2842" s="7"/>
      <c r="M2842" s="7"/>
    </row>
    <row r="2843" ht="15.75" customHeight="1">
      <c r="A2843" s="7" t="s">
        <v>14774</v>
      </c>
      <c r="B2843" s="45" t="s">
        <v>14775</v>
      </c>
      <c r="C2843" s="7"/>
      <c r="D2843" s="7" t="s">
        <v>593</v>
      </c>
      <c r="E2843" s="7" t="s">
        <v>553</v>
      </c>
      <c r="F2843" s="7" t="s">
        <v>594</v>
      </c>
      <c r="G2843" s="7" t="s">
        <v>14776</v>
      </c>
      <c r="H2843" s="47" t="s">
        <v>14727</v>
      </c>
      <c r="I2843" s="7" t="s">
        <v>160</v>
      </c>
      <c r="J2843" s="7" t="s">
        <v>148</v>
      </c>
      <c r="K2843" s="7"/>
      <c r="L2843" s="7"/>
      <c r="M2843" s="7"/>
    </row>
    <row r="2844" ht="15.75" customHeight="1">
      <c r="A2844" s="7" t="s">
        <v>14777</v>
      </c>
      <c r="B2844" s="45" t="s">
        <v>14778</v>
      </c>
      <c r="C2844" s="7"/>
      <c r="D2844" s="7" t="s">
        <v>625</v>
      </c>
      <c r="E2844" s="7" t="s">
        <v>626</v>
      </c>
      <c r="F2844" s="7" t="s">
        <v>627</v>
      </c>
      <c r="G2844" s="7" t="s">
        <v>14779</v>
      </c>
      <c r="H2844" s="47" t="s">
        <v>14727</v>
      </c>
      <c r="I2844" s="7" t="s">
        <v>160</v>
      </c>
      <c r="J2844" s="7" t="s">
        <v>148</v>
      </c>
      <c r="K2844" s="7"/>
      <c r="L2844" s="7"/>
      <c r="M2844" s="7"/>
    </row>
    <row r="2845" ht="15.75" customHeight="1">
      <c r="A2845" s="7" t="s">
        <v>14780</v>
      </c>
      <c r="B2845" s="45" t="s">
        <v>14781</v>
      </c>
      <c r="C2845" s="7"/>
      <c r="D2845" s="7" t="s">
        <v>637</v>
      </c>
      <c r="E2845" s="7" t="s">
        <v>638</v>
      </c>
      <c r="F2845" s="7" t="s">
        <v>639</v>
      </c>
      <c r="G2845" s="7"/>
      <c r="H2845" s="47" t="s">
        <v>14727</v>
      </c>
      <c r="I2845" s="7" t="s">
        <v>160</v>
      </c>
      <c r="J2845" s="7" t="s">
        <v>148</v>
      </c>
      <c r="K2845" s="7"/>
      <c r="L2845" s="7"/>
      <c r="M2845" s="7"/>
    </row>
    <row r="2846" ht="15.75" customHeight="1">
      <c r="A2846" s="7" t="s">
        <v>14782</v>
      </c>
      <c r="B2846" s="45" t="s">
        <v>14783</v>
      </c>
      <c r="C2846" s="7"/>
      <c r="D2846" s="7" t="s">
        <v>14784</v>
      </c>
      <c r="E2846" s="7" t="s">
        <v>14785</v>
      </c>
      <c r="F2846" s="7" t="s">
        <v>8036</v>
      </c>
      <c r="G2846" s="7" t="s">
        <v>14786</v>
      </c>
      <c r="H2846" s="47" t="s">
        <v>14727</v>
      </c>
      <c r="I2846" s="7" t="s">
        <v>160</v>
      </c>
      <c r="J2846" s="7" t="s">
        <v>148</v>
      </c>
      <c r="K2846" s="7"/>
      <c r="L2846" s="7"/>
      <c r="M2846" s="7"/>
    </row>
    <row r="2847" ht="15.75" customHeight="1">
      <c r="A2847" s="7" t="s">
        <v>14787</v>
      </c>
      <c r="B2847" s="45" t="s">
        <v>14788</v>
      </c>
      <c r="C2847" s="7"/>
      <c r="D2847" s="7" t="s">
        <v>14789</v>
      </c>
      <c r="E2847" s="7" t="s">
        <v>14790</v>
      </c>
      <c r="F2847" s="7" t="s">
        <v>14791</v>
      </c>
      <c r="G2847" s="7"/>
      <c r="H2847" s="47" t="s">
        <v>14727</v>
      </c>
      <c r="I2847" s="7" t="s">
        <v>160</v>
      </c>
      <c r="J2847" s="7" t="s">
        <v>148</v>
      </c>
      <c r="K2847" s="7"/>
      <c r="L2847" s="7"/>
      <c r="M2847" s="7"/>
    </row>
    <row r="2848" ht="15.75" customHeight="1">
      <c r="A2848" s="7" t="s">
        <v>14792</v>
      </c>
      <c r="B2848" s="45" t="s">
        <v>14793</v>
      </c>
      <c r="C2848" s="7"/>
      <c r="D2848" s="7" t="s">
        <v>703</v>
      </c>
      <c r="E2848" s="7" t="s">
        <v>704</v>
      </c>
      <c r="F2848" s="7" t="s">
        <v>705</v>
      </c>
      <c r="G2848" s="7"/>
      <c r="H2848" s="47" t="s">
        <v>14727</v>
      </c>
      <c r="I2848" s="7" t="s">
        <v>160</v>
      </c>
      <c r="J2848" s="7" t="s">
        <v>148</v>
      </c>
      <c r="K2848" s="7"/>
      <c r="L2848" s="7"/>
      <c r="M2848" s="7"/>
    </row>
    <row r="2849" ht="15.75" customHeight="1">
      <c r="A2849" s="7" t="s">
        <v>14794</v>
      </c>
      <c r="B2849" s="45" t="s">
        <v>14795</v>
      </c>
      <c r="C2849" s="7"/>
      <c r="D2849" s="7" t="s">
        <v>715</v>
      </c>
      <c r="E2849" s="7" t="s">
        <v>14796</v>
      </c>
      <c r="F2849" s="7" t="s">
        <v>717</v>
      </c>
      <c r="G2849" s="7" t="s">
        <v>14797</v>
      </c>
      <c r="H2849" s="47" t="s">
        <v>14727</v>
      </c>
      <c r="I2849" s="7" t="s">
        <v>160</v>
      </c>
      <c r="J2849" s="7" t="s">
        <v>148</v>
      </c>
      <c r="K2849" s="7"/>
      <c r="L2849" s="7"/>
      <c r="M2849" s="7"/>
    </row>
    <row r="2850" ht="15.75" customHeight="1">
      <c r="A2850" s="7" t="s">
        <v>14798</v>
      </c>
      <c r="B2850" s="45" t="s">
        <v>14799</v>
      </c>
      <c r="C2850" s="7"/>
      <c r="D2850" s="7" t="s">
        <v>756</v>
      </c>
      <c r="E2850" s="7" t="s">
        <v>757</v>
      </c>
      <c r="F2850" s="7" t="s">
        <v>758</v>
      </c>
      <c r="G2850" s="7" t="s">
        <v>14800</v>
      </c>
      <c r="H2850" s="47" t="s">
        <v>14727</v>
      </c>
      <c r="I2850" s="7" t="s">
        <v>160</v>
      </c>
      <c r="J2850" s="7" t="s">
        <v>148</v>
      </c>
      <c r="K2850" s="7"/>
      <c r="L2850" s="7"/>
      <c r="M2850" s="7"/>
    </row>
    <row r="2851" ht="15.75" customHeight="1">
      <c r="A2851" s="7" t="s">
        <v>14801</v>
      </c>
      <c r="B2851" s="45" t="s">
        <v>14802</v>
      </c>
      <c r="C2851" s="7"/>
      <c r="D2851" s="7" t="s">
        <v>14803</v>
      </c>
      <c r="E2851" s="7" t="s">
        <v>811</v>
      </c>
      <c r="F2851" s="7" t="s">
        <v>14804</v>
      </c>
      <c r="G2851" s="7"/>
      <c r="H2851" s="47" t="s">
        <v>14727</v>
      </c>
      <c r="I2851" s="7" t="s">
        <v>160</v>
      </c>
      <c r="J2851" s="7" t="s">
        <v>148</v>
      </c>
      <c r="K2851" s="7"/>
      <c r="L2851" s="7"/>
      <c r="M2851" s="7"/>
    </row>
    <row r="2852" ht="15.75" customHeight="1">
      <c r="A2852" s="7" t="s">
        <v>14805</v>
      </c>
      <c r="B2852" s="45" t="s">
        <v>14806</v>
      </c>
      <c r="C2852" s="7" t="s">
        <v>14807</v>
      </c>
      <c r="D2852" s="7" t="s">
        <v>14808</v>
      </c>
      <c r="E2852" s="7" t="s">
        <v>14809</v>
      </c>
      <c r="F2852" s="7"/>
      <c r="G2852" s="7"/>
      <c r="H2852" s="47" t="s">
        <v>14727</v>
      </c>
      <c r="I2852" s="7" t="s">
        <v>154</v>
      </c>
      <c r="J2852" s="7" t="s">
        <v>148</v>
      </c>
      <c r="K2852" s="7"/>
      <c r="L2852" s="7"/>
      <c r="M2852" s="7"/>
    </row>
    <row r="2853" ht="15.75" customHeight="1">
      <c r="A2853" s="7" t="s">
        <v>14810</v>
      </c>
      <c r="B2853" s="45" t="s">
        <v>14811</v>
      </c>
      <c r="C2853" s="7" t="s">
        <v>14812</v>
      </c>
      <c r="D2853" s="7" t="s">
        <v>14813</v>
      </c>
      <c r="E2853" s="7" t="s">
        <v>14814</v>
      </c>
      <c r="F2853" s="7"/>
      <c r="G2853" s="7"/>
      <c r="H2853" s="47" t="s">
        <v>14727</v>
      </c>
      <c r="I2853" s="7" t="s">
        <v>154</v>
      </c>
      <c r="J2853" s="7" t="s">
        <v>148</v>
      </c>
      <c r="K2853" s="7"/>
      <c r="L2853" s="7"/>
      <c r="M2853" s="7"/>
    </row>
    <row r="2854" ht="15.75" customHeight="1">
      <c r="A2854" s="7" t="s">
        <v>14815</v>
      </c>
      <c r="B2854" s="45" t="s">
        <v>14816</v>
      </c>
      <c r="C2854" s="7" t="s">
        <v>14817</v>
      </c>
      <c r="D2854" s="7" t="s">
        <v>14818</v>
      </c>
      <c r="E2854" s="7" t="s">
        <v>14819</v>
      </c>
      <c r="F2854" s="7"/>
      <c r="G2854" s="7"/>
      <c r="H2854" s="47" t="s">
        <v>14727</v>
      </c>
      <c r="I2854" s="7" t="s">
        <v>154</v>
      </c>
      <c r="J2854" s="7" t="s">
        <v>148</v>
      </c>
      <c r="K2854" s="7"/>
      <c r="L2854" s="7"/>
      <c r="M2854" s="7"/>
    </row>
    <row r="2855" ht="15.75" customHeight="1">
      <c r="A2855" s="7" t="s">
        <v>14820</v>
      </c>
      <c r="B2855" s="45" t="s">
        <v>14821</v>
      </c>
      <c r="C2855" s="7" t="s">
        <v>14822</v>
      </c>
      <c r="D2855" s="7" t="s">
        <v>14823</v>
      </c>
      <c r="E2855" s="7" t="s">
        <v>14824</v>
      </c>
      <c r="F2855" s="7"/>
      <c r="G2855" s="7"/>
      <c r="H2855" s="47" t="s">
        <v>14727</v>
      </c>
      <c r="I2855" s="7" t="s">
        <v>154</v>
      </c>
      <c r="J2855" s="7" t="s">
        <v>148</v>
      </c>
      <c r="K2855" s="7"/>
      <c r="L2855" s="7"/>
      <c r="M2855" s="7"/>
    </row>
    <row r="2856" ht="15.75" customHeight="1">
      <c r="A2856" s="7" t="s">
        <v>14825</v>
      </c>
      <c r="B2856" s="45" t="s">
        <v>14826</v>
      </c>
      <c r="C2856" s="7"/>
      <c r="D2856" s="7" t="s">
        <v>10302</v>
      </c>
      <c r="E2856" s="7" t="s">
        <v>10303</v>
      </c>
      <c r="F2856" s="7" t="s">
        <v>10304</v>
      </c>
      <c r="G2856" s="7" t="s">
        <v>13618</v>
      </c>
      <c r="H2856" s="47" t="s">
        <v>14727</v>
      </c>
      <c r="I2856" s="7" t="s">
        <v>160</v>
      </c>
      <c r="J2856" s="7" t="s">
        <v>148</v>
      </c>
      <c r="K2856" s="7"/>
      <c r="L2856" s="7"/>
      <c r="M2856" s="7"/>
    </row>
    <row r="2857" ht="15.75" customHeight="1">
      <c r="A2857" s="7" t="s">
        <v>14827</v>
      </c>
      <c r="B2857" s="45" t="s">
        <v>14828</v>
      </c>
      <c r="C2857" s="7"/>
      <c r="D2857" s="7" t="s">
        <v>1122</v>
      </c>
      <c r="E2857" s="7" t="s">
        <v>1123</v>
      </c>
      <c r="F2857" s="7" t="s">
        <v>1124</v>
      </c>
      <c r="G2857" s="7" t="s">
        <v>14829</v>
      </c>
      <c r="H2857" s="47" t="s">
        <v>14727</v>
      </c>
      <c r="I2857" s="7" t="s">
        <v>160</v>
      </c>
      <c r="J2857" s="7" t="s">
        <v>148</v>
      </c>
      <c r="K2857" s="7"/>
      <c r="L2857" s="7"/>
      <c r="M2857" s="7"/>
    </row>
    <row r="2858" ht="15.75" customHeight="1">
      <c r="A2858" s="7" t="s">
        <v>14830</v>
      </c>
      <c r="B2858" s="45" t="s">
        <v>14831</v>
      </c>
      <c r="C2858" s="7"/>
      <c r="D2858" s="7" t="s">
        <v>921</v>
      </c>
      <c r="E2858" s="7" t="s">
        <v>922</v>
      </c>
      <c r="F2858" s="7" t="s">
        <v>923</v>
      </c>
      <c r="G2858" s="7"/>
      <c r="H2858" s="47" t="s">
        <v>14727</v>
      </c>
      <c r="I2858" s="7" t="s">
        <v>160</v>
      </c>
      <c r="J2858" s="7" t="s">
        <v>148</v>
      </c>
      <c r="K2858" s="7"/>
      <c r="L2858" s="7"/>
      <c r="M2858" s="7"/>
    </row>
    <row r="2859" ht="15.75" customHeight="1">
      <c r="A2859" s="7" t="s">
        <v>14832</v>
      </c>
      <c r="B2859" s="45" t="s">
        <v>14833</v>
      </c>
      <c r="C2859" s="7"/>
      <c r="D2859" s="7" t="s">
        <v>14834</v>
      </c>
      <c r="E2859" s="7" t="s">
        <v>14835</v>
      </c>
      <c r="F2859" s="7" t="s">
        <v>941</v>
      </c>
      <c r="G2859" s="7" t="s">
        <v>14836</v>
      </c>
      <c r="H2859" s="47" t="s">
        <v>14727</v>
      </c>
      <c r="I2859" s="7" t="s">
        <v>160</v>
      </c>
      <c r="J2859" s="7" t="s">
        <v>148</v>
      </c>
      <c r="K2859" s="7"/>
      <c r="L2859" s="7"/>
      <c r="M2859" s="7"/>
    </row>
    <row r="2860" ht="15.75" customHeight="1">
      <c r="A2860" s="7" t="s">
        <v>14837</v>
      </c>
      <c r="B2860" s="45" t="s">
        <v>14838</v>
      </c>
      <c r="C2860" s="7"/>
      <c r="D2860" s="7" t="s">
        <v>14839</v>
      </c>
      <c r="E2860" s="7" t="s">
        <v>946</v>
      </c>
      <c r="F2860" s="7" t="s">
        <v>947</v>
      </c>
      <c r="G2860" s="7"/>
      <c r="H2860" s="47" t="s">
        <v>14727</v>
      </c>
      <c r="I2860" s="7" t="s">
        <v>160</v>
      </c>
      <c r="J2860" s="7" t="s">
        <v>148</v>
      </c>
      <c r="K2860" s="7"/>
      <c r="L2860" s="7"/>
      <c r="M2860" s="7"/>
    </row>
    <row r="2861" ht="15.75" customHeight="1">
      <c r="A2861" s="7" t="s">
        <v>14840</v>
      </c>
      <c r="B2861" s="45" t="s">
        <v>14841</v>
      </c>
      <c r="C2861" s="7"/>
      <c r="D2861" s="7" t="s">
        <v>14842</v>
      </c>
      <c r="E2861" s="7" t="s">
        <v>8044</v>
      </c>
      <c r="F2861" s="7" t="s">
        <v>973</v>
      </c>
      <c r="G2861" s="7" t="s">
        <v>14843</v>
      </c>
      <c r="H2861" s="47" t="s">
        <v>14727</v>
      </c>
      <c r="I2861" s="7" t="s">
        <v>160</v>
      </c>
      <c r="J2861" s="7" t="s">
        <v>148</v>
      </c>
      <c r="K2861" s="7"/>
      <c r="L2861" s="7"/>
      <c r="M2861" s="7"/>
    </row>
    <row r="2862" ht="15.75" customHeight="1">
      <c r="A2862" s="7" t="s">
        <v>14844</v>
      </c>
      <c r="B2862" s="45" t="s">
        <v>14845</v>
      </c>
      <c r="C2862" s="7"/>
      <c r="D2862" s="7" t="s">
        <v>1107</v>
      </c>
      <c r="E2862" s="7" t="s">
        <v>1108</v>
      </c>
      <c r="F2862" s="7" t="s">
        <v>1109</v>
      </c>
      <c r="G2862" s="7" t="s">
        <v>14846</v>
      </c>
      <c r="H2862" s="47" t="s">
        <v>14727</v>
      </c>
      <c r="I2862" s="7" t="s">
        <v>160</v>
      </c>
      <c r="J2862" s="7" t="s">
        <v>148</v>
      </c>
      <c r="K2862" s="7"/>
      <c r="L2862" s="7"/>
      <c r="M2862" s="7"/>
    </row>
    <row r="2863" ht="15.75" customHeight="1">
      <c r="A2863" s="7" t="s">
        <v>14847</v>
      </c>
      <c r="B2863" s="45" t="s">
        <v>14848</v>
      </c>
      <c r="C2863" s="7"/>
      <c r="D2863" s="7" t="s">
        <v>14849</v>
      </c>
      <c r="E2863" s="7" t="s">
        <v>14850</v>
      </c>
      <c r="F2863" s="7" t="s">
        <v>1118</v>
      </c>
      <c r="G2863" s="7" t="s">
        <v>14851</v>
      </c>
      <c r="H2863" s="47" t="s">
        <v>14727</v>
      </c>
      <c r="I2863" s="7" t="s">
        <v>160</v>
      </c>
      <c r="J2863" s="7" t="s">
        <v>148</v>
      </c>
      <c r="K2863" s="7"/>
      <c r="L2863" s="7"/>
      <c r="M2863" s="7"/>
    </row>
    <row r="2864" ht="15.75" customHeight="1">
      <c r="A2864" s="7" t="s">
        <v>14852</v>
      </c>
      <c r="B2864" s="45" t="s">
        <v>14853</v>
      </c>
      <c r="C2864" s="7"/>
      <c r="D2864" s="7" t="s">
        <v>14854</v>
      </c>
      <c r="E2864" s="7" t="s">
        <v>10360</v>
      </c>
      <c r="F2864" s="7" t="s">
        <v>10361</v>
      </c>
      <c r="G2864" s="7"/>
      <c r="H2864" s="47" t="s">
        <v>14727</v>
      </c>
      <c r="I2864" s="7" t="s">
        <v>160</v>
      </c>
      <c r="J2864" s="7" t="s">
        <v>148</v>
      </c>
      <c r="K2864" s="7"/>
      <c r="L2864" s="7"/>
      <c r="M2864" s="7"/>
    </row>
    <row r="2865" ht="15.75" customHeight="1">
      <c r="A2865" s="7" t="s">
        <v>14855</v>
      </c>
      <c r="B2865" s="45" t="s">
        <v>14856</v>
      </c>
      <c r="C2865" s="7"/>
      <c r="D2865" s="7" t="s">
        <v>1159</v>
      </c>
      <c r="E2865" s="7" t="s">
        <v>1160</v>
      </c>
      <c r="F2865" s="7" t="s">
        <v>1161</v>
      </c>
      <c r="G2865" s="7" t="s">
        <v>14857</v>
      </c>
      <c r="H2865" s="47" t="s">
        <v>14727</v>
      </c>
      <c r="I2865" s="7" t="s">
        <v>160</v>
      </c>
      <c r="J2865" s="7" t="s">
        <v>148</v>
      </c>
      <c r="K2865" s="7"/>
      <c r="L2865" s="7"/>
      <c r="M2865" s="7"/>
    </row>
    <row r="2866" ht="15.75" customHeight="1">
      <c r="A2866" s="7" t="s">
        <v>14858</v>
      </c>
      <c r="B2866" s="45" t="s">
        <v>14859</v>
      </c>
      <c r="C2866" s="7"/>
      <c r="D2866" s="7" t="s">
        <v>1171</v>
      </c>
      <c r="E2866" s="7" t="s">
        <v>1172</v>
      </c>
      <c r="F2866" s="7" t="s">
        <v>1173</v>
      </c>
      <c r="G2866" s="7"/>
      <c r="H2866" s="47" t="s">
        <v>14727</v>
      </c>
      <c r="I2866" s="7" t="s">
        <v>160</v>
      </c>
      <c r="J2866" s="7" t="s">
        <v>148</v>
      </c>
      <c r="K2866" s="7"/>
      <c r="L2866" s="7"/>
      <c r="M2866" s="7"/>
    </row>
    <row r="2867" ht="15.75" customHeight="1">
      <c r="A2867" s="7" t="s">
        <v>14860</v>
      </c>
      <c r="B2867" s="45" t="s">
        <v>14861</v>
      </c>
      <c r="C2867" s="7"/>
      <c r="D2867" s="7" t="s">
        <v>1503</v>
      </c>
      <c r="E2867" s="7" t="s">
        <v>14862</v>
      </c>
      <c r="F2867" s="7" t="s">
        <v>1505</v>
      </c>
      <c r="G2867" s="7" t="s">
        <v>14863</v>
      </c>
      <c r="H2867" s="47" t="s">
        <v>14727</v>
      </c>
      <c r="I2867" s="7" t="s">
        <v>160</v>
      </c>
      <c r="J2867" s="7" t="s">
        <v>148</v>
      </c>
      <c r="K2867" s="7"/>
      <c r="L2867" s="7"/>
      <c r="M2867" s="7"/>
    </row>
    <row r="2868" ht="15.75" customHeight="1">
      <c r="A2868" s="7" t="s">
        <v>14864</v>
      </c>
      <c r="B2868" s="45" t="s">
        <v>14865</v>
      </c>
      <c r="C2868" s="7"/>
      <c r="D2868" s="7" t="s">
        <v>492</v>
      </c>
      <c r="E2868" s="7" t="s">
        <v>493</v>
      </c>
      <c r="F2868" s="7" t="s">
        <v>494</v>
      </c>
      <c r="G2868" s="7"/>
      <c r="H2868" s="47" t="s">
        <v>14727</v>
      </c>
      <c r="I2868" s="7" t="s">
        <v>160</v>
      </c>
      <c r="J2868" s="7" t="s">
        <v>148</v>
      </c>
      <c r="K2868" s="7"/>
      <c r="L2868" s="7"/>
      <c r="M2868" s="7"/>
    </row>
    <row r="2869" ht="15.75" customHeight="1">
      <c r="A2869" s="7" t="s">
        <v>14866</v>
      </c>
      <c r="B2869" s="45" t="s">
        <v>14867</v>
      </c>
      <c r="C2869" s="7"/>
      <c r="D2869" s="7" t="s">
        <v>13357</v>
      </c>
      <c r="E2869" s="7" t="s">
        <v>14868</v>
      </c>
      <c r="F2869" s="7" t="s">
        <v>13359</v>
      </c>
      <c r="G2869" s="7"/>
      <c r="H2869" s="47" t="s">
        <v>14727</v>
      </c>
      <c r="I2869" s="7" t="s">
        <v>160</v>
      </c>
      <c r="J2869" s="7" t="s">
        <v>148</v>
      </c>
      <c r="K2869" s="7"/>
      <c r="L2869" s="7"/>
      <c r="M2869" s="7"/>
    </row>
    <row r="2870" ht="15.75" customHeight="1">
      <c r="A2870" s="7" t="s">
        <v>14869</v>
      </c>
      <c r="B2870" s="45" t="s">
        <v>14870</v>
      </c>
      <c r="C2870" s="7"/>
      <c r="D2870" s="7" t="s">
        <v>1195</v>
      </c>
      <c r="E2870" s="7" t="s">
        <v>1196</v>
      </c>
      <c r="F2870" s="7" t="s">
        <v>1197</v>
      </c>
      <c r="G2870" s="7"/>
      <c r="H2870" s="47" t="s">
        <v>14727</v>
      </c>
      <c r="I2870" s="7" t="s">
        <v>160</v>
      </c>
      <c r="J2870" s="7" t="s">
        <v>148</v>
      </c>
      <c r="K2870" s="7"/>
      <c r="L2870" s="7"/>
      <c r="M2870" s="7"/>
    </row>
    <row r="2871" ht="15.75" customHeight="1">
      <c r="A2871" s="7" t="s">
        <v>14871</v>
      </c>
      <c r="B2871" s="45" t="s">
        <v>14872</v>
      </c>
      <c r="C2871" s="7"/>
      <c r="D2871" s="7" t="s">
        <v>1225</v>
      </c>
      <c r="E2871" s="7" t="s">
        <v>1214</v>
      </c>
      <c r="F2871" s="7" t="s">
        <v>1215</v>
      </c>
      <c r="G2871" s="7" t="s">
        <v>14873</v>
      </c>
      <c r="H2871" s="47" t="s">
        <v>14727</v>
      </c>
      <c r="I2871" s="7" t="s">
        <v>160</v>
      </c>
      <c r="J2871" s="7" t="s">
        <v>148</v>
      </c>
      <c r="K2871" s="7"/>
      <c r="L2871" s="7"/>
      <c r="M2871" s="7"/>
    </row>
    <row r="2872" ht="15.75" customHeight="1">
      <c r="A2872" s="7" t="s">
        <v>14874</v>
      </c>
      <c r="B2872" s="45" t="s">
        <v>14875</v>
      </c>
      <c r="C2872" s="7"/>
      <c r="D2872" s="7" t="s">
        <v>1282</v>
      </c>
      <c r="E2872" s="7" t="s">
        <v>14876</v>
      </c>
      <c r="F2872" s="7" t="s">
        <v>1284</v>
      </c>
      <c r="G2872" s="7"/>
      <c r="H2872" s="47" t="s">
        <v>14727</v>
      </c>
      <c r="I2872" s="7" t="s">
        <v>160</v>
      </c>
      <c r="J2872" s="7" t="s">
        <v>148</v>
      </c>
      <c r="K2872" s="7"/>
      <c r="L2872" s="7"/>
      <c r="M2872" s="7"/>
    </row>
    <row r="2873" ht="15.75" customHeight="1">
      <c r="A2873" s="7" t="s">
        <v>14877</v>
      </c>
      <c r="B2873" s="45" t="s">
        <v>14878</v>
      </c>
      <c r="C2873" s="7"/>
      <c r="D2873" s="7" t="s">
        <v>14879</v>
      </c>
      <c r="E2873" s="7" t="s">
        <v>14880</v>
      </c>
      <c r="F2873" s="7" t="s">
        <v>1371</v>
      </c>
      <c r="G2873" s="7"/>
      <c r="H2873" s="47" t="s">
        <v>14727</v>
      </c>
      <c r="I2873" s="7" t="s">
        <v>160</v>
      </c>
      <c r="J2873" s="7" t="s">
        <v>148</v>
      </c>
      <c r="K2873" s="7"/>
      <c r="L2873" s="7"/>
      <c r="M2873" s="7"/>
    </row>
    <row r="2874" ht="15.75" customHeight="1">
      <c r="A2874" s="7" t="s">
        <v>14881</v>
      </c>
      <c r="B2874" s="45" t="s">
        <v>14882</v>
      </c>
      <c r="C2874" s="7"/>
      <c r="D2874" s="7" t="s">
        <v>14883</v>
      </c>
      <c r="E2874" s="7" t="s">
        <v>14884</v>
      </c>
      <c r="F2874" s="7" t="s">
        <v>14885</v>
      </c>
      <c r="G2874" s="7"/>
      <c r="H2874" s="47" t="s">
        <v>14727</v>
      </c>
      <c r="I2874" s="7" t="s">
        <v>160</v>
      </c>
      <c r="J2874" s="7" t="s">
        <v>148</v>
      </c>
      <c r="K2874" s="7"/>
      <c r="L2874" s="7"/>
      <c r="M2874" s="7"/>
    </row>
    <row r="2875" ht="15.75" customHeight="1">
      <c r="A2875" s="7" t="s">
        <v>14886</v>
      </c>
      <c r="B2875" s="45" t="s">
        <v>14887</v>
      </c>
      <c r="C2875" s="7"/>
      <c r="D2875" s="7" t="s">
        <v>1375</v>
      </c>
      <c r="E2875" s="7" t="s">
        <v>1376</v>
      </c>
      <c r="F2875" s="7" t="s">
        <v>1377</v>
      </c>
      <c r="G2875" s="7" t="s">
        <v>14888</v>
      </c>
      <c r="H2875" s="47" t="s">
        <v>14727</v>
      </c>
      <c r="I2875" s="7" t="s">
        <v>160</v>
      </c>
      <c r="J2875" s="7" t="s">
        <v>148</v>
      </c>
      <c r="K2875" s="7"/>
      <c r="L2875" s="7"/>
      <c r="M2875" s="7"/>
    </row>
    <row r="2876" ht="15.75" customHeight="1">
      <c r="A2876" s="7" t="s">
        <v>14889</v>
      </c>
      <c r="B2876" s="45" t="s">
        <v>14890</v>
      </c>
      <c r="C2876" s="7"/>
      <c r="D2876" s="7" t="s">
        <v>14891</v>
      </c>
      <c r="E2876" s="7" t="s">
        <v>5585</v>
      </c>
      <c r="F2876" s="7" t="s">
        <v>5586</v>
      </c>
      <c r="G2876" s="7"/>
      <c r="H2876" s="47" t="s">
        <v>14727</v>
      </c>
      <c r="I2876" s="7" t="s">
        <v>160</v>
      </c>
      <c r="J2876" s="7" t="s">
        <v>148</v>
      </c>
      <c r="K2876" s="7"/>
      <c r="L2876" s="7"/>
      <c r="M2876" s="7"/>
    </row>
    <row r="2877" ht="15.75" customHeight="1">
      <c r="A2877" s="7" t="s">
        <v>14892</v>
      </c>
      <c r="B2877" s="45" t="s">
        <v>14893</v>
      </c>
      <c r="C2877" s="7"/>
      <c r="D2877" s="7" t="s">
        <v>14894</v>
      </c>
      <c r="E2877" s="7" t="s">
        <v>2266</v>
      </c>
      <c r="F2877" s="7" t="s">
        <v>2267</v>
      </c>
      <c r="G2877" s="7"/>
      <c r="H2877" s="47" t="s">
        <v>14727</v>
      </c>
      <c r="I2877" s="7" t="s">
        <v>160</v>
      </c>
      <c r="J2877" s="7" t="s">
        <v>148</v>
      </c>
      <c r="K2877" s="7"/>
      <c r="L2877" s="7"/>
      <c r="M2877" s="7"/>
    </row>
    <row r="2878" ht="15.75" customHeight="1">
      <c r="A2878" s="7" t="s">
        <v>14895</v>
      </c>
      <c r="B2878" s="45" t="s">
        <v>14896</v>
      </c>
      <c r="C2878" s="7"/>
      <c r="D2878" s="7" t="s">
        <v>6868</v>
      </c>
      <c r="E2878" s="7" t="s">
        <v>14897</v>
      </c>
      <c r="F2878" s="7" t="s">
        <v>6870</v>
      </c>
      <c r="G2878" s="7" t="s">
        <v>14898</v>
      </c>
      <c r="H2878" s="47" t="s">
        <v>14727</v>
      </c>
      <c r="I2878" s="7" t="s">
        <v>160</v>
      </c>
      <c r="J2878" s="7" t="s">
        <v>148</v>
      </c>
      <c r="K2878" s="7"/>
      <c r="L2878" s="7"/>
      <c r="M2878" s="7"/>
    </row>
    <row r="2879" ht="15.75" customHeight="1">
      <c r="A2879" s="7" t="s">
        <v>14899</v>
      </c>
      <c r="B2879" s="45" t="s">
        <v>14900</v>
      </c>
      <c r="C2879" s="7"/>
      <c r="D2879" s="7" t="s">
        <v>14901</v>
      </c>
      <c r="E2879" s="7" t="s">
        <v>14902</v>
      </c>
      <c r="F2879" s="7" t="s">
        <v>14903</v>
      </c>
      <c r="G2879" s="7"/>
      <c r="H2879" s="47" t="s">
        <v>14727</v>
      </c>
      <c r="I2879" s="7" t="s">
        <v>160</v>
      </c>
      <c r="J2879" s="7" t="s">
        <v>148</v>
      </c>
      <c r="K2879" s="7"/>
      <c r="L2879" s="7"/>
      <c r="M2879" s="7"/>
    </row>
    <row r="2880" ht="15.75" customHeight="1">
      <c r="A2880" s="7" t="s">
        <v>14904</v>
      </c>
      <c r="B2880" s="45" t="s">
        <v>14905</v>
      </c>
      <c r="C2880" s="7"/>
      <c r="D2880" s="7" t="s">
        <v>14906</v>
      </c>
      <c r="E2880" s="7" t="s">
        <v>1720</v>
      </c>
      <c r="F2880" s="7" t="s">
        <v>14907</v>
      </c>
      <c r="G2880" s="7" t="s">
        <v>14908</v>
      </c>
      <c r="H2880" s="47" t="s">
        <v>14727</v>
      </c>
      <c r="I2880" s="7" t="s">
        <v>160</v>
      </c>
      <c r="J2880" s="7" t="s">
        <v>148</v>
      </c>
      <c r="K2880" s="7"/>
      <c r="L2880" s="7"/>
      <c r="M2880" s="7"/>
    </row>
    <row r="2881" ht="15.75" customHeight="1">
      <c r="A2881" s="7" t="s">
        <v>14909</v>
      </c>
      <c r="B2881" s="45" t="s">
        <v>14910</v>
      </c>
      <c r="C2881" s="7"/>
      <c r="D2881" s="7" t="s">
        <v>14911</v>
      </c>
      <c r="E2881" s="7" t="s">
        <v>1747</v>
      </c>
      <c r="F2881" s="7" t="s">
        <v>1748</v>
      </c>
      <c r="G2881" s="7"/>
      <c r="H2881" s="47" t="s">
        <v>14727</v>
      </c>
      <c r="I2881" s="7" t="s">
        <v>160</v>
      </c>
      <c r="J2881" s="7" t="s">
        <v>148</v>
      </c>
      <c r="K2881" s="7"/>
      <c r="L2881" s="7"/>
      <c r="M2881" s="7"/>
    </row>
    <row r="2882" ht="15.75" customHeight="1">
      <c r="A2882" s="7" t="s">
        <v>14912</v>
      </c>
      <c r="B2882" s="45" t="s">
        <v>14913</v>
      </c>
      <c r="C2882" s="7"/>
      <c r="D2882" s="7" t="s">
        <v>14914</v>
      </c>
      <c r="E2882" s="7" t="s">
        <v>1794</v>
      </c>
      <c r="F2882" s="7" t="s">
        <v>1795</v>
      </c>
      <c r="G2882" s="7"/>
      <c r="H2882" s="47" t="s">
        <v>14727</v>
      </c>
      <c r="I2882" s="7" t="s">
        <v>160</v>
      </c>
      <c r="J2882" s="7" t="s">
        <v>148</v>
      </c>
      <c r="K2882" s="7"/>
      <c r="L2882" s="7"/>
      <c r="M2882" s="7"/>
    </row>
    <row r="2883" ht="15.75" customHeight="1">
      <c r="A2883" s="7" t="s">
        <v>14915</v>
      </c>
      <c r="B2883" s="45" t="s">
        <v>14916</v>
      </c>
      <c r="C2883" s="7"/>
      <c r="D2883" s="7" t="s">
        <v>4111</v>
      </c>
      <c r="E2883" s="7" t="s">
        <v>14917</v>
      </c>
      <c r="F2883" s="7" t="s">
        <v>14918</v>
      </c>
      <c r="G2883" s="7" t="s">
        <v>14919</v>
      </c>
      <c r="H2883" s="47" t="s">
        <v>14727</v>
      </c>
      <c r="I2883" s="7" t="s">
        <v>160</v>
      </c>
      <c r="J2883" s="7" t="s">
        <v>148</v>
      </c>
      <c r="K2883" s="7"/>
      <c r="L2883" s="7"/>
      <c r="M2883" s="7"/>
    </row>
    <row r="2884" ht="15.75" customHeight="1">
      <c r="A2884" s="7" t="s">
        <v>14920</v>
      </c>
      <c r="B2884" s="45" t="s">
        <v>14921</v>
      </c>
      <c r="C2884" s="7"/>
      <c r="D2884" s="7" t="s">
        <v>4652</v>
      </c>
      <c r="E2884" s="7" t="s">
        <v>14922</v>
      </c>
      <c r="F2884" s="7" t="s">
        <v>4654</v>
      </c>
      <c r="G2884" s="7" t="s">
        <v>14923</v>
      </c>
      <c r="H2884" s="47" t="s">
        <v>14727</v>
      </c>
      <c r="I2884" s="7" t="s">
        <v>160</v>
      </c>
      <c r="J2884" s="7" t="s">
        <v>148</v>
      </c>
      <c r="K2884" s="7"/>
      <c r="L2884" s="7"/>
      <c r="M2884" s="7"/>
    </row>
    <row r="2885" ht="15.75" customHeight="1">
      <c r="A2885" s="7" t="s">
        <v>14924</v>
      </c>
      <c r="B2885" s="45" t="s">
        <v>14925</v>
      </c>
      <c r="C2885" s="7"/>
      <c r="D2885" s="7" t="s">
        <v>14926</v>
      </c>
      <c r="E2885" s="7" t="s">
        <v>1996</v>
      </c>
      <c r="F2885" s="7" t="s">
        <v>1997</v>
      </c>
      <c r="G2885" s="7"/>
      <c r="H2885" s="47" t="s">
        <v>14727</v>
      </c>
      <c r="I2885" s="7" t="s">
        <v>160</v>
      </c>
      <c r="J2885" s="7" t="s">
        <v>148</v>
      </c>
      <c r="K2885" s="7"/>
      <c r="L2885" s="7"/>
      <c r="M2885" s="7"/>
    </row>
    <row r="2886" ht="15.75" customHeight="1">
      <c r="A2886" s="7" t="s">
        <v>14927</v>
      </c>
      <c r="B2886" s="45" t="s">
        <v>14928</v>
      </c>
      <c r="C2886" s="7"/>
      <c r="D2886" s="7" t="s">
        <v>14929</v>
      </c>
      <c r="E2886" s="7" t="s">
        <v>14930</v>
      </c>
      <c r="F2886" s="7" t="s">
        <v>14931</v>
      </c>
      <c r="G2886" s="7"/>
      <c r="H2886" s="47" t="s">
        <v>14727</v>
      </c>
      <c r="I2886" s="7" t="s">
        <v>160</v>
      </c>
      <c r="J2886" s="7" t="s">
        <v>148</v>
      </c>
      <c r="K2886" s="7"/>
      <c r="L2886" s="7"/>
      <c r="M2886" s="7"/>
    </row>
    <row r="2887" ht="15.75" customHeight="1">
      <c r="A2887" s="7" t="s">
        <v>14932</v>
      </c>
      <c r="B2887" s="45" t="s">
        <v>14933</v>
      </c>
      <c r="C2887" s="7"/>
      <c r="D2887" s="7" t="s">
        <v>1731</v>
      </c>
      <c r="E2887" s="7" t="s">
        <v>1732</v>
      </c>
      <c r="F2887" s="7" t="s">
        <v>1733</v>
      </c>
      <c r="G2887" s="7" t="s">
        <v>14934</v>
      </c>
      <c r="H2887" s="47" t="s">
        <v>14727</v>
      </c>
      <c r="I2887" s="7" t="s">
        <v>160</v>
      </c>
      <c r="J2887" s="7" t="s">
        <v>148</v>
      </c>
      <c r="K2887" s="7"/>
      <c r="L2887" s="7"/>
      <c r="M2887" s="7"/>
    </row>
    <row r="2888" ht="15.75" customHeight="1">
      <c r="A2888" s="7" t="s">
        <v>14935</v>
      </c>
      <c r="B2888" s="45" t="s">
        <v>14936</v>
      </c>
      <c r="C2888" s="7"/>
      <c r="D2888" s="7" t="s">
        <v>2102</v>
      </c>
      <c r="E2888" s="7" t="s">
        <v>2103</v>
      </c>
      <c r="F2888" s="7" t="s">
        <v>2092</v>
      </c>
      <c r="G2888" s="7"/>
      <c r="H2888" s="47" t="s">
        <v>14727</v>
      </c>
      <c r="I2888" s="7" t="s">
        <v>160</v>
      </c>
      <c r="J2888" s="7" t="s">
        <v>148</v>
      </c>
      <c r="K2888" s="7"/>
      <c r="L2888" s="7"/>
      <c r="M2888" s="7"/>
    </row>
    <row r="2889" ht="15.75" customHeight="1">
      <c r="A2889" s="7" t="s">
        <v>14937</v>
      </c>
      <c r="B2889" s="45" t="s">
        <v>14938</v>
      </c>
      <c r="C2889" s="7"/>
      <c r="D2889" s="7" t="s">
        <v>2107</v>
      </c>
      <c r="E2889" s="7" t="s">
        <v>2108</v>
      </c>
      <c r="F2889" s="7" t="s">
        <v>14939</v>
      </c>
      <c r="G2889" s="7"/>
      <c r="H2889" s="47" t="s">
        <v>14727</v>
      </c>
      <c r="I2889" s="7" t="s">
        <v>160</v>
      </c>
      <c r="J2889" s="7" t="s">
        <v>148</v>
      </c>
      <c r="K2889" s="7"/>
      <c r="L2889" s="7"/>
      <c r="M2889" s="7"/>
    </row>
    <row r="2890" ht="15.75" customHeight="1">
      <c r="A2890" s="7" t="s">
        <v>14940</v>
      </c>
      <c r="B2890" s="45" t="s">
        <v>14941</v>
      </c>
      <c r="C2890" s="7"/>
      <c r="D2890" s="7" t="s">
        <v>2183</v>
      </c>
      <c r="E2890" s="7" t="s">
        <v>2184</v>
      </c>
      <c r="F2890" s="7" t="s">
        <v>2185</v>
      </c>
      <c r="G2890" s="7"/>
      <c r="H2890" s="47" t="s">
        <v>14727</v>
      </c>
      <c r="I2890" s="7" t="s">
        <v>160</v>
      </c>
      <c r="J2890" s="7" t="s">
        <v>148</v>
      </c>
      <c r="K2890" s="7"/>
      <c r="L2890" s="7"/>
      <c r="M2890" s="7"/>
    </row>
    <row r="2891" ht="15.75" customHeight="1">
      <c r="A2891" s="7" t="s">
        <v>14942</v>
      </c>
      <c r="B2891" s="45" t="s">
        <v>14943</v>
      </c>
      <c r="C2891" s="7"/>
      <c r="D2891" s="7" t="s">
        <v>2204</v>
      </c>
      <c r="E2891" s="7" t="s">
        <v>2205</v>
      </c>
      <c r="F2891" s="7" t="s">
        <v>2206</v>
      </c>
      <c r="G2891" s="7"/>
      <c r="H2891" s="47" t="s">
        <v>14727</v>
      </c>
      <c r="I2891" s="7" t="s">
        <v>160</v>
      </c>
      <c r="J2891" s="7" t="s">
        <v>148</v>
      </c>
      <c r="K2891" s="7"/>
      <c r="L2891" s="7"/>
      <c r="M2891" s="7"/>
    </row>
    <row r="2892" ht="15.75" customHeight="1">
      <c r="A2892" s="7" t="s">
        <v>14944</v>
      </c>
      <c r="B2892" s="45" t="s">
        <v>14945</v>
      </c>
      <c r="C2892" s="7"/>
      <c r="D2892" s="7" t="s">
        <v>14946</v>
      </c>
      <c r="E2892" s="7" t="s">
        <v>14947</v>
      </c>
      <c r="F2892" s="7" t="s">
        <v>14948</v>
      </c>
      <c r="G2892" s="7"/>
      <c r="H2892" s="47" t="s">
        <v>14727</v>
      </c>
      <c r="I2892" s="7" t="s">
        <v>160</v>
      </c>
      <c r="J2892" s="7" t="s">
        <v>148</v>
      </c>
      <c r="K2892" s="7"/>
      <c r="L2892" s="7"/>
      <c r="M2892" s="7"/>
    </row>
    <row r="2893" ht="15.75" customHeight="1">
      <c r="A2893" s="7" t="s">
        <v>14949</v>
      </c>
      <c r="B2893" s="45" t="s">
        <v>14950</v>
      </c>
      <c r="C2893" s="7"/>
      <c r="D2893" s="7" t="s">
        <v>14946</v>
      </c>
      <c r="E2893" s="7" t="s">
        <v>14947</v>
      </c>
      <c r="F2893" s="7" t="s">
        <v>14948</v>
      </c>
      <c r="G2893" s="7"/>
      <c r="H2893" s="47" t="s">
        <v>14727</v>
      </c>
      <c r="I2893" s="7" t="s">
        <v>160</v>
      </c>
      <c r="J2893" s="7" t="s">
        <v>148</v>
      </c>
      <c r="K2893" s="7"/>
      <c r="L2893" s="7"/>
      <c r="M2893" s="7"/>
    </row>
    <row r="2894" ht="15.75" customHeight="1">
      <c r="A2894" s="7" t="s">
        <v>14951</v>
      </c>
      <c r="B2894" s="45" t="s">
        <v>14952</v>
      </c>
      <c r="C2894" s="7"/>
      <c r="D2894" s="7" t="s">
        <v>2259</v>
      </c>
      <c r="E2894" s="7"/>
      <c r="F2894" s="7" t="s">
        <v>2261</v>
      </c>
      <c r="G2894" s="7"/>
      <c r="H2894" s="47" t="s">
        <v>14727</v>
      </c>
      <c r="I2894" s="7" t="s">
        <v>160</v>
      </c>
      <c r="J2894" s="7" t="s">
        <v>148</v>
      </c>
      <c r="K2894" s="7"/>
      <c r="L2894" s="7"/>
      <c r="M2894" s="7"/>
    </row>
    <row r="2895" ht="15.75" customHeight="1">
      <c r="A2895" s="7" t="s">
        <v>14953</v>
      </c>
      <c r="B2895" s="45" t="s">
        <v>14954</v>
      </c>
      <c r="C2895" s="7"/>
      <c r="D2895" s="7" t="s">
        <v>5921</v>
      </c>
      <c r="E2895" s="7" t="s">
        <v>14955</v>
      </c>
      <c r="F2895" s="7" t="s">
        <v>14956</v>
      </c>
      <c r="G2895" s="7"/>
      <c r="H2895" s="47" t="s">
        <v>14727</v>
      </c>
      <c r="I2895" s="7" t="s">
        <v>160</v>
      </c>
      <c r="J2895" s="7" t="s">
        <v>148</v>
      </c>
      <c r="K2895" s="7"/>
      <c r="L2895" s="7"/>
      <c r="M2895" s="7"/>
    </row>
    <row r="2896" ht="15.75" customHeight="1">
      <c r="A2896" s="7" t="s">
        <v>14957</v>
      </c>
      <c r="B2896" s="45" t="s">
        <v>14958</v>
      </c>
      <c r="C2896" s="7"/>
      <c r="D2896" s="7" t="s">
        <v>2317</v>
      </c>
      <c r="E2896" s="7" t="s">
        <v>2318</v>
      </c>
      <c r="F2896" s="7" t="s">
        <v>2319</v>
      </c>
      <c r="G2896" s="7" t="s">
        <v>14959</v>
      </c>
      <c r="H2896" s="47" t="s">
        <v>14727</v>
      </c>
      <c r="I2896" s="7" t="s">
        <v>160</v>
      </c>
      <c r="J2896" s="7" t="s">
        <v>148</v>
      </c>
      <c r="K2896" s="7"/>
      <c r="L2896" s="7"/>
      <c r="M2896" s="7"/>
    </row>
    <row r="2897" ht="15.75" customHeight="1">
      <c r="A2897" s="7" t="s">
        <v>14960</v>
      </c>
      <c r="B2897" s="45" t="s">
        <v>14961</v>
      </c>
      <c r="C2897" s="7"/>
      <c r="D2897" s="7" t="s">
        <v>14962</v>
      </c>
      <c r="E2897" s="7" t="s">
        <v>14963</v>
      </c>
      <c r="F2897" s="7" t="s">
        <v>14964</v>
      </c>
      <c r="G2897" s="7"/>
      <c r="H2897" s="47" t="s">
        <v>14727</v>
      </c>
      <c r="I2897" s="7" t="s">
        <v>160</v>
      </c>
      <c r="J2897" s="7" t="s">
        <v>148</v>
      </c>
      <c r="K2897" s="7"/>
      <c r="L2897" s="7"/>
      <c r="M2897" s="7"/>
    </row>
    <row r="2898" ht="15.75" customHeight="1">
      <c r="A2898" s="7" t="s">
        <v>14965</v>
      </c>
      <c r="B2898" s="45" t="s">
        <v>14966</v>
      </c>
      <c r="C2898" s="7"/>
      <c r="D2898" s="7" t="s">
        <v>14967</v>
      </c>
      <c r="E2898" s="7" t="s">
        <v>14968</v>
      </c>
      <c r="F2898" s="7" t="s">
        <v>14969</v>
      </c>
      <c r="G2898" s="7"/>
      <c r="H2898" s="47" t="s">
        <v>14727</v>
      </c>
      <c r="I2898" s="7" t="s">
        <v>160</v>
      </c>
      <c r="J2898" s="7" t="s">
        <v>148</v>
      </c>
      <c r="K2898" s="7"/>
      <c r="L2898" s="7"/>
      <c r="M2898" s="7"/>
    </row>
    <row r="2899" ht="15.75" customHeight="1">
      <c r="A2899" s="7" t="s">
        <v>14970</v>
      </c>
      <c r="B2899" s="45" t="s">
        <v>14971</v>
      </c>
      <c r="C2899" s="7"/>
      <c r="D2899" s="7" t="s">
        <v>14972</v>
      </c>
      <c r="E2899" s="7" t="s">
        <v>14973</v>
      </c>
      <c r="F2899" s="7" t="s">
        <v>699</v>
      </c>
      <c r="G2899" s="7"/>
      <c r="H2899" s="47" t="s">
        <v>14727</v>
      </c>
      <c r="I2899" s="7" t="s">
        <v>160</v>
      </c>
      <c r="J2899" s="7" t="s">
        <v>148</v>
      </c>
      <c r="K2899" s="7"/>
      <c r="L2899" s="7"/>
      <c r="M2899" s="7"/>
    </row>
    <row r="2900" ht="15.75" customHeight="1">
      <c r="A2900" s="7" t="s">
        <v>14974</v>
      </c>
      <c r="B2900" s="45" t="s">
        <v>14975</v>
      </c>
      <c r="C2900" s="7"/>
      <c r="D2900" s="7" t="s">
        <v>14976</v>
      </c>
      <c r="E2900" s="7" t="s">
        <v>2559</v>
      </c>
      <c r="F2900" s="7" t="s">
        <v>2560</v>
      </c>
      <c r="G2900" s="7" t="s">
        <v>14977</v>
      </c>
      <c r="H2900" s="47" t="s">
        <v>14727</v>
      </c>
      <c r="I2900" s="7" t="s">
        <v>160</v>
      </c>
      <c r="J2900" s="7" t="s">
        <v>148</v>
      </c>
      <c r="K2900" s="7"/>
      <c r="L2900" s="7"/>
      <c r="M2900" s="7"/>
    </row>
    <row r="2901" ht="15.75" customHeight="1">
      <c r="A2901" s="7" t="s">
        <v>14978</v>
      </c>
      <c r="B2901" s="45" t="s">
        <v>14979</v>
      </c>
      <c r="C2901" s="7"/>
      <c r="D2901" s="7" t="s">
        <v>2564</v>
      </c>
      <c r="E2901" s="7"/>
      <c r="F2901" s="7" t="s">
        <v>2566</v>
      </c>
      <c r="G2901" s="7"/>
      <c r="H2901" s="47" t="s">
        <v>14727</v>
      </c>
      <c r="I2901" s="7" t="s">
        <v>160</v>
      </c>
      <c r="J2901" s="7" t="s">
        <v>148</v>
      </c>
      <c r="K2901" s="7"/>
      <c r="L2901" s="7"/>
      <c r="M2901" s="7"/>
    </row>
    <row r="2902" ht="15.75" customHeight="1">
      <c r="A2902" s="7" t="s">
        <v>14980</v>
      </c>
      <c r="B2902" s="45" t="s">
        <v>14981</v>
      </c>
      <c r="C2902" s="7"/>
      <c r="D2902" s="7" t="s">
        <v>14982</v>
      </c>
      <c r="E2902" s="7" t="s">
        <v>14317</v>
      </c>
      <c r="F2902" s="7" t="s">
        <v>14318</v>
      </c>
      <c r="G2902" s="7"/>
      <c r="H2902" s="47" t="s">
        <v>14727</v>
      </c>
      <c r="I2902" s="7" t="s">
        <v>160</v>
      </c>
      <c r="J2902" s="7" t="s">
        <v>148</v>
      </c>
      <c r="K2902" s="7"/>
      <c r="L2902" s="7"/>
      <c r="M2902" s="7"/>
    </row>
    <row r="2903" ht="15.75" customHeight="1">
      <c r="A2903" s="7" t="s">
        <v>14983</v>
      </c>
      <c r="B2903" s="45" t="s">
        <v>14984</v>
      </c>
      <c r="C2903" s="7"/>
      <c r="D2903" s="7" t="s">
        <v>2937</v>
      </c>
      <c r="E2903" s="7" t="s">
        <v>2938</v>
      </c>
      <c r="F2903" s="7" t="s">
        <v>2939</v>
      </c>
      <c r="G2903" s="7" t="s">
        <v>14985</v>
      </c>
      <c r="H2903" s="47" t="s">
        <v>14727</v>
      </c>
      <c r="I2903" s="7" t="s">
        <v>160</v>
      </c>
      <c r="J2903" s="7" t="s">
        <v>148</v>
      </c>
      <c r="K2903" s="7"/>
      <c r="L2903" s="7"/>
      <c r="M2903" s="7"/>
    </row>
    <row r="2904" ht="15.75" customHeight="1">
      <c r="A2904" s="7" t="s">
        <v>14986</v>
      </c>
      <c r="B2904" s="45" t="s">
        <v>14987</v>
      </c>
      <c r="C2904" s="7"/>
      <c r="D2904" s="7" t="s">
        <v>14988</v>
      </c>
      <c r="E2904" s="7" t="s">
        <v>1924</v>
      </c>
      <c r="F2904" s="7" t="s">
        <v>1925</v>
      </c>
      <c r="G2904" s="7" t="s">
        <v>4261</v>
      </c>
      <c r="H2904" s="47" t="s">
        <v>14727</v>
      </c>
      <c r="I2904" s="7" t="s">
        <v>160</v>
      </c>
      <c r="J2904" s="7" t="s">
        <v>148</v>
      </c>
      <c r="K2904" s="7"/>
      <c r="L2904" s="7"/>
      <c r="M2904" s="7"/>
    </row>
    <row r="2905" ht="15.75" customHeight="1">
      <c r="A2905" s="7" t="s">
        <v>14989</v>
      </c>
      <c r="B2905" s="45" t="s">
        <v>14990</v>
      </c>
      <c r="C2905" s="7"/>
      <c r="D2905" s="7" t="s">
        <v>4514</v>
      </c>
      <c r="E2905" s="7" t="s">
        <v>4515</v>
      </c>
      <c r="F2905" s="7" t="s">
        <v>4516</v>
      </c>
      <c r="G2905" s="7"/>
      <c r="H2905" s="47" t="s">
        <v>14727</v>
      </c>
      <c r="I2905" s="7" t="s">
        <v>160</v>
      </c>
      <c r="J2905" s="7" t="s">
        <v>148</v>
      </c>
      <c r="K2905" s="7"/>
      <c r="L2905" s="7"/>
      <c r="M2905" s="7"/>
    </row>
    <row r="2906" ht="15.75" customHeight="1">
      <c r="A2906" s="7" t="s">
        <v>14991</v>
      </c>
      <c r="B2906" s="45" t="s">
        <v>14992</v>
      </c>
      <c r="C2906" s="7"/>
      <c r="D2906" s="7" t="s">
        <v>9935</v>
      </c>
      <c r="E2906" s="7" t="s">
        <v>9936</v>
      </c>
      <c r="F2906" s="7" t="s">
        <v>9937</v>
      </c>
      <c r="G2906" s="7" t="s">
        <v>14993</v>
      </c>
      <c r="H2906" s="47" t="s">
        <v>14727</v>
      </c>
      <c r="I2906" s="7" t="s">
        <v>160</v>
      </c>
      <c r="J2906" s="7" t="s">
        <v>148</v>
      </c>
      <c r="K2906" s="7"/>
      <c r="L2906" s="7"/>
      <c r="M2906" s="7"/>
    </row>
    <row r="2907" ht="15.75" customHeight="1">
      <c r="A2907" s="7" t="s">
        <v>14994</v>
      </c>
      <c r="B2907" s="45" t="s">
        <v>14995</v>
      </c>
      <c r="C2907" s="7"/>
      <c r="D2907" s="7" t="s">
        <v>2216</v>
      </c>
      <c r="E2907" s="7" t="s">
        <v>14996</v>
      </c>
      <c r="F2907" s="7" t="s">
        <v>14997</v>
      </c>
      <c r="G2907" s="7"/>
      <c r="H2907" s="47" t="s">
        <v>14727</v>
      </c>
      <c r="I2907" s="7" t="s">
        <v>160</v>
      </c>
      <c r="J2907" s="7" t="s">
        <v>148</v>
      </c>
      <c r="K2907" s="7"/>
      <c r="L2907" s="7"/>
      <c r="M2907" s="7"/>
    </row>
    <row r="2908" ht="15.75" customHeight="1">
      <c r="A2908" s="7" t="s">
        <v>14998</v>
      </c>
      <c r="B2908" s="45" t="s">
        <v>14999</v>
      </c>
      <c r="C2908" s="7"/>
      <c r="D2908" s="7" t="s">
        <v>15000</v>
      </c>
      <c r="E2908" s="7" t="s">
        <v>4838</v>
      </c>
      <c r="F2908" s="7" t="s">
        <v>15001</v>
      </c>
      <c r="G2908" s="7" t="s">
        <v>15002</v>
      </c>
      <c r="H2908" s="47" t="s">
        <v>14727</v>
      </c>
      <c r="I2908" s="7" t="s">
        <v>160</v>
      </c>
      <c r="J2908" s="7" t="s">
        <v>148</v>
      </c>
      <c r="K2908" s="7"/>
      <c r="L2908" s="7"/>
      <c r="M2908" s="7"/>
    </row>
    <row r="2909" ht="15.75" customHeight="1">
      <c r="A2909" s="7" t="s">
        <v>15003</v>
      </c>
      <c r="B2909" s="45" t="s">
        <v>15004</v>
      </c>
      <c r="C2909" s="7"/>
      <c r="D2909" s="7" t="s">
        <v>15005</v>
      </c>
      <c r="E2909" s="7" t="s">
        <v>15006</v>
      </c>
      <c r="F2909" s="7" t="s">
        <v>15007</v>
      </c>
      <c r="G2909" s="7" t="s">
        <v>15008</v>
      </c>
      <c r="H2909" s="47" t="s">
        <v>14727</v>
      </c>
      <c r="I2909" s="7" t="s">
        <v>160</v>
      </c>
      <c r="J2909" s="7" t="s">
        <v>148</v>
      </c>
      <c r="K2909" s="7"/>
      <c r="L2909" s="7"/>
      <c r="M2909" s="7"/>
    </row>
    <row r="2910" ht="15.75" customHeight="1">
      <c r="A2910" s="7" t="s">
        <v>15009</v>
      </c>
      <c r="B2910" s="45" t="s">
        <v>15010</v>
      </c>
      <c r="C2910" s="7"/>
      <c r="D2910" s="7" t="s">
        <v>15011</v>
      </c>
      <c r="E2910" s="7" t="s">
        <v>3049</v>
      </c>
      <c r="F2910" s="7" t="s">
        <v>3050</v>
      </c>
      <c r="G2910" s="7" t="s">
        <v>14985</v>
      </c>
      <c r="H2910" s="47" t="s">
        <v>14727</v>
      </c>
      <c r="I2910" s="7" t="s">
        <v>160</v>
      </c>
      <c r="J2910" s="7" t="s">
        <v>148</v>
      </c>
      <c r="K2910" s="7"/>
      <c r="L2910" s="7"/>
      <c r="M2910" s="7"/>
    </row>
    <row r="2911" ht="15.75" customHeight="1">
      <c r="A2911" s="7" t="s">
        <v>15012</v>
      </c>
      <c r="B2911" s="45" t="s">
        <v>15013</v>
      </c>
      <c r="C2911" s="7"/>
      <c r="D2911" s="7" t="s">
        <v>15014</v>
      </c>
      <c r="E2911" s="7" t="s">
        <v>12327</v>
      </c>
      <c r="F2911" s="7" t="s">
        <v>12328</v>
      </c>
      <c r="G2911" s="7" t="s">
        <v>15015</v>
      </c>
      <c r="H2911" s="47" t="s">
        <v>14727</v>
      </c>
      <c r="I2911" s="7" t="s">
        <v>160</v>
      </c>
      <c r="J2911" s="7" t="s">
        <v>148</v>
      </c>
      <c r="K2911" s="7"/>
      <c r="L2911" s="7"/>
      <c r="M2911" s="7"/>
    </row>
    <row r="2912" ht="15.75" customHeight="1">
      <c r="A2912" s="7" t="s">
        <v>15016</v>
      </c>
      <c r="B2912" s="45" t="s">
        <v>15017</v>
      </c>
      <c r="C2912" s="7"/>
      <c r="D2912" s="7" t="s">
        <v>15018</v>
      </c>
      <c r="E2912" s="7" t="s">
        <v>3083</v>
      </c>
      <c r="F2912" s="7" t="s">
        <v>3084</v>
      </c>
      <c r="G2912" s="7"/>
      <c r="H2912" s="47" t="s">
        <v>14727</v>
      </c>
      <c r="I2912" s="7" t="s">
        <v>160</v>
      </c>
      <c r="J2912" s="7" t="s">
        <v>148</v>
      </c>
      <c r="K2912" s="7"/>
      <c r="L2912" s="7"/>
      <c r="M2912" s="7"/>
    </row>
    <row r="2913" ht="15.75" customHeight="1">
      <c r="A2913" s="7" t="s">
        <v>15019</v>
      </c>
      <c r="B2913" s="45" t="s">
        <v>15020</v>
      </c>
      <c r="C2913" s="7"/>
      <c r="D2913" s="7" t="s">
        <v>3159</v>
      </c>
      <c r="E2913" s="7" t="s">
        <v>3160</v>
      </c>
      <c r="F2913" s="7" t="s">
        <v>3161</v>
      </c>
      <c r="G2913" s="7" t="s">
        <v>15021</v>
      </c>
      <c r="H2913" s="47" t="s">
        <v>14727</v>
      </c>
      <c r="I2913" s="7" t="s">
        <v>160</v>
      </c>
      <c r="J2913" s="7" t="s">
        <v>148</v>
      </c>
      <c r="K2913" s="7"/>
      <c r="L2913" s="7"/>
      <c r="M2913" s="7"/>
    </row>
    <row r="2914" ht="15.75" customHeight="1">
      <c r="A2914" s="7" t="s">
        <v>15022</v>
      </c>
      <c r="B2914" s="45" t="s">
        <v>15023</v>
      </c>
      <c r="C2914" s="7"/>
      <c r="D2914" s="7" t="s">
        <v>3235</v>
      </c>
      <c r="E2914" s="7" t="s">
        <v>15024</v>
      </c>
      <c r="F2914" s="7" t="s">
        <v>15025</v>
      </c>
      <c r="G2914" s="7" t="s">
        <v>15026</v>
      </c>
      <c r="H2914" s="47" t="s">
        <v>14727</v>
      </c>
      <c r="I2914" s="7" t="s">
        <v>160</v>
      </c>
      <c r="J2914" s="7" t="s">
        <v>148</v>
      </c>
      <c r="K2914" s="7"/>
      <c r="L2914" s="7"/>
      <c r="M2914" s="7"/>
    </row>
    <row r="2915" ht="15.75" customHeight="1">
      <c r="A2915" s="7" t="s">
        <v>15027</v>
      </c>
      <c r="B2915" s="45" t="s">
        <v>15028</v>
      </c>
      <c r="C2915" s="7"/>
      <c r="D2915" s="7" t="s">
        <v>15029</v>
      </c>
      <c r="E2915" s="7" t="s">
        <v>3194</v>
      </c>
      <c r="F2915" s="7" t="s">
        <v>3195</v>
      </c>
      <c r="G2915" s="7"/>
      <c r="H2915" s="47" t="s">
        <v>14727</v>
      </c>
      <c r="I2915" s="7" t="s">
        <v>160</v>
      </c>
      <c r="J2915" s="7" t="s">
        <v>148</v>
      </c>
      <c r="K2915" s="7"/>
      <c r="L2915" s="7"/>
      <c r="M2915" s="7"/>
    </row>
    <row r="2916" ht="15.75" customHeight="1">
      <c r="A2916" s="7" t="s">
        <v>15030</v>
      </c>
      <c r="B2916" s="45" t="s">
        <v>15031</v>
      </c>
      <c r="C2916" s="7"/>
      <c r="D2916" s="7" t="s">
        <v>15032</v>
      </c>
      <c r="E2916" s="7" t="s">
        <v>15033</v>
      </c>
      <c r="F2916" s="7" t="s">
        <v>3249</v>
      </c>
      <c r="G2916" s="7"/>
      <c r="H2916" s="47" t="s">
        <v>14727</v>
      </c>
      <c r="I2916" s="7" t="s">
        <v>160</v>
      </c>
      <c r="J2916" s="7" t="s">
        <v>148</v>
      </c>
      <c r="K2916" s="7"/>
      <c r="L2916" s="7"/>
      <c r="M2916" s="7"/>
    </row>
    <row r="2917" ht="15.75" customHeight="1">
      <c r="A2917" s="7" t="s">
        <v>15034</v>
      </c>
      <c r="B2917" s="45" t="s">
        <v>15035</v>
      </c>
      <c r="C2917" s="7"/>
      <c r="D2917" s="7" t="s">
        <v>15036</v>
      </c>
      <c r="E2917" s="7" t="s">
        <v>8857</v>
      </c>
      <c r="F2917" s="7" t="s">
        <v>15037</v>
      </c>
      <c r="G2917" s="7"/>
      <c r="H2917" s="47" t="s">
        <v>14727</v>
      </c>
      <c r="I2917" s="7" t="s">
        <v>160</v>
      </c>
      <c r="J2917" s="7" t="s">
        <v>148</v>
      </c>
      <c r="K2917" s="7"/>
      <c r="L2917" s="7"/>
      <c r="M2917" s="7"/>
    </row>
    <row r="2918" ht="15.75" customHeight="1">
      <c r="A2918" s="7" t="s">
        <v>15038</v>
      </c>
      <c r="B2918" s="45" t="s">
        <v>15039</v>
      </c>
      <c r="C2918" s="7"/>
      <c r="D2918" s="7" t="s">
        <v>3343</v>
      </c>
      <c r="E2918" s="7" t="s">
        <v>3344</v>
      </c>
      <c r="F2918" s="7" t="s">
        <v>3345</v>
      </c>
      <c r="G2918" s="7" t="s">
        <v>15040</v>
      </c>
      <c r="H2918" s="47" t="s">
        <v>14727</v>
      </c>
      <c r="I2918" s="7" t="s">
        <v>160</v>
      </c>
      <c r="J2918" s="7" t="s">
        <v>148</v>
      </c>
      <c r="K2918" s="7"/>
      <c r="L2918" s="7"/>
      <c r="M2918" s="7"/>
    </row>
    <row r="2919" ht="15.75" customHeight="1">
      <c r="A2919" s="7" t="s">
        <v>15041</v>
      </c>
      <c r="B2919" s="45" t="s">
        <v>15042</v>
      </c>
      <c r="C2919" s="7"/>
      <c r="D2919" s="7" t="s">
        <v>15043</v>
      </c>
      <c r="E2919" s="7" t="s">
        <v>3355</v>
      </c>
      <c r="F2919" s="7" t="s">
        <v>3356</v>
      </c>
      <c r="G2919" s="7"/>
      <c r="H2919" s="47" t="s">
        <v>14727</v>
      </c>
      <c r="I2919" s="7" t="s">
        <v>160</v>
      </c>
      <c r="J2919" s="7" t="s">
        <v>148</v>
      </c>
      <c r="K2919" s="7"/>
      <c r="L2919" s="7"/>
      <c r="M2919" s="7"/>
    </row>
    <row r="2920" ht="15.75" customHeight="1">
      <c r="A2920" s="7" t="s">
        <v>15044</v>
      </c>
      <c r="B2920" s="45" t="s">
        <v>15045</v>
      </c>
      <c r="C2920" s="7"/>
      <c r="D2920" s="7" t="s">
        <v>3366</v>
      </c>
      <c r="E2920" s="7" t="s">
        <v>3367</v>
      </c>
      <c r="F2920" s="7" t="s">
        <v>3368</v>
      </c>
      <c r="G2920" s="7" t="s">
        <v>15046</v>
      </c>
      <c r="H2920" s="47" t="s">
        <v>14727</v>
      </c>
      <c r="I2920" s="7" t="s">
        <v>160</v>
      </c>
      <c r="J2920" s="7" t="s">
        <v>148</v>
      </c>
      <c r="K2920" s="7"/>
      <c r="L2920" s="7"/>
      <c r="M2920" s="7"/>
    </row>
    <row r="2921" ht="15.75" customHeight="1">
      <c r="A2921" s="7" t="s">
        <v>15047</v>
      </c>
      <c r="B2921" s="45" t="s">
        <v>15048</v>
      </c>
      <c r="C2921" s="7"/>
      <c r="D2921" s="7" t="s">
        <v>13581</v>
      </c>
      <c r="E2921" s="7" t="s">
        <v>13582</v>
      </c>
      <c r="F2921" s="7" t="s">
        <v>13583</v>
      </c>
      <c r="G2921" s="7" t="s">
        <v>15049</v>
      </c>
      <c r="H2921" s="47" t="s">
        <v>14727</v>
      </c>
      <c r="I2921" s="7" t="s">
        <v>160</v>
      </c>
      <c r="J2921" s="7" t="s">
        <v>148</v>
      </c>
      <c r="K2921" s="7"/>
      <c r="L2921" s="7"/>
      <c r="M2921" s="7"/>
    </row>
    <row r="2922" ht="15.75" customHeight="1">
      <c r="A2922" s="7" t="s">
        <v>15050</v>
      </c>
      <c r="B2922" s="45" t="s">
        <v>15051</v>
      </c>
      <c r="C2922" s="7"/>
      <c r="D2922" s="7" t="s">
        <v>3994</v>
      </c>
      <c r="E2922" s="7" t="s">
        <v>15052</v>
      </c>
      <c r="F2922" s="7" t="s">
        <v>3996</v>
      </c>
      <c r="G2922" s="7"/>
      <c r="H2922" s="47" t="s">
        <v>14727</v>
      </c>
      <c r="I2922" s="7" t="s">
        <v>160</v>
      </c>
      <c r="J2922" s="7" t="s">
        <v>148</v>
      </c>
      <c r="K2922" s="7"/>
      <c r="L2922" s="7"/>
      <c r="M2922" s="7"/>
    </row>
    <row r="2923" ht="15.75" customHeight="1">
      <c r="A2923" s="7" t="s">
        <v>15053</v>
      </c>
      <c r="B2923" s="45" t="s">
        <v>15054</v>
      </c>
      <c r="C2923" s="7"/>
      <c r="D2923" s="7" t="s">
        <v>15055</v>
      </c>
      <c r="E2923" s="7" t="s">
        <v>1924</v>
      </c>
      <c r="F2923" s="7" t="s">
        <v>3759</v>
      </c>
      <c r="G2923" s="7" t="s">
        <v>15056</v>
      </c>
      <c r="H2923" s="47" t="s">
        <v>14727</v>
      </c>
      <c r="I2923" s="7" t="s">
        <v>160</v>
      </c>
      <c r="J2923" s="7" t="s">
        <v>148</v>
      </c>
      <c r="K2923" s="7"/>
      <c r="L2923" s="7"/>
      <c r="M2923" s="7"/>
    </row>
    <row r="2924" ht="15.75" customHeight="1">
      <c r="A2924" s="7" t="s">
        <v>15057</v>
      </c>
      <c r="B2924" s="45" t="s">
        <v>15058</v>
      </c>
      <c r="C2924" s="7"/>
      <c r="D2924" s="7" t="s">
        <v>15059</v>
      </c>
      <c r="E2924" s="7" t="s">
        <v>3417</v>
      </c>
      <c r="F2924" s="7" t="s">
        <v>3399</v>
      </c>
      <c r="G2924" s="7" t="s">
        <v>15060</v>
      </c>
      <c r="H2924" s="47" t="s">
        <v>14727</v>
      </c>
      <c r="I2924" s="7" t="s">
        <v>160</v>
      </c>
      <c r="J2924" s="7" t="s">
        <v>148</v>
      </c>
      <c r="K2924" s="7"/>
      <c r="L2924" s="7"/>
      <c r="M2924" s="7"/>
    </row>
    <row r="2925" ht="15.75" customHeight="1">
      <c r="A2925" s="7" t="s">
        <v>15061</v>
      </c>
      <c r="B2925" s="45" t="s">
        <v>15062</v>
      </c>
      <c r="C2925" s="7"/>
      <c r="D2925" s="7" t="s">
        <v>15063</v>
      </c>
      <c r="E2925" s="7" t="s">
        <v>4072</v>
      </c>
      <c r="F2925" s="7" t="s">
        <v>4073</v>
      </c>
      <c r="G2925" s="7"/>
      <c r="H2925" s="47" t="s">
        <v>14727</v>
      </c>
      <c r="I2925" s="7" t="s">
        <v>160</v>
      </c>
      <c r="J2925" s="7" t="s">
        <v>148</v>
      </c>
      <c r="K2925" s="7"/>
      <c r="L2925" s="7"/>
      <c r="M2925" s="7"/>
    </row>
    <row r="2926" ht="15.75" customHeight="1">
      <c r="A2926" s="7" t="s">
        <v>15064</v>
      </c>
      <c r="B2926" s="45" t="s">
        <v>15065</v>
      </c>
      <c r="C2926" s="7"/>
      <c r="D2926" s="7" t="s">
        <v>15066</v>
      </c>
      <c r="E2926" s="7" t="s">
        <v>3909</v>
      </c>
      <c r="F2926" s="7" t="s">
        <v>3910</v>
      </c>
      <c r="G2926" s="7" t="s">
        <v>15067</v>
      </c>
      <c r="H2926" s="47" t="s">
        <v>14727</v>
      </c>
      <c r="I2926" s="7" t="s">
        <v>160</v>
      </c>
      <c r="J2926" s="7" t="s">
        <v>148</v>
      </c>
      <c r="K2926" s="7"/>
      <c r="L2926" s="7"/>
      <c r="M2926" s="7"/>
    </row>
    <row r="2927" ht="15.75" customHeight="1">
      <c r="A2927" s="7" t="s">
        <v>15068</v>
      </c>
      <c r="B2927" s="45" t="s">
        <v>15069</v>
      </c>
      <c r="C2927" s="7"/>
      <c r="D2927" s="7" t="s">
        <v>3488</v>
      </c>
      <c r="E2927" s="7" t="s">
        <v>3489</v>
      </c>
      <c r="F2927" s="7" t="s">
        <v>3490</v>
      </c>
      <c r="G2927" s="7"/>
      <c r="H2927" s="47" t="s">
        <v>14727</v>
      </c>
      <c r="I2927" s="7" t="s">
        <v>160</v>
      </c>
      <c r="J2927" s="7" t="s">
        <v>148</v>
      </c>
      <c r="K2927" s="7"/>
      <c r="L2927" s="7"/>
      <c r="M2927" s="7"/>
    </row>
    <row r="2928" ht="15.75" customHeight="1">
      <c r="A2928" s="7" t="s">
        <v>15070</v>
      </c>
      <c r="B2928" s="45" t="s">
        <v>15071</v>
      </c>
      <c r="C2928" s="7"/>
      <c r="D2928" s="7" t="s">
        <v>15072</v>
      </c>
      <c r="E2928" s="7" t="s">
        <v>3551</v>
      </c>
      <c r="F2928" s="7" t="s">
        <v>3552</v>
      </c>
      <c r="G2928" s="7"/>
      <c r="H2928" s="47" t="s">
        <v>14727</v>
      </c>
      <c r="I2928" s="7" t="s">
        <v>160</v>
      </c>
      <c r="J2928" s="7" t="s">
        <v>148</v>
      </c>
      <c r="K2928" s="7"/>
      <c r="L2928" s="7"/>
      <c r="M2928" s="7"/>
    </row>
    <row r="2929" ht="15.75" customHeight="1">
      <c r="A2929" s="7" t="s">
        <v>15073</v>
      </c>
      <c r="B2929" s="45" t="s">
        <v>15074</v>
      </c>
      <c r="C2929" s="7"/>
      <c r="D2929" s="7" t="s">
        <v>3582</v>
      </c>
      <c r="E2929" s="7" t="s">
        <v>3583</v>
      </c>
      <c r="F2929" s="7" t="s">
        <v>3584</v>
      </c>
      <c r="G2929" s="7"/>
      <c r="H2929" s="47" t="s">
        <v>14727</v>
      </c>
      <c r="I2929" s="7" t="s">
        <v>160</v>
      </c>
      <c r="J2929" s="7" t="s">
        <v>148</v>
      </c>
      <c r="K2929" s="7"/>
      <c r="L2929" s="7"/>
      <c r="M2929" s="7"/>
    </row>
    <row r="2930" ht="15.75" customHeight="1">
      <c r="A2930" s="7" t="s">
        <v>15075</v>
      </c>
      <c r="B2930" s="45" t="s">
        <v>15076</v>
      </c>
      <c r="C2930" s="7"/>
      <c r="D2930" s="7" t="s">
        <v>3594</v>
      </c>
      <c r="E2930" s="7" t="s">
        <v>3601</v>
      </c>
      <c r="F2930" s="7" t="s">
        <v>15077</v>
      </c>
      <c r="G2930" s="7"/>
      <c r="H2930" s="47" t="s">
        <v>14727</v>
      </c>
      <c r="I2930" s="7" t="s">
        <v>160</v>
      </c>
      <c r="J2930" s="7" t="s">
        <v>148</v>
      </c>
      <c r="K2930" s="7"/>
      <c r="L2930" s="7"/>
      <c r="M2930" s="7"/>
    </row>
    <row r="2931" ht="15.75" customHeight="1">
      <c r="A2931" s="7" t="s">
        <v>15078</v>
      </c>
      <c r="B2931" s="45" t="s">
        <v>15079</v>
      </c>
      <c r="C2931" s="7"/>
      <c r="D2931" s="7" t="s">
        <v>3631</v>
      </c>
      <c r="E2931" s="7" t="s">
        <v>3632</v>
      </c>
      <c r="F2931" s="7" t="s">
        <v>3633</v>
      </c>
      <c r="G2931" s="7"/>
      <c r="H2931" s="47" t="s">
        <v>14727</v>
      </c>
      <c r="I2931" s="7" t="s">
        <v>160</v>
      </c>
      <c r="J2931" s="7" t="s">
        <v>148</v>
      </c>
      <c r="K2931" s="7"/>
      <c r="L2931" s="7"/>
      <c r="M2931" s="7"/>
    </row>
    <row r="2932" ht="15.75" customHeight="1">
      <c r="A2932" s="7" t="s">
        <v>15080</v>
      </c>
      <c r="B2932" s="45" t="s">
        <v>15081</v>
      </c>
      <c r="C2932" s="7"/>
      <c r="D2932" s="7" t="s">
        <v>15082</v>
      </c>
      <c r="E2932" s="7" t="s">
        <v>15083</v>
      </c>
      <c r="F2932" s="7" t="s">
        <v>3671</v>
      </c>
      <c r="G2932" s="7"/>
      <c r="H2932" s="47" t="s">
        <v>14727</v>
      </c>
      <c r="I2932" s="7" t="s">
        <v>160</v>
      </c>
      <c r="J2932" s="7" t="s">
        <v>148</v>
      </c>
      <c r="K2932" s="7"/>
      <c r="L2932" s="7"/>
      <c r="M2932" s="7"/>
    </row>
    <row r="2933" ht="15.75" customHeight="1">
      <c r="A2933" s="7" t="s">
        <v>15084</v>
      </c>
      <c r="B2933" s="45" t="s">
        <v>15085</v>
      </c>
      <c r="C2933" s="7"/>
      <c r="D2933" s="7" t="s">
        <v>15086</v>
      </c>
      <c r="E2933" s="7" t="s">
        <v>4095</v>
      </c>
      <c r="F2933" s="7" t="s">
        <v>4096</v>
      </c>
      <c r="G2933" s="7"/>
      <c r="H2933" s="47" t="s">
        <v>14727</v>
      </c>
      <c r="I2933" s="7" t="s">
        <v>160</v>
      </c>
      <c r="J2933" s="7" t="s">
        <v>148</v>
      </c>
      <c r="K2933" s="7"/>
      <c r="L2933" s="7"/>
      <c r="M2933" s="7"/>
    </row>
    <row r="2934" ht="15.75" customHeight="1">
      <c r="A2934" s="7" t="s">
        <v>15087</v>
      </c>
      <c r="B2934" s="45" t="s">
        <v>15088</v>
      </c>
      <c r="C2934" s="7"/>
      <c r="D2934" s="7" t="s">
        <v>3689</v>
      </c>
      <c r="E2934" s="7" t="s">
        <v>15089</v>
      </c>
      <c r="F2934" s="7" t="s">
        <v>3690</v>
      </c>
      <c r="G2934" s="7"/>
      <c r="H2934" s="47" t="s">
        <v>14727</v>
      </c>
      <c r="I2934" s="7" t="s">
        <v>160</v>
      </c>
      <c r="J2934" s="7" t="s">
        <v>148</v>
      </c>
      <c r="K2934" s="7"/>
      <c r="L2934" s="7"/>
      <c r="M2934" s="7"/>
    </row>
    <row r="2935" ht="15.75" customHeight="1">
      <c r="A2935" s="7" t="s">
        <v>15090</v>
      </c>
      <c r="B2935" s="45" t="s">
        <v>15091</v>
      </c>
      <c r="C2935" s="7"/>
      <c r="D2935" s="7" t="s">
        <v>15092</v>
      </c>
      <c r="E2935" s="7" t="s">
        <v>15093</v>
      </c>
      <c r="F2935" s="7" t="s">
        <v>4290</v>
      </c>
      <c r="G2935" s="7"/>
      <c r="H2935" s="47" t="s">
        <v>14727</v>
      </c>
      <c r="I2935" s="7" t="s">
        <v>160</v>
      </c>
      <c r="J2935" s="7" t="s">
        <v>148</v>
      </c>
      <c r="K2935" s="7"/>
      <c r="L2935" s="7"/>
      <c r="M2935" s="7"/>
    </row>
    <row r="2936" ht="15.75" customHeight="1">
      <c r="A2936" s="7" t="s">
        <v>15094</v>
      </c>
      <c r="B2936" s="45" t="s">
        <v>15095</v>
      </c>
      <c r="C2936" s="7"/>
      <c r="D2936" s="7" t="s">
        <v>3815</v>
      </c>
      <c r="E2936" s="7" t="s">
        <v>3816</v>
      </c>
      <c r="F2936" s="7" t="s">
        <v>3817</v>
      </c>
      <c r="G2936" s="7" t="s">
        <v>15096</v>
      </c>
      <c r="H2936" s="47" t="s">
        <v>14727</v>
      </c>
      <c r="I2936" s="7" t="s">
        <v>160</v>
      </c>
      <c r="J2936" s="7" t="s">
        <v>148</v>
      </c>
      <c r="K2936" s="7"/>
      <c r="L2936" s="7"/>
      <c r="M2936" s="7"/>
    </row>
    <row r="2937" ht="15.75" customHeight="1">
      <c r="A2937" s="7" t="s">
        <v>15097</v>
      </c>
      <c r="B2937" s="45" t="s">
        <v>15098</v>
      </c>
      <c r="C2937" s="7"/>
      <c r="D2937" s="7" t="s">
        <v>12882</v>
      </c>
      <c r="E2937" s="7" t="s">
        <v>9818</v>
      </c>
      <c r="F2937" s="7" t="s">
        <v>9819</v>
      </c>
      <c r="G2937" s="7"/>
      <c r="H2937" s="47" t="s">
        <v>14727</v>
      </c>
      <c r="I2937" s="7" t="s">
        <v>160</v>
      </c>
      <c r="J2937" s="7" t="s">
        <v>148</v>
      </c>
      <c r="K2937" s="7"/>
      <c r="L2937" s="7"/>
      <c r="M2937" s="7"/>
    </row>
    <row r="2938" ht="15.75" customHeight="1">
      <c r="A2938" s="7" t="s">
        <v>15099</v>
      </c>
      <c r="B2938" s="45" t="s">
        <v>15100</v>
      </c>
      <c r="C2938" s="7"/>
      <c r="D2938" s="7" t="s">
        <v>3858</v>
      </c>
      <c r="E2938" s="7" t="s">
        <v>15101</v>
      </c>
      <c r="F2938" s="7" t="s">
        <v>3860</v>
      </c>
      <c r="G2938" s="7" t="s">
        <v>15102</v>
      </c>
      <c r="H2938" s="47" t="s">
        <v>14727</v>
      </c>
      <c r="I2938" s="7" t="s">
        <v>160</v>
      </c>
      <c r="J2938" s="7" t="s">
        <v>148</v>
      </c>
      <c r="K2938" s="7"/>
      <c r="L2938" s="7"/>
      <c r="M2938" s="7"/>
    </row>
    <row r="2939" ht="15.75" customHeight="1">
      <c r="A2939" s="7" t="s">
        <v>15103</v>
      </c>
      <c r="B2939" s="45" t="s">
        <v>15104</v>
      </c>
      <c r="C2939" s="7"/>
      <c r="D2939" s="7" t="s">
        <v>12332</v>
      </c>
      <c r="E2939" s="7" t="s">
        <v>12327</v>
      </c>
      <c r="F2939" s="7" t="s">
        <v>12328</v>
      </c>
      <c r="G2939" s="7"/>
      <c r="H2939" s="47" t="s">
        <v>14727</v>
      </c>
      <c r="I2939" s="7" t="s">
        <v>160</v>
      </c>
      <c r="J2939" s="7" t="s">
        <v>148</v>
      </c>
      <c r="K2939" s="7"/>
      <c r="L2939" s="7"/>
      <c r="M2939" s="7"/>
    </row>
    <row r="2940" ht="15.75" customHeight="1">
      <c r="A2940" s="7" t="s">
        <v>15105</v>
      </c>
      <c r="B2940" s="45" t="s">
        <v>15106</v>
      </c>
      <c r="C2940" s="7"/>
      <c r="D2940" s="7" t="s">
        <v>15107</v>
      </c>
      <c r="E2940" s="7" t="s">
        <v>3933</v>
      </c>
      <c r="F2940" s="7" t="s">
        <v>3934</v>
      </c>
      <c r="G2940" s="7"/>
      <c r="H2940" s="47" t="s">
        <v>14727</v>
      </c>
      <c r="I2940" s="7" t="s">
        <v>160</v>
      </c>
      <c r="J2940" s="7" t="s">
        <v>148</v>
      </c>
      <c r="K2940" s="7"/>
      <c r="L2940" s="7"/>
      <c r="M2940" s="7"/>
    </row>
    <row r="2941" ht="15.75" customHeight="1">
      <c r="A2941" s="7" t="s">
        <v>15108</v>
      </c>
      <c r="B2941" s="45" t="s">
        <v>15109</v>
      </c>
      <c r="C2941" s="7"/>
      <c r="D2941" s="7" t="s">
        <v>3724</v>
      </c>
      <c r="E2941" s="7" t="s">
        <v>3725</v>
      </c>
      <c r="F2941" s="7" t="s">
        <v>3726</v>
      </c>
      <c r="G2941" s="7"/>
      <c r="H2941" s="47" t="s">
        <v>14727</v>
      </c>
      <c r="I2941" s="7" t="s">
        <v>160</v>
      </c>
      <c r="J2941" s="7" t="s">
        <v>148</v>
      </c>
      <c r="K2941" s="7"/>
      <c r="L2941" s="7"/>
      <c r="M2941" s="7"/>
    </row>
    <row r="2942" ht="15.75" customHeight="1">
      <c r="A2942" s="7" t="s">
        <v>15110</v>
      </c>
      <c r="B2942" s="45" t="s">
        <v>15111</v>
      </c>
      <c r="C2942" s="7"/>
      <c r="D2942" s="7" t="s">
        <v>15112</v>
      </c>
      <c r="E2942" s="7" t="s">
        <v>15113</v>
      </c>
      <c r="F2942" s="7" t="s">
        <v>4920</v>
      </c>
      <c r="G2942" s="7" t="s">
        <v>15114</v>
      </c>
      <c r="H2942" s="47" t="s">
        <v>14727</v>
      </c>
      <c r="I2942" s="7" t="s">
        <v>160</v>
      </c>
      <c r="J2942" s="7" t="s">
        <v>148</v>
      </c>
      <c r="K2942" s="7"/>
      <c r="L2942" s="7"/>
      <c r="M2942" s="7"/>
    </row>
    <row r="2943" ht="15.75" customHeight="1">
      <c r="A2943" s="7" t="s">
        <v>15115</v>
      </c>
      <c r="B2943" s="45" t="s">
        <v>15116</v>
      </c>
      <c r="C2943" s="7"/>
      <c r="D2943" s="7" t="s">
        <v>12363</v>
      </c>
      <c r="E2943" s="7" t="s">
        <v>12364</v>
      </c>
      <c r="F2943" s="7" t="s">
        <v>12365</v>
      </c>
      <c r="G2943" s="7" t="s">
        <v>15117</v>
      </c>
      <c r="H2943" s="47" t="s">
        <v>14727</v>
      </c>
      <c r="I2943" s="7" t="s">
        <v>160</v>
      </c>
      <c r="J2943" s="7" t="s">
        <v>148</v>
      </c>
      <c r="K2943" s="7"/>
      <c r="L2943" s="7"/>
      <c r="M2943" s="7"/>
    </row>
    <row r="2944" ht="15.75" customHeight="1">
      <c r="A2944" s="7" t="s">
        <v>15118</v>
      </c>
      <c r="B2944" s="45" t="s">
        <v>15119</v>
      </c>
      <c r="C2944" s="7"/>
      <c r="D2944" s="7" t="s">
        <v>3199</v>
      </c>
      <c r="E2944" s="7" t="s">
        <v>3200</v>
      </c>
      <c r="F2944" s="7" t="s">
        <v>3201</v>
      </c>
      <c r="G2944" s="7" t="s">
        <v>15120</v>
      </c>
      <c r="H2944" s="47" t="s">
        <v>14727</v>
      </c>
      <c r="I2944" s="7" t="s">
        <v>160</v>
      </c>
      <c r="J2944" s="7" t="s">
        <v>148</v>
      </c>
      <c r="K2944" s="7"/>
      <c r="L2944" s="7"/>
      <c r="M2944" s="7"/>
    </row>
    <row r="2945" ht="15.75" customHeight="1">
      <c r="A2945" s="7" t="s">
        <v>15121</v>
      </c>
      <c r="B2945" s="45" t="s">
        <v>15122</v>
      </c>
      <c r="C2945" s="7"/>
      <c r="D2945" s="7" t="s">
        <v>3276</v>
      </c>
      <c r="E2945" s="7" t="s">
        <v>3277</v>
      </c>
      <c r="F2945" s="7" t="s">
        <v>3278</v>
      </c>
      <c r="G2945" s="7" t="s">
        <v>15123</v>
      </c>
      <c r="H2945" s="47" t="s">
        <v>14727</v>
      </c>
      <c r="I2945" s="7" t="s">
        <v>160</v>
      </c>
      <c r="J2945" s="7" t="s">
        <v>148</v>
      </c>
      <c r="K2945" s="7"/>
      <c r="L2945" s="7"/>
      <c r="M2945" s="7"/>
    </row>
    <row r="2946" ht="15.75" customHeight="1">
      <c r="A2946" s="7" t="s">
        <v>15124</v>
      </c>
      <c r="B2946" s="45" t="s">
        <v>15125</v>
      </c>
      <c r="C2946" s="7"/>
      <c r="D2946" s="7" t="s">
        <v>15126</v>
      </c>
      <c r="E2946" s="7" t="s">
        <v>4101</v>
      </c>
      <c r="F2946" s="7" t="s">
        <v>4102</v>
      </c>
      <c r="G2946" s="7" t="s">
        <v>15127</v>
      </c>
      <c r="H2946" s="47" t="s">
        <v>14727</v>
      </c>
      <c r="I2946" s="7" t="s">
        <v>160</v>
      </c>
      <c r="J2946" s="7" t="s">
        <v>148</v>
      </c>
      <c r="K2946" s="7"/>
      <c r="L2946" s="7"/>
      <c r="M2946" s="7"/>
    </row>
    <row r="2947" ht="15.75" customHeight="1">
      <c r="A2947" s="7" t="s">
        <v>15128</v>
      </c>
      <c r="B2947" s="45" t="s">
        <v>15129</v>
      </c>
      <c r="C2947" s="7"/>
      <c r="D2947" s="7" t="s">
        <v>1465</v>
      </c>
      <c r="E2947" s="7" t="s">
        <v>1466</v>
      </c>
      <c r="F2947" s="7" t="s">
        <v>1455</v>
      </c>
      <c r="G2947" s="7" t="s">
        <v>15130</v>
      </c>
      <c r="H2947" s="47" t="s">
        <v>14727</v>
      </c>
      <c r="I2947" s="7" t="s">
        <v>160</v>
      </c>
      <c r="J2947" s="7" t="s">
        <v>148</v>
      </c>
      <c r="K2947" s="7"/>
      <c r="L2947" s="7"/>
      <c r="M2947" s="7"/>
    </row>
    <row r="2948" ht="15.75" customHeight="1">
      <c r="A2948" s="7" t="s">
        <v>15131</v>
      </c>
      <c r="B2948" s="45" t="s">
        <v>15132</v>
      </c>
      <c r="C2948" s="7"/>
      <c r="D2948" s="7" t="s">
        <v>15133</v>
      </c>
      <c r="E2948" s="7" t="s">
        <v>3978</v>
      </c>
      <c r="F2948" s="7" t="s">
        <v>1493</v>
      </c>
      <c r="G2948" s="7"/>
      <c r="H2948" s="47" t="s">
        <v>14727</v>
      </c>
      <c r="I2948" s="7" t="s">
        <v>160</v>
      </c>
      <c r="J2948" s="7" t="s">
        <v>148</v>
      </c>
      <c r="K2948" s="7"/>
      <c r="L2948" s="7"/>
      <c r="M2948" s="7"/>
    </row>
    <row r="2949" ht="15.75" customHeight="1">
      <c r="A2949" s="7" t="s">
        <v>15134</v>
      </c>
      <c r="B2949" s="45" t="s">
        <v>15135</v>
      </c>
      <c r="C2949" s="7"/>
      <c r="D2949" s="7" t="s">
        <v>15136</v>
      </c>
      <c r="E2949" s="7" t="s">
        <v>4124</v>
      </c>
      <c r="F2949" s="7" t="s">
        <v>4125</v>
      </c>
      <c r="G2949" s="7"/>
      <c r="H2949" s="47" t="s">
        <v>14727</v>
      </c>
      <c r="I2949" s="7" t="s">
        <v>160</v>
      </c>
      <c r="J2949" s="7" t="s">
        <v>148</v>
      </c>
      <c r="K2949" s="7"/>
      <c r="L2949" s="7"/>
      <c r="M2949" s="7"/>
    </row>
    <row r="2950" ht="15.75" customHeight="1">
      <c r="A2950" s="7" t="s">
        <v>15137</v>
      </c>
      <c r="B2950" s="45" t="s">
        <v>15138</v>
      </c>
      <c r="C2950" s="7" t="s">
        <v>15139</v>
      </c>
      <c r="D2950" s="7" t="s">
        <v>15140</v>
      </c>
      <c r="E2950" s="7" t="s">
        <v>15141</v>
      </c>
      <c r="F2950" s="7"/>
      <c r="G2950" s="7"/>
      <c r="H2950" s="47" t="s">
        <v>14727</v>
      </c>
      <c r="I2950" s="7" t="s">
        <v>154</v>
      </c>
      <c r="J2950" s="7" t="s">
        <v>148</v>
      </c>
      <c r="K2950" s="7"/>
      <c r="L2950" s="7"/>
      <c r="M2950" s="7"/>
    </row>
    <row r="2951" ht="15.75" customHeight="1">
      <c r="A2951" s="7" t="s">
        <v>15142</v>
      </c>
      <c r="B2951" s="45" t="s">
        <v>15143</v>
      </c>
      <c r="C2951" s="7"/>
      <c r="D2951" s="7" t="s">
        <v>4930</v>
      </c>
      <c r="E2951" s="7" t="s">
        <v>4931</v>
      </c>
      <c r="F2951" s="7" t="s">
        <v>4932</v>
      </c>
      <c r="G2951" s="7"/>
      <c r="H2951" s="47" t="s">
        <v>14727</v>
      </c>
      <c r="I2951" s="7" t="s">
        <v>160</v>
      </c>
      <c r="J2951" s="7" t="s">
        <v>148</v>
      </c>
      <c r="K2951" s="7"/>
      <c r="L2951" s="7"/>
      <c r="M2951" s="7"/>
    </row>
    <row r="2952" ht="15.75" customHeight="1">
      <c r="A2952" s="7" t="s">
        <v>15144</v>
      </c>
      <c r="B2952" s="45" t="s">
        <v>15145</v>
      </c>
      <c r="C2952" s="7"/>
      <c r="D2952" s="7" t="s">
        <v>15146</v>
      </c>
      <c r="E2952" s="7" t="s">
        <v>15147</v>
      </c>
      <c r="F2952" s="7" t="s">
        <v>15148</v>
      </c>
      <c r="G2952" s="7" t="s">
        <v>15149</v>
      </c>
      <c r="H2952" s="47" t="s">
        <v>14727</v>
      </c>
      <c r="I2952" s="7" t="s">
        <v>160</v>
      </c>
      <c r="J2952" s="7" t="s">
        <v>148</v>
      </c>
      <c r="K2952" s="7"/>
      <c r="L2952" s="7"/>
      <c r="M2952" s="7"/>
    </row>
    <row r="2953" ht="15.75" customHeight="1">
      <c r="A2953" s="7" t="s">
        <v>15150</v>
      </c>
      <c r="B2953" s="45" t="s">
        <v>15151</v>
      </c>
      <c r="C2953" s="7"/>
      <c r="D2953" s="7" t="s">
        <v>15152</v>
      </c>
      <c r="E2953" s="7" t="s">
        <v>4250</v>
      </c>
      <c r="F2953" s="7" t="s">
        <v>4251</v>
      </c>
      <c r="G2953" s="7" t="s">
        <v>15153</v>
      </c>
      <c r="H2953" s="47" t="s">
        <v>14727</v>
      </c>
      <c r="I2953" s="7" t="s">
        <v>160</v>
      </c>
      <c r="J2953" s="7" t="s">
        <v>148</v>
      </c>
      <c r="K2953" s="7"/>
      <c r="L2953" s="7"/>
      <c r="M2953" s="7"/>
    </row>
    <row r="2954" ht="15.75" customHeight="1">
      <c r="A2954" s="7" t="s">
        <v>15154</v>
      </c>
      <c r="B2954" s="45" t="s">
        <v>15155</v>
      </c>
      <c r="C2954" s="7" t="s">
        <v>15156</v>
      </c>
      <c r="D2954" s="7" t="s">
        <v>15157</v>
      </c>
      <c r="E2954" s="7" t="s">
        <v>15158</v>
      </c>
      <c r="F2954" s="7"/>
      <c r="G2954" s="7"/>
      <c r="H2954" s="47" t="s">
        <v>14727</v>
      </c>
      <c r="I2954" s="7" t="s">
        <v>154</v>
      </c>
      <c r="J2954" s="7" t="s">
        <v>148</v>
      </c>
      <c r="K2954" s="7"/>
      <c r="L2954" s="7"/>
      <c r="M2954" s="7"/>
    </row>
    <row r="2955" ht="15.75" customHeight="1">
      <c r="A2955" s="7" t="s">
        <v>15159</v>
      </c>
      <c r="B2955" s="45" t="s">
        <v>15160</v>
      </c>
      <c r="C2955" s="7" t="s">
        <v>15161</v>
      </c>
      <c r="D2955" s="7" t="s">
        <v>15162</v>
      </c>
      <c r="E2955" s="7" t="s">
        <v>15163</v>
      </c>
      <c r="F2955" s="7"/>
      <c r="G2955" s="7"/>
      <c r="H2955" s="47" t="s">
        <v>14727</v>
      </c>
      <c r="I2955" s="7" t="s">
        <v>154</v>
      </c>
      <c r="J2955" s="7" t="s">
        <v>148</v>
      </c>
      <c r="K2955" s="7"/>
      <c r="L2955" s="7"/>
      <c r="M2955" s="7"/>
    </row>
    <row r="2956" ht="15.75" customHeight="1">
      <c r="A2956" s="7" t="s">
        <v>15164</v>
      </c>
      <c r="B2956" s="45" t="s">
        <v>15165</v>
      </c>
      <c r="C2956" s="7" t="s">
        <v>15166</v>
      </c>
      <c r="D2956" s="7" t="s">
        <v>15167</v>
      </c>
      <c r="E2956" s="7" t="s">
        <v>15168</v>
      </c>
      <c r="F2956" s="7"/>
      <c r="G2956" s="7"/>
      <c r="H2956" s="47" t="s">
        <v>14727</v>
      </c>
      <c r="I2956" s="7" t="s">
        <v>154</v>
      </c>
      <c r="J2956" s="7" t="s">
        <v>148</v>
      </c>
      <c r="K2956" s="7"/>
      <c r="L2956" s="7"/>
      <c r="M2956" s="7"/>
    </row>
    <row r="2957" ht="15.75" customHeight="1">
      <c r="A2957" s="7" t="s">
        <v>15169</v>
      </c>
      <c r="B2957" s="45" t="s">
        <v>15170</v>
      </c>
      <c r="C2957" s="7"/>
      <c r="D2957" s="7" t="s">
        <v>15171</v>
      </c>
      <c r="E2957" s="7" t="s">
        <v>15172</v>
      </c>
      <c r="F2957" s="7" t="s">
        <v>10310</v>
      </c>
      <c r="G2957" s="7"/>
      <c r="H2957" s="47" t="s">
        <v>14727</v>
      </c>
      <c r="I2957" s="7" t="s">
        <v>160</v>
      </c>
      <c r="J2957" s="7" t="s">
        <v>148</v>
      </c>
      <c r="K2957" s="7"/>
      <c r="L2957" s="7"/>
      <c r="M2957" s="7"/>
    </row>
    <row r="2958" ht="15.75" customHeight="1">
      <c r="A2958" s="7" t="s">
        <v>15173</v>
      </c>
      <c r="B2958" s="45" t="s">
        <v>15174</v>
      </c>
      <c r="C2958" s="7"/>
      <c r="D2958" s="7" t="s">
        <v>4312</v>
      </c>
      <c r="E2958" s="7" t="s">
        <v>4313</v>
      </c>
      <c r="F2958" s="7" t="s">
        <v>4314</v>
      </c>
      <c r="G2958" s="7"/>
      <c r="H2958" s="47" t="s">
        <v>14727</v>
      </c>
      <c r="I2958" s="7" t="s">
        <v>160</v>
      </c>
      <c r="J2958" s="7" t="s">
        <v>148</v>
      </c>
      <c r="K2958" s="7"/>
      <c r="L2958" s="7"/>
      <c r="M2958" s="7"/>
    </row>
    <row r="2959" ht="15.75" customHeight="1">
      <c r="A2959" s="7" t="s">
        <v>15175</v>
      </c>
      <c r="B2959" s="45" t="s">
        <v>15176</v>
      </c>
      <c r="C2959" s="7"/>
      <c r="D2959" s="7" t="s">
        <v>4138</v>
      </c>
      <c r="E2959" s="7" t="s">
        <v>4139</v>
      </c>
      <c r="F2959" s="7" t="s">
        <v>4140</v>
      </c>
      <c r="G2959" s="7"/>
      <c r="H2959" s="47" t="s">
        <v>14727</v>
      </c>
      <c r="I2959" s="7" t="s">
        <v>160</v>
      </c>
      <c r="J2959" s="7" t="s">
        <v>148</v>
      </c>
      <c r="K2959" s="7"/>
      <c r="L2959" s="7"/>
      <c r="M2959" s="7"/>
    </row>
    <row r="2960" ht="15.75" customHeight="1">
      <c r="A2960" s="7" t="s">
        <v>15177</v>
      </c>
      <c r="B2960" s="45" t="s">
        <v>15178</v>
      </c>
      <c r="C2960" s="7"/>
      <c r="D2960" s="7" t="s">
        <v>15179</v>
      </c>
      <c r="E2960" s="7" t="s">
        <v>15180</v>
      </c>
      <c r="F2960" s="7" t="s">
        <v>15181</v>
      </c>
      <c r="G2960" s="7"/>
      <c r="H2960" s="47" t="s">
        <v>14727</v>
      </c>
      <c r="I2960" s="7" t="s">
        <v>160</v>
      </c>
      <c r="J2960" s="7" t="s">
        <v>148</v>
      </c>
      <c r="K2960" s="7"/>
      <c r="L2960" s="7"/>
      <c r="M2960" s="7"/>
    </row>
    <row r="2961" ht="15.75" customHeight="1">
      <c r="A2961" s="7" t="s">
        <v>15182</v>
      </c>
      <c r="B2961" s="45" t="s">
        <v>15183</v>
      </c>
      <c r="C2961" s="7"/>
      <c r="D2961" s="7" t="s">
        <v>6109</v>
      </c>
      <c r="E2961" s="7" t="s">
        <v>15184</v>
      </c>
      <c r="F2961" s="7" t="s">
        <v>6111</v>
      </c>
      <c r="G2961" s="7" t="s">
        <v>15185</v>
      </c>
      <c r="H2961" s="47" t="s">
        <v>14727</v>
      </c>
      <c r="I2961" s="7" t="s">
        <v>160</v>
      </c>
      <c r="J2961" s="7" t="s">
        <v>148</v>
      </c>
      <c r="K2961" s="7"/>
      <c r="L2961" s="7"/>
      <c r="M2961" s="7"/>
    </row>
    <row r="2962" ht="15.75" customHeight="1">
      <c r="A2962" s="7" t="s">
        <v>15186</v>
      </c>
      <c r="B2962" s="45" t="s">
        <v>15187</v>
      </c>
      <c r="C2962" s="7"/>
      <c r="D2962" s="7" t="s">
        <v>15188</v>
      </c>
      <c r="E2962" s="7" t="s">
        <v>15189</v>
      </c>
      <c r="F2962" s="7" t="s">
        <v>7410</v>
      </c>
      <c r="G2962" s="7"/>
      <c r="H2962" s="47" t="s">
        <v>14727</v>
      </c>
      <c r="I2962" s="7" t="s">
        <v>160</v>
      </c>
      <c r="J2962" s="7" t="s">
        <v>148</v>
      </c>
      <c r="K2962" s="7"/>
      <c r="L2962" s="7"/>
      <c r="M2962" s="7"/>
    </row>
    <row r="2963" ht="15.75" customHeight="1">
      <c r="A2963" s="7" t="s">
        <v>15190</v>
      </c>
      <c r="B2963" s="45" t="s">
        <v>15191</v>
      </c>
      <c r="C2963" s="7"/>
      <c r="D2963" s="7" t="s">
        <v>15192</v>
      </c>
      <c r="E2963" s="7" t="s">
        <v>3989</v>
      </c>
      <c r="F2963" s="7" t="s">
        <v>15193</v>
      </c>
      <c r="G2963" s="7" t="s">
        <v>15194</v>
      </c>
      <c r="H2963" s="47" t="s">
        <v>14727</v>
      </c>
      <c r="I2963" s="7" t="s">
        <v>160</v>
      </c>
      <c r="J2963" s="7" t="s">
        <v>148</v>
      </c>
      <c r="K2963" s="7"/>
      <c r="L2963" s="7"/>
      <c r="M2963" s="7"/>
    </row>
    <row r="2964" ht="15.75" customHeight="1">
      <c r="A2964" s="7" t="s">
        <v>15195</v>
      </c>
      <c r="B2964" s="45" t="s">
        <v>15196</v>
      </c>
      <c r="C2964" s="7"/>
      <c r="D2964" s="7" t="s">
        <v>4526</v>
      </c>
      <c r="E2964" s="7" t="s">
        <v>4527</v>
      </c>
      <c r="F2964" s="7" t="s">
        <v>4528</v>
      </c>
      <c r="G2964" s="7"/>
      <c r="H2964" s="47" t="s">
        <v>14727</v>
      </c>
      <c r="I2964" s="7" t="s">
        <v>160</v>
      </c>
      <c r="J2964" s="7" t="s">
        <v>148</v>
      </c>
      <c r="K2964" s="7"/>
      <c r="L2964" s="7"/>
      <c r="M2964" s="7"/>
    </row>
    <row r="2965" ht="15.75" customHeight="1">
      <c r="A2965" s="7" t="s">
        <v>15197</v>
      </c>
      <c r="B2965" s="45" t="s">
        <v>15198</v>
      </c>
      <c r="C2965" s="7"/>
      <c r="D2965" s="7" t="s">
        <v>15199</v>
      </c>
      <c r="E2965" s="7" t="s">
        <v>4551</v>
      </c>
      <c r="F2965" s="7" t="s">
        <v>4552</v>
      </c>
      <c r="G2965" s="7" t="s">
        <v>15200</v>
      </c>
      <c r="H2965" s="47" t="s">
        <v>14727</v>
      </c>
      <c r="I2965" s="7" t="s">
        <v>160</v>
      </c>
      <c r="J2965" s="7" t="s">
        <v>148</v>
      </c>
      <c r="K2965" s="7"/>
      <c r="L2965" s="7"/>
      <c r="M2965" s="7"/>
    </row>
    <row r="2966" ht="15.75" customHeight="1">
      <c r="A2966" s="7" t="s">
        <v>15201</v>
      </c>
      <c r="B2966" s="45" t="s">
        <v>15202</v>
      </c>
      <c r="C2966" s="7"/>
      <c r="D2966" s="7" t="s">
        <v>4971</v>
      </c>
      <c r="E2966" s="7" t="s">
        <v>4972</v>
      </c>
      <c r="F2966" s="7" t="s">
        <v>4973</v>
      </c>
      <c r="G2966" s="7"/>
      <c r="H2966" s="47" t="s">
        <v>14727</v>
      </c>
      <c r="I2966" s="7" t="s">
        <v>160</v>
      </c>
      <c r="J2966" s="7" t="s">
        <v>148</v>
      </c>
      <c r="K2966" s="7"/>
      <c r="L2966" s="7"/>
      <c r="M2966" s="7"/>
    </row>
    <row r="2967" ht="15.75" customHeight="1">
      <c r="A2967" s="7" t="s">
        <v>15203</v>
      </c>
      <c r="B2967" s="45" t="s">
        <v>15204</v>
      </c>
      <c r="C2967" s="7"/>
      <c r="D2967" s="7" t="s">
        <v>15205</v>
      </c>
      <c r="E2967" s="7" t="s">
        <v>4977</v>
      </c>
      <c r="F2967" s="7" t="s">
        <v>4635</v>
      </c>
      <c r="G2967" s="7" t="s">
        <v>15206</v>
      </c>
      <c r="H2967" s="47" t="s">
        <v>14727</v>
      </c>
      <c r="I2967" s="7" t="s">
        <v>160</v>
      </c>
      <c r="J2967" s="7" t="s">
        <v>148</v>
      </c>
      <c r="K2967" s="7"/>
      <c r="L2967" s="7"/>
      <c r="M2967" s="7"/>
    </row>
    <row r="2968" ht="15.75" customHeight="1">
      <c r="A2968" s="7" t="s">
        <v>15207</v>
      </c>
      <c r="B2968" s="45" t="s">
        <v>15208</v>
      </c>
      <c r="C2968" s="7"/>
      <c r="D2968" s="7" t="s">
        <v>15209</v>
      </c>
      <c r="E2968" s="7" t="s">
        <v>8455</v>
      </c>
      <c r="F2968" s="7" t="s">
        <v>8456</v>
      </c>
      <c r="G2968" s="7" t="s">
        <v>15210</v>
      </c>
      <c r="H2968" s="47" t="s">
        <v>14727</v>
      </c>
      <c r="I2968" s="7" t="s">
        <v>160</v>
      </c>
      <c r="J2968" s="7" t="s">
        <v>148</v>
      </c>
      <c r="K2968" s="7"/>
      <c r="L2968" s="7"/>
      <c r="M2968" s="7"/>
    </row>
    <row r="2969" ht="15.75" customHeight="1">
      <c r="A2969" s="7" t="s">
        <v>15211</v>
      </c>
      <c r="B2969" s="45" t="s">
        <v>15212</v>
      </c>
      <c r="C2969" s="7"/>
      <c r="D2969" s="7" t="s">
        <v>15213</v>
      </c>
      <c r="E2969" s="7" t="s">
        <v>15214</v>
      </c>
      <c r="F2969" s="7" t="s">
        <v>15215</v>
      </c>
      <c r="G2969" s="7" t="s">
        <v>15216</v>
      </c>
      <c r="H2969" s="47" t="s">
        <v>14727</v>
      </c>
      <c r="I2969" s="7" t="s">
        <v>160</v>
      </c>
      <c r="J2969" s="7" t="s">
        <v>148</v>
      </c>
      <c r="K2969" s="7"/>
      <c r="L2969" s="7"/>
      <c r="M2969" s="7"/>
    </row>
    <row r="2970" ht="15.75" customHeight="1">
      <c r="A2970" s="7" t="s">
        <v>15217</v>
      </c>
      <c r="B2970" s="45" t="s">
        <v>15218</v>
      </c>
      <c r="C2970" s="7"/>
      <c r="D2970" s="7" t="s">
        <v>15219</v>
      </c>
      <c r="E2970" s="7" t="s">
        <v>2312</v>
      </c>
      <c r="F2970" s="7" t="s">
        <v>2313</v>
      </c>
      <c r="G2970" s="7" t="s">
        <v>15220</v>
      </c>
      <c r="H2970" s="47" t="s">
        <v>14727</v>
      </c>
      <c r="I2970" s="7" t="s">
        <v>160</v>
      </c>
      <c r="J2970" s="7" t="s">
        <v>148</v>
      </c>
      <c r="K2970" s="7"/>
      <c r="L2970" s="7"/>
      <c r="M2970" s="7"/>
    </row>
    <row r="2971" ht="15.75" customHeight="1">
      <c r="A2971" s="7" t="s">
        <v>15221</v>
      </c>
      <c r="B2971" s="45" t="s">
        <v>15222</v>
      </c>
      <c r="C2971" s="7"/>
      <c r="D2971" s="7" t="s">
        <v>15223</v>
      </c>
      <c r="E2971" s="7" t="s">
        <v>2777</v>
      </c>
      <c r="F2971" s="7" t="s">
        <v>2778</v>
      </c>
      <c r="G2971" s="7"/>
      <c r="H2971" s="47" t="s">
        <v>14727</v>
      </c>
      <c r="I2971" s="7" t="s">
        <v>160</v>
      </c>
      <c r="J2971" s="7" t="s">
        <v>148</v>
      </c>
      <c r="K2971" s="7"/>
      <c r="L2971" s="7"/>
      <c r="M2971" s="7"/>
    </row>
    <row r="2972" ht="15.75" customHeight="1">
      <c r="A2972" s="7" t="s">
        <v>15224</v>
      </c>
      <c r="B2972" s="45" t="s">
        <v>15225</v>
      </c>
      <c r="C2972" s="7"/>
      <c r="D2972" s="7" t="s">
        <v>1713</v>
      </c>
      <c r="E2972" s="7" t="s">
        <v>1714</v>
      </c>
      <c r="F2972" s="7" t="s">
        <v>15226</v>
      </c>
      <c r="G2972" s="7" t="s">
        <v>15227</v>
      </c>
      <c r="H2972" s="47" t="s">
        <v>14727</v>
      </c>
      <c r="I2972" s="7" t="s">
        <v>160</v>
      </c>
      <c r="J2972" s="7" t="s">
        <v>148</v>
      </c>
      <c r="K2972" s="7"/>
      <c r="L2972" s="7"/>
      <c r="M2972" s="7"/>
    </row>
    <row r="2973" ht="15.75" customHeight="1">
      <c r="A2973" s="7" t="s">
        <v>15228</v>
      </c>
      <c r="B2973" s="45" t="s">
        <v>15229</v>
      </c>
      <c r="C2973" s="7"/>
      <c r="D2973" s="7" t="s">
        <v>15230</v>
      </c>
      <c r="E2973" s="7" t="s">
        <v>14610</v>
      </c>
      <c r="F2973" s="7" t="s">
        <v>15231</v>
      </c>
      <c r="G2973" s="7" t="s">
        <v>15232</v>
      </c>
      <c r="H2973" s="47" t="s">
        <v>14727</v>
      </c>
      <c r="I2973" s="7" t="s">
        <v>160</v>
      </c>
      <c r="J2973" s="7" t="s">
        <v>148</v>
      </c>
      <c r="K2973" s="7"/>
      <c r="L2973" s="7"/>
      <c r="M2973" s="7"/>
    </row>
    <row r="2974" ht="15.75" customHeight="1">
      <c r="A2974" s="7" t="s">
        <v>15233</v>
      </c>
      <c r="B2974" s="45" t="s">
        <v>15234</v>
      </c>
      <c r="C2974" s="7"/>
      <c r="D2974" s="7" t="s">
        <v>15235</v>
      </c>
      <c r="E2974" s="7" t="s">
        <v>4902</v>
      </c>
      <c r="F2974" s="7" t="s">
        <v>4025</v>
      </c>
      <c r="G2974" s="7"/>
      <c r="H2974" s="47" t="s">
        <v>14727</v>
      </c>
      <c r="I2974" s="7" t="s">
        <v>160</v>
      </c>
      <c r="J2974" s="7" t="s">
        <v>148</v>
      </c>
      <c r="K2974" s="7"/>
      <c r="L2974" s="7"/>
      <c r="M2974" s="7"/>
    </row>
    <row r="2975" ht="15.75" customHeight="1">
      <c r="A2975" s="7" t="s">
        <v>15236</v>
      </c>
      <c r="B2975" s="45" t="s">
        <v>15237</v>
      </c>
      <c r="C2975" s="7"/>
      <c r="D2975" s="7" t="s">
        <v>4912</v>
      </c>
      <c r="E2975" s="7" t="s">
        <v>4913</v>
      </c>
      <c r="F2975" s="7" t="s">
        <v>4914</v>
      </c>
      <c r="G2975" s="7" t="s">
        <v>15238</v>
      </c>
      <c r="H2975" s="47" t="s">
        <v>14727</v>
      </c>
      <c r="I2975" s="7" t="s">
        <v>160</v>
      </c>
      <c r="J2975" s="7" t="s">
        <v>148</v>
      </c>
      <c r="K2975" s="7"/>
      <c r="L2975" s="7"/>
      <c r="M2975" s="7"/>
    </row>
    <row r="2976" ht="15.75" customHeight="1">
      <c r="A2976" s="7" t="s">
        <v>15239</v>
      </c>
      <c r="B2976" s="45" t="s">
        <v>15240</v>
      </c>
      <c r="C2976" s="7"/>
      <c r="D2976" s="7" t="s">
        <v>15241</v>
      </c>
      <c r="E2976" s="7" t="s">
        <v>15242</v>
      </c>
      <c r="F2976" s="7" t="s">
        <v>4811</v>
      </c>
      <c r="G2976" s="7"/>
      <c r="H2976" s="47" t="s">
        <v>14727</v>
      </c>
      <c r="I2976" s="7" t="s">
        <v>160</v>
      </c>
      <c r="J2976" s="7" t="s">
        <v>148</v>
      </c>
      <c r="K2976" s="7"/>
      <c r="L2976" s="7"/>
      <c r="M2976" s="7"/>
    </row>
    <row r="2977" ht="15.75" customHeight="1">
      <c r="A2977" s="7" t="s">
        <v>15243</v>
      </c>
      <c r="B2977" s="45" t="s">
        <v>15244</v>
      </c>
      <c r="C2977" s="7"/>
      <c r="D2977" s="7" t="s">
        <v>15245</v>
      </c>
      <c r="E2977" s="7" t="s">
        <v>4925</v>
      </c>
      <c r="F2977" s="7" t="s">
        <v>4926</v>
      </c>
      <c r="G2977" s="7" t="s">
        <v>15246</v>
      </c>
      <c r="H2977" s="47" t="s">
        <v>14727</v>
      </c>
      <c r="I2977" s="7" t="s">
        <v>160</v>
      </c>
      <c r="J2977" s="7" t="s">
        <v>148</v>
      </c>
      <c r="K2977" s="7"/>
      <c r="L2977" s="7"/>
      <c r="M2977" s="7"/>
    </row>
    <row r="2978" ht="15.75" customHeight="1">
      <c r="A2978" s="7" t="s">
        <v>15247</v>
      </c>
      <c r="B2978" s="45" t="s">
        <v>15248</v>
      </c>
      <c r="C2978" s="7"/>
      <c r="D2978" s="7" t="s">
        <v>4211</v>
      </c>
      <c r="E2978" s="7" t="s">
        <v>4212</v>
      </c>
      <c r="F2978" s="7" t="s">
        <v>15249</v>
      </c>
      <c r="G2978" s="7" t="s">
        <v>15250</v>
      </c>
      <c r="H2978" s="47" t="s">
        <v>14727</v>
      </c>
      <c r="I2978" s="7" t="s">
        <v>160</v>
      </c>
      <c r="J2978" s="7" t="s">
        <v>148</v>
      </c>
      <c r="K2978" s="7"/>
      <c r="L2978" s="7"/>
      <c r="M2978" s="7"/>
    </row>
    <row r="2979" ht="15.75" customHeight="1">
      <c r="A2979" s="7" t="s">
        <v>15251</v>
      </c>
      <c r="B2979" s="45" t="s">
        <v>15252</v>
      </c>
      <c r="C2979" s="7"/>
      <c r="D2979" s="7" t="s">
        <v>4945</v>
      </c>
      <c r="E2979" s="7" t="s">
        <v>4946</v>
      </c>
      <c r="F2979" s="7" t="s">
        <v>4947</v>
      </c>
      <c r="G2979" s="7"/>
      <c r="H2979" s="47" t="s">
        <v>14727</v>
      </c>
      <c r="I2979" s="7" t="s">
        <v>160</v>
      </c>
      <c r="J2979" s="7" t="s">
        <v>148</v>
      </c>
      <c r="K2979" s="7"/>
      <c r="L2979" s="7"/>
      <c r="M2979" s="7"/>
    </row>
    <row r="2980" ht="15.75" customHeight="1">
      <c r="A2980" s="7" t="s">
        <v>15253</v>
      </c>
      <c r="B2980" s="45" t="s">
        <v>15254</v>
      </c>
      <c r="C2980" s="7"/>
      <c r="D2980" s="7" t="s">
        <v>4896</v>
      </c>
      <c r="E2980" s="7" t="s">
        <v>4897</v>
      </c>
      <c r="F2980" s="7" t="s">
        <v>4898</v>
      </c>
      <c r="G2980" s="7" t="s">
        <v>15255</v>
      </c>
      <c r="H2980" s="47" t="s">
        <v>14727</v>
      </c>
      <c r="I2980" s="7" t="s">
        <v>160</v>
      </c>
      <c r="J2980" s="7" t="s">
        <v>148</v>
      </c>
      <c r="K2980" s="7"/>
      <c r="L2980" s="7"/>
      <c r="M2980" s="7"/>
    </row>
    <row r="2981" ht="15.75" customHeight="1">
      <c r="A2981" s="7" t="s">
        <v>15256</v>
      </c>
      <c r="B2981" s="45" t="s">
        <v>15257</v>
      </c>
      <c r="C2981" s="7"/>
      <c r="D2981" s="7" t="s">
        <v>15258</v>
      </c>
      <c r="E2981" s="7" t="s">
        <v>14693</v>
      </c>
      <c r="F2981" s="7" t="s">
        <v>12849</v>
      </c>
      <c r="G2981" s="7" t="s">
        <v>15259</v>
      </c>
      <c r="H2981" s="47" t="s">
        <v>14727</v>
      </c>
      <c r="I2981" s="7" t="s">
        <v>160</v>
      </c>
      <c r="J2981" s="7" t="s">
        <v>148</v>
      </c>
      <c r="K2981" s="7"/>
      <c r="L2981" s="7"/>
      <c r="M2981" s="7"/>
    </row>
    <row r="2982" ht="15.75" customHeight="1">
      <c r="A2982" s="7" t="s">
        <v>15260</v>
      </c>
      <c r="B2982" s="45" t="s">
        <v>15261</v>
      </c>
      <c r="C2982" s="7"/>
      <c r="D2982" s="7" t="s">
        <v>14542</v>
      </c>
      <c r="E2982" s="7" t="s">
        <v>14543</v>
      </c>
      <c r="F2982" s="7" t="s">
        <v>14544</v>
      </c>
      <c r="G2982" s="7"/>
      <c r="H2982" s="47" t="s">
        <v>14727</v>
      </c>
      <c r="I2982" s="7" t="s">
        <v>160</v>
      </c>
      <c r="J2982" s="7" t="s">
        <v>148</v>
      </c>
      <c r="K2982" s="7"/>
      <c r="L2982" s="7"/>
      <c r="M2982" s="7"/>
    </row>
    <row r="2983" ht="15.75" customHeight="1">
      <c r="A2983" s="7" t="s">
        <v>15262</v>
      </c>
      <c r="B2983" s="45" t="s">
        <v>15263</v>
      </c>
      <c r="C2983" s="7"/>
      <c r="D2983" s="7" t="s">
        <v>4981</v>
      </c>
      <c r="E2983" s="7" t="s">
        <v>4982</v>
      </c>
      <c r="F2983" s="7" t="s">
        <v>4983</v>
      </c>
      <c r="G2983" s="7"/>
      <c r="H2983" s="47" t="s">
        <v>14727</v>
      </c>
      <c r="I2983" s="7" t="s">
        <v>160</v>
      </c>
      <c r="J2983" s="7" t="s">
        <v>148</v>
      </c>
      <c r="K2983" s="7"/>
      <c r="L2983" s="7"/>
      <c r="M2983" s="7"/>
    </row>
    <row r="2984" ht="15.75" customHeight="1">
      <c r="A2984" s="7" t="s">
        <v>15264</v>
      </c>
      <c r="B2984" s="45" t="s">
        <v>15265</v>
      </c>
      <c r="C2984" s="7"/>
      <c r="D2984" s="7" t="s">
        <v>15266</v>
      </c>
      <c r="E2984" s="7" t="s">
        <v>15267</v>
      </c>
      <c r="F2984" s="7" t="s">
        <v>4989</v>
      </c>
      <c r="G2984" s="7" t="s">
        <v>15268</v>
      </c>
      <c r="H2984" s="47" t="s">
        <v>14727</v>
      </c>
      <c r="I2984" s="7" t="s">
        <v>160</v>
      </c>
      <c r="J2984" s="7" t="s">
        <v>148</v>
      </c>
      <c r="K2984" s="7"/>
      <c r="L2984" s="7"/>
      <c r="M2984" s="7"/>
    </row>
    <row r="2985" ht="15.75" customHeight="1">
      <c r="A2985" s="7" t="s">
        <v>15269</v>
      </c>
      <c r="B2985" s="45" t="s">
        <v>15270</v>
      </c>
      <c r="C2985" s="7"/>
      <c r="D2985" s="7" t="s">
        <v>5043</v>
      </c>
      <c r="E2985" s="7" t="s">
        <v>5044</v>
      </c>
      <c r="F2985" s="7" t="s">
        <v>5045</v>
      </c>
      <c r="G2985" s="7"/>
      <c r="H2985" s="47" t="s">
        <v>14727</v>
      </c>
      <c r="I2985" s="7" t="s">
        <v>160</v>
      </c>
      <c r="J2985" s="7" t="s">
        <v>148</v>
      </c>
      <c r="K2985" s="7"/>
      <c r="L2985" s="7"/>
      <c r="M2985" s="7"/>
    </row>
    <row r="2986" ht="15.75" customHeight="1">
      <c r="A2986" s="7" t="s">
        <v>15271</v>
      </c>
      <c r="B2986" s="45" t="s">
        <v>15272</v>
      </c>
      <c r="C2986" s="7"/>
      <c r="D2986" s="7" t="s">
        <v>5055</v>
      </c>
      <c r="E2986" s="7" t="s">
        <v>5056</v>
      </c>
      <c r="F2986" s="7" t="s">
        <v>15273</v>
      </c>
      <c r="G2986" s="7" t="s">
        <v>15274</v>
      </c>
      <c r="H2986" s="47" t="s">
        <v>14727</v>
      </c>
      <c r="I2986" s="7" t="s">
        <v>160</v>
      </c>
      <c r="J2986" s="7" t="s">
        <v>148</v>
      </c>
      <c r="K2986" s="7"/>
      <c r="L2986" s="7"/>
      <c r="M2986" s="7"/>
    </row>
    <row r="2987" ht="15.75" customHeight="1">
      <c r="A2987" s="7" t="s">
        <v>15275</v>
      </c>
      <c r="B2987" s="45" t="s">
        <v>15276</v>
      </c>
      <c r="C2987" s="7"/>
      <c r="D2987" s="7" t="s">
        <v>15277</v>
      </c>
      <c r="E2987" s="7" t="s">
        <v>5099</v>
      </c>
      <c r="F2987" s="7" t="s">
        <v>5100</v>
      </c>
      <c r="G2987" s="7" t="s">
        <v>15278</v>
      </c>
      <c r="H2987" s="47" t="s">
        <v>14727</v>
      </c>
      <c r="I2987" s="7" t="s">
        <v>160</v>
      </c>
      <c r="J2987" s="7" t="s">
        <v>148</v>
      </c>
      <c r="K2987" s="7"/>
      <c r="L2987" s="7"/>
      <c r="M2987" s="7"/>
    </row>
    <row r="2988" ht="15.75" customHeight="1">
      <c r="A2988" s="7" t="s">
        <v>15279</v>
      </c>
      <c r="B2988" s="45" t="s">
        <v>15280</v>
      </c>
      <c r="C2988" s="7"/>
      <c r="D2988" s="7" t="s">
        <v>5104</v>
      </c>
      <c r="E2988" s="7" t="s">
        <v>15281</v>
      </c>
      <c r="F2988" s="7" t="s">
        <v>15282</v>
      </c>
      <c r="G2988" s="7"/>
      <c r="H2988" s="47" t="s">
        <v>14727</v>
      </c>
      <c r="I2988" s="7" t="s">
        <v>160</v>
      </c>
      <c r="J2988" s="7" t="s">
        <v>148</v>
      </c>
      <c r="K2988" s="7"/>
      <c r="L2988" s="7"/>
      <c r="M2988" s="7"/>
    </row>
    <row r="2989" ht="15.75" customHeight="1">
      <c r="A2989" s="7" t="s">
        <v>15283</v>
      </c>
      <c r="B2989" s="45" t="s">
        <v>15284</v>
      </c>
      <c r="C2989" s="7"/>
      <c r="D2989" s="7" t="s">
        <v>5185</v>
      </c>
      <c r="E2989" s="7" t="s">
        <v>5186</v>
      </c>
      <c r="F2989" s="7" t="s">
        <v>5187</v>
      </c>
      <c r="G2989" s="7"/>
      <c r="H2989" s="47" t="s">
        <v>14727</v>
      </c>
      <c r="I2989" s="7" t="s">
        <v>160</v>
      </c>
      <c r="J2989" s="7" t="s">
        <v>148</v>
      </c>
      <c r="K2989" s="7"/>
      <c r="L2989" s="7"/>
      <c r="M2989" s="7"/>
    </row>
    <row r="2990" ht="15.75" customHeight="1">
      <c r="A2990" s="7" t="s">
        <v>15285</v>
      </c>
      <c r="B2990" s="45" t="s">
        <v>15286</v>
      </c>
      <c r="C2990" s="7"/>
      <c r="D2990" s="7" t="s">
        <v>5206</v>
      </c>
      <c r="E2990" s="7" t="s">
        <v>5207</v>
      </c>
      <c r="F2990" s="7" t="s">
        <v>5208</v>
      </c>
      <c r="G2990" s="7"/>
      <c r="H2990" s="47" t="s">
        <v>14727</v>
      </c>
      <c r="I2990" s="7" t="s">
        <v>160</v>
      </c>
      <c r="J2990" s="7" t="s">
        <v>148</v>
      </c>
      <c r="K2990" s="7"/>
      <c r="L2990" s="7"/>
      <c r="M2990" s="7"/>
    </row>
    <row r="2991" ht="15.75" customHeight="1">
      <c r="A2991" s="7" t="s">
        <v>15287</v>
      </c>
      <c r="B2991" s="45" t="s">
        <v>15288</v>
      </c>
      <c r="C2991" s="7"/>
      <c r="D2991" s="7" t="s">
        <v>15289</v>
      </c>
      <c r="E2991" s="7" t="s">
        <v>5291</v>
      </c>
      <c r="F2991" s="7" t="s">
        <v>5292</v>
      </c>
      <c r="G2991" s="7" t="s">
        <v>15290</v>
      </c>
      <c r="H2991" s="47" t="s">
        <v>14727</v>
      </c>
      <c r="I2991" s="7" t="s">
        <v>160</v>
      </c>
      <c r="J2991" s="7" t="s">
        <v>148</v>
      </c>
      <c r="K2991" s="7"/>
      <c r="L2991" s="7"/>
      <c r="M2991" s="7"/>
    </row>
    <row r="2992" ht="15.75" customHeight="1">
      <c r="A2992" s="7" t="s">
        <v>15291</v>
      </c>
      <c r="B2992" s="45" t="s">
        <v>15292</v>
      </c>
      <c r="C2992" s="7"/>
      <c r="D2992" s="7" t="s">
        <v>15293</v>
      </c>
      <c r="E2992" s="7" t="s">
        <v>5312</v>
      </c>
      <c r="F2992" s="7" t="s">
        <v>5313</v>
      </c>
      <c r="G2992" s="7" t="s">
        <v>15294</v>
      </c>
      <c r="H2992" s="47" t="s">
        <v>14727</v>
      </c>
      <c r="I2992" s="7" t="s">
        <v>160</v>
      </c>
      <c r="J2992" s="7" t="s">
        <v>148</v>
      </c>
      <c r="K2992" s="7"/>
      <c r="L2992" s="7"/>
      <c r="M2992" s="7"/>
    </row>
    <row r="2993" ht="15.75" customHeight="1">
      <c r="A2993" s="7" t="s">
        <v>15295</v>
      </c>
      <c r="B2993" s="45" t="s">
        <v>15296</v>
      </c>
      <c r="C2993" s="7"/>
      <c r="D2993" s="7" t="s">
        <v>3944</v>
      </c>
      <c r="E2993" s="7" t="s">
        <v>15297</v>
      </c>
      <c r="F2993" s="7" t="s">
        <v>3946</v>
      </c>
      <c r="G2993" s="7"/>
      <c r="H2993" s="47" t="s">
        <v>14727</v>
      </c>
      <c r="I2993" s="7" t="s">
        <v>160</v>
      </c>
      <c r="J2993" s="7" t="s">
        <v>148</v>
      </c>
      <c r="K2993" s="7"/>
      <c r="L2993" s="7"/>
      <c r="M2993" s="7"/>
    </row>
    <row r="2994" ht="15.75" customHeight="1">
      <c r="A2994" s="7" t="s">
        <v>15298</v>
      </c>
      <c r="B2994" s="45" t="s">
        <v>15299</v>
      </c>
      <c r="C2994" s="7"/>
      <c r="D2994" s="7" t="s">
        <v>15300</v>
      </c>
      <c r="E2994" s="7" t="s">
        <v>3434</v>
      </c>
      <c r="F2994" s="7" t="s">
        <v>3435</v>
      </c>
      <c r="G2994" s="7"/>
      <c r="H2994" s="47" t="s">
        <v>14727</v>
      </c>
      <c r="I2994" s="7" t="s">
        <v>160</v>
      </c>
      <c r="J2994" s="7" t="s">
        <v>148</v>
      </c>
      <c r="K2994" s="7"/>
      <c r="L2994" s="7"/>
      <c r="M2994" s="7"/>
    </row>
    <row r="2995" ht="15.75" customHeight="1">
      <c r="A2995" s="7" t="s">
        <v>15301</v>
      </c>
      <c r="B2995" s="45" t="s">
        <v>15302</v>
      </c>
      <c r="C2995" s="7"/>
      <c r="D2995" s="7" t="s">
        <v>15303</v>
      </c>
      <c r="E2995" s="7" t="s">
        <v>2965</v>
      </c>
      <c r="F2995" s="7" t="s">
        <v>2966</v>
      </c>
      <c r="G2995" s="7"/>
      <c r="H2995" s="47" t="s">
        <v>14727</v>
      </c>
      <c r="I2995" s="7" t="s">
        <v>160</v>
      </c>
      <c r="J2995" s="7" t="s">
        <v>148</v>
      </c>
      <c r="K2995" s="7"/>
      <c r="L2995" s="7"/>
      <c r="M2995" s="7"/>
    </row>
    <row r="2996" ht="15.75" customHeight="1">
      <c r="A2996" s="7" t="s">
        <v>15304</v>
      </c>
      <c r="B2996" s="45" t="s">
        <v>15305</v>
      </c>
      <c r="C2996" s="7"/>
      <c r="D2996" s="7" t="s">
        <v>15306</v>
      </c>
      <c r="E2996" s="7" t="s">
        <v>5418</v>
      </c>
      <c r="F2996" s="7" t="s">
        <v>5419</v>
      </c>
      <c r="G2996" s="7"/>
      <c r="H2996" s="47" t="s">
        <v>14727</v>
      </c>
      <c r="I2996" s="7" t="s">
        <v>160</v>
      </c>
      <c r="J2996" s="7" t="s">
        <v>148</v>
      </c>
      <c r="K2996" s="7"/>
      <c r="L2996" s="7"/>
      <c r="M2996" s="7"/>
    </row>
    <row r="2997" ht="15.75" customHeight="1">
      <c r="A2997" s="7" t="s">
        <v>15307</v>
      </c>
      <c r="B2997" s="45" t="s">
        <v>15308</v>
      </c>
      <c r="C2997" s="7"/>
      <c r="D2997" s="7" t="s">
        <v>15309</v>
      </c>
      <c r="E2997" s="7" t="s">
        <v>5456</v>
      </c>
      <c r="F2997" s="7" t="s">
        <v>5457</v>
      </c>
      <c r="G2997" s="7"/>
      <c r="H2997" s="47" t="s">
        <v>14727</v>
      </c>
      <c r="I2997" s="7" t="s">
        <v>160</v>
      </c>
      <c r="J2997" s="7" t="s">
        <v>148</v>
      </c>
      <c r="K2997" s="7"/>
      <c r="L2997" s="7"/>
      <c r="M2997" s="7"/>
    </row>
    <row r="2998" ht="15.75" customHeight="1">
      <c r="A2998" s="7" t="s">
        <v>15310</v>
      </c>
      <c r="B2998" s="45" t="s">
        <v>15311</v>
      </c>
      <c r="C2998" s="7"/>
      <c r="D2998" s="7" t="s">
        <v>5514</v>
      </c>
      <c r="E2998" s="7" t="s">
        <v>15312</v>
      </c>
      <c r="F2998" s="7" t="s">
        <v>5516</v>
      </c>
      <c r="G2998" s="7"/>
      <c r="H2998" s="47" t="s">
        <v>14727</v>
      </c>
      <c r="I2998" s="7" t="s">
        <v>160</v>
      </c>
      <c r="J2998" s="7" t="s">
        <v>148</v>
      </c>
      <c r="K2998" s="7"/>
      <c r="L2998" s="7"/>
      <c r="M2998" s="7"/>
    </row>
    <row r="2999" ht="15.75" customHeight="1">
      <c r="A2999" s="7" t="s">
        <v>15313</v>
      </c>
      <c r="B2999" s="45" t="s">
        <v>15314</v>
      </c>
      <c r="C2999" s="7"/>
      <c r="D2999" s="7" t="s">
        <v>5520</v>
      </c>
      <c r="E2999" s="7" t="s">
        <v>5521</v>
      </c>
      <c r="F2999" s="7" t="s">
        <v>5522</v>
      </c>
      <c r="G2999" s="7" t="s">
        <v>15315</v>
      </c>
      <c r="H2999" s="47" t="s">
        <v>14727</v>
      </c>
      <c r="I2999" s="7" t="s">
        <v>160</v>
      </c>
      <c r="J2999" s="7" t="s">
        <v>148</v>
      </c>
      <c r="K2999" s="7"/>
      <c r="L2999" s="7"/>
      <c r="M2999" s="7"/>
    </row>
    <row r="3000" ht="15.75" customHeight="1">
      <c r="A3000" s="7" t="s">
        <v>15316</v>
      </c>
      <c r="B3000" s="45" t="s">
        <v>15317</v>
      </c>
      <c r="C3000" s="7"/>
      <c r="D3000" s="7" t="s">
        <v>5548</v>
      </c>
      <c r="E3000" s="7" t="s">
        <v>5549</v>
      </c>
      <c r="F3000" s="7" t="s">
        <v>5550</v>
      </c>
      <c r="G3000" s="7" t="s">
        <v>15318</v>
      </c>
      <c r="H3000" s="47" t="s">
        <v>14727</v>
      </c>
      <c r="I3000" s="7" t="s">
        <v>160</v>
      </c>
      <c r="J3000" s="7" t="s">
        <v>148</v>
      </c>
      <c r="K3000" s="7"/>
      <c r="L3000" s="7"/>
      <c r="M3000" s="7"/>
    </row>
    <row r="3001" ht="15.75" customHeight="1">
      <c r="A3001" s="7" t="s">
        <v>15319</v>
      </c>
      <c r="B3001" s="45" t="s">
        <v>15320</v>
      </c>
      <c r="C3001" s="7"/>
      <c r="D3001" s="7" t="s">
        <v>15321</v>
      </c>
      <c r="E3001" s="7" t="s">
        <v>9930</v>
      </c>
      <c r="F3001" s="7" t="s">
        <v>9931</v>
      </c>
      <c r="G3001" s="7" t="s">
        <v>15322</v>
      </c>
      <c r="H3001" s="47" t="s">
        <v>14727</v>
      </c>
      <c r="I3001" s="7" t="s">
        <v>160</v>
      </c>
      <c r="J3001" s="7" t="s">
        <v>148</v>
      </c>
      <c r="K3001" s="7"/>
      <c r="L3001" s="7"/>
      <c r="M3001" s="7"/>
    </row>
    <row r="3002" ht="15.75" customHeight="1">
      <c r="A3002" s="7" t="s">
        <v>15323</v>
      </c>
      <c r="B3002" s="45" t="s">
        <v>15324</v>
      </c>
      <c r="C3002" s="7"/>
      <c r="D3002" s="7" t="s">
        <v>5560</v>
      </c>
      <c r="E3002" s="7" t="s">
        <v>5561</v>
      </c>
      <c r="F3002" s="7" t="s">
        <v>5562</v>
      </c>
      <c r="G3002" s="7" t="s">
        <v>15325</v>
      </c>
      <c r="H3002" s="47" t="s">
        <v>14727</v>
      </c>
      <c r="I3002" s="7" t="s">
        <v>160</v>
      </c>
      <c r="J3002" s="7" t="s">
        <v>148</v>
      </c>
      <c r="K3002" s="7"/>
      <c r="L3002" s="7"/>
      <c r="M3002" s="7"/>
    </row>
    <row r="3003" ht="15.75" customHeight="1">
      <c r="A3003" s="7" t="s">
        <v>15326</v>
      </c>
      <c r="B3003" s="45" t="s">
        <v>15327</v>
      </c>
      <c r="C3003" s="7"/>
      <c r="D3003" s="7" t="s">
        <v>5590</v>
      </c>
      <c r="E3003" s="7" t="s">
        <v>15328</v>
      </c>
      <c r="F3003" s="7" t="s">
        <v>15329</v>
      </c>
      <c r="G3003" s="7" t="s">
        <v>15330</v>
      </c>
      <c r="H3003" s="47" t="s">
        <v>14727</v>
      </c>
      <c r="I3003" s="7" t="s">
        <v>160</v>
      </c>
      <c r="J3003" s="7" t="s">
        <v>148</v>
      </c>
      <c r="K3003" s="7"/>
      <c r="L3003" s="7"/>
      <c r="M3003" s="7"/>
    </row>
    <row r="3004" ht="15.75" customHeight="1">
      <c r="A3004" s="7" t="s">
        <v>15331</v>
      </c>
      <c r="B3004" s="45" t="s">
        <v>15332</v>
      </c>
      <c r="C3004" s="7"/>
      <c r="D3004" s="7" t="s">
        <v>5626</v>
      </c>
      <c r="E3004" s="7" t="s">
        <v>15333</v>
      </c>
      <c r="F3004" s="7" t="s">
        <v>5628</v>
      </c>
      <c r="G3004" s="7" t="s">
        <v>15334</v>
      </c>
      <c r="H3004" s="47" t="s">
        <v>14727</v>
      </c>
      <c r="I3004" s="7" t="s">
        <v>160</v>
      </c>
      <c r="J3004" s="7" t="s">
        <v>148</v>
      </c>
      <c r="K3004" s="7"/>
      <c r="L3004" s="7"/>
      <c r="M3004" s="7"/>
    </row>
    <row r="3005" ht="15.75" customHeight="1">
      <c r="A3005" s="7" t="s">
        <v>15335</v>
      </c>
      <c r="B3005" s="45" t="s">
        <v>15336</v>
      </c>
      <c r="C3005" s="7"/>
      <c r="D3005" s="7" t="s">
        <v>5673</v>
      </c>
      <c r="E3005" s="7" t="s">
        <v>5674</v>
      </c>
      <c r="F3005" s="7" t="s">
        <v>5675</v>
      </c>
      <c r="G3005" s="7" t="s">
        <v>15337</v>
      </c>
      <c r="H3005" s="47" t="s">
        <v>14727</v>
      </c>
      <c r="I3005" s="7" t="s">
        <v>160</v>
      </c>
      <c r="J3005" s="7" t="s">
        <v>148</v>
      </c>
      <c r="K3005" s="7"/>
      <c r="L3005" s="7"/>
      <c r="M3005" s="7"/>
    </row>
    <row r="3006" ht="15.75" customHeight="1">
      <c r="A3006" s="7" t="s">
        <v>15338</v>
      </c>
      <c r="B3006" s="45" t="s">
        <v>15339</v>
      </c>
      <c r="C3006" s="7"/>
      <c r="D3006" s="7" t="s">
        <v>15340</v>
      </c>
      <c r="E3006" s="7" t="s">
        <v>274</v>
      </c>
      <c r="F3006" s="7" t="s">
        <v>275</v>
      </c>
      <c r="G3006" s="7" t="s">
        <v>15341</v>
      </c>
      <c r="H3006" s="47" t="s">
        <v>14727</v>
      </c>
      <c r="I3006" s="7" t="s">
        <v>160</v>
      </c>
      <c r="J3006" s="7" t="s">
        <v>148</v>
      </c>
      <c r="K3006" s="7"/>
      <c r="L3006" s="7"/>
      <c r="M3006" s="7"/>
    </row>
    <row r="3007" ht="15.75" customHeight="1">
      <c r="A3007" s="7" t="s">
        <v>15342</v>
      </c>
      <c r="B3007" s="45" t="s">
        <v>15343</v>
      </c>
      <c r="C3007" s="7"/>
      <c r="D3007" s="7" t="s">
        <v>15344</v>
      </c>
      <c r="E3007" s="7" t="s">
        <v>15345</v>
      </c>
      <c r="F3007" s="7" t="s">
        <v>15346</v>
      </c>
      <c r="G3007" s="7" t="s">
        <v>15347</v>
      </c>
      <c r="H3007" s="47" t="s">
        <v>14727</v>
      </c>
      <c r="I3007" s="7" t="s">
        <v>160</v>
      </c>
      <c r="J3007" s="7" t="s">
        <v>148</v>
      </c>
      <c r="K3007" s="7"/>
      <c r="L3007" s="7"/>
      <c r="M3007" s="7"/>
    </row>
    <row r="3008" ht="15.75" customHeight="1">
      <c r="A3008" s="7" t="s">
        <v>15348</v>
      </c>
      <c r="B3008" s="45" t="s">
        <v>15349</v>
      </c>
      <c r="C3008" s="7"/>
      <c r="D3008" s="7" t="s">
        <v>5866</v>
      </c>
      <c r="E3008" s="7" t="s">
        <v>15350</v>
      </c>
      <c r="F3008" s="7" t="s">
        <v>5868</v>
      </c>
      <c r="G3008" s="7"/>
      <c r="H3008" s="47" t="s">
        <v>14727</v>
      </c>
      <c r="I3008" s="7" t="s">
        <v>160</v>
      </c>
      <c r="J3008" s="7" t="s">
        <v>148</v>
      </c>
      <c r="K3008" s="7"/>
      <c r="L3008" s="7"/>
      <c r="M3008" s="7"/>
    </row>
    <row r="3009" ht="15.75" customHeight="1">
      <c r="A3009" s="7" t="s">
        <v>15351</v>
      </c>
      <c r="B3009" s="45" t="s">
        <v>15352</v>
      </c>
      <c r="C3009" s="7"/>
      <c r="D3009" s="7" t="s">
        <v>5860</v>
      </c>
      <c r="E3009" s="7" t="s">
        <v>15353</v>
      </c>
      <c r="F3009" s="7" t="s">
        <v>5862</v>
      </c>
      <c r="G3009" s="7" t="s">
        <v>15354</v>
      </c>
      <c r="H3009" s="47" t="s">
        <v>14727</v>
      </c>
      <c r="I3009" s="7" t="s">
        <v>160</v>
      </c>
      <c r="J3009" s="7" t="s">
        <v>148</v>
      </c>
      <c r="K3009" s="7"/>
      <c r="L3009" s="7"/>
      <c r="M3009" s="7"/>
    </row>
    <row r="3010" ht="15.75" customHeight="1">
      <c r="A3010" s="7" t="s">
        <v>15355</v>
      </c>
      <c r="B3010" s="45" t="s">
        <v>15356</v>
      </c>
      <c r="C3010" s="7"/>
      <c r="D3010" s="7" t="s">
        <v>15357</v>
      </c>
      <c r="E3010" s="7" t="s">
        <v>9136</v>
      </c>
      <c r="F3010" s="7" t="s">
        <v>1290</v>
      </c>
      <c r="G3010" s="7"/>
      <c r="H3010" s="47" t="s">
        <v>14727</v>
      </c>
      <c r="I3010" s="7" t="s">
        <v>160</v>
      </c>
      <c r="J3010" s="7" t="s">
        <v>148</v>
      </c>
      <c r="K3010" s="7"/>
      <c r="L3010" s="7"/>
      <c r="M3010" s="7"/>
    </row>
    <row r="3011" ht="15.75" customHeight="1">
      <c r="A3011" s="7" t="s">
        <v>15358</v>
      </c>
      <c r="B3011" s="45" t="s">
        <v>15359</v>
      </c>
      <c r="C3011" s="7" t="s">
        <v>15360</v>
      </c>
      <c r="D3011" s="7" t="s">
        <v>15361</v>
      </c>
      <c r="E3011" s="7" t="s">
        <v>15362</v>
      </c>
      <c r="F3011" s="7"/>
      <c r="G3011" s="7"/>
      <c r="H3011" s="47" t="s">
        <v>14727</v>
      </c>
      <c r="I3011" s="7" t="s">
        <v>154</v>
      </c>
      <c r="J3011" s="7" t="s">
        <v>148</v>
      </c>
      <c r="K3011" s="7"/>
      <c r="L3011" s="7"/>
      <c r="M3011" s="7"/>
    </row>
    <row r="3012" ht="15.75" customHeight="1">
      <c r="A3012" s="7" t="s">
        <v>15363</v>
      </c>
      <c r="B3012" s="45" t="s">
        <v>15364</v>
      </c>
      <c r="C3012" s="7"/>
      <c r="D3012" s="7" t="s">
        <v>15365</v>
      </c>
      <c r="E3012" s="7" t="s">
        <v>15366</v>
      </c>
      <c r="F3012" s="7" t="s">
        <v>4564</v>
      </c>
      <c r="G3012" s="7"/>
      <c r="H3012" s="47" t="s">
        <v>14727</v>
      </c>
      <c r="I3012" s="7" t="s">
        <v>160</v>
      </c>
      <c r="J3012" s="7" t="s">
        <v>148</v>
      </c>
      <c r="K3012" s="7"/>
      <c r="L3012" s="7"/>
      <c r="M3012" s="7"/>
    </row>
    <row r="3013" ht="15.75" customHeight="1">
      <c r="A3013" s="7" t="s">
        <v>15367</v>
      </c>
      <c r="B3013" s="45" t="s">
        <v>15368</v>
      </c>
      <c r="C3013" s="7"/>
      <c r="D3013" s="7" t="s">
        <v>5927</v>
      </c>
      <c r="E3013" s="7" t="s">
        <v>5928</v>
      </c>
      <c r="F3013" s="7" t="s">
        <v>5929</v>
      </c>
      <c r="G3013" s="7" t="s">
        <v>15369</v>
      </c>
      <c r="H3013" s="47" t="s">
        <v>14727</v>
      </c>
      <c r="I3013" s="7" t="s">
        <v>160</v>
      </c>
      <c r="J3013" s="7" t="s">
        <v>148</v>
      </c>
      <c r="K3013" s="7"/>
      <c r="L3013" s="7"/>
      <c r="M3013" s="7"/>
    </row>
    <row r="3014" ht="15.75" customHeight="1">
      <c r="A3014" s="7" t="s">
        <v>15370</v>
      </c>
      <c r="B3014" s="45" t="s">
        <v>15371</v>
      </c>
      <c r="C3014" s="7"/>
      <c r="D3014" s="7" t="s">
        <v>15372</v>
      </c>
      <c r="E3014" s="7" t="s">
        <v>11048</v>
      </c>
      <c r="F3014" s="7" t="s">
        <v>11049</v>
      </c>
      <c r="G3014" s="7"/>
      <c r="H3014" s="47" t="s">
        <v>14727</v>
      </c>
      <c r="I3014" s="7" t="s">
        <v>160</v>
      </c>
      <c r="J3014" s="7" t="s">
        <v>148</v>
      </c>
      <c r="K3014" s="7"/>
      <c r="L3014" s="7"/>
      <c r="M3014" s="7"/>
    </row>
    <row r="3015" ht="15.75" customHeight="1">
      <c r="A3015" s="7" t="s">
        <v>15373</v>
      </c>
      <c r="B3015" s="45" t="s">
        <v>15374</v>
      </c>
      <c r="C3015" s="7"/>
      <c r="D3015" s="7" t="s">
        <v>15375</v>
      </c>
      <c r="E3015" s="7" t="s">
        <v>5934</v>
      </c>
      <c r="F3015" s="7" t="s">
        <v>5935</v>
      </c>
      <c r="G3015" s="7"/>
      <c r="H3015" s="47" t="s">
        <v>14727</v>
      </c>
      <c r="I3015" s="7" t="s">
        <v>160</v>
      </c>
      <c r="J3015" s="7" t="s">
        <v>148</v>
      </c>
      <c r="K3015" s="7"/>
      <c r="L3015" s="7"/>
      <c r="M3015" s="7"/>
    </row>
    <row r="3016" ht="15.75" customHeight="1">
      <c r="A3016" s="7" t="s">
        <v>15376</v>
      </c>
      <c r="B3016" s="45" t="s">
        <v>15377</v>
      </c>
      <c r="C3016" s="7"/>
      <c r="D3016" s="7" t="s">
        <v>15378</v>
      </c>
      <c r="E3016" s="7" t="s">
        <v>5983</v>
      </c>
      <c r="F3016" s="7" t="s">
        <v>5984</v>
      </c>
      <c r="G3016" s="7" t="s">
        <v>15379</v>
      </c>
      <c r="H3016" s="47" t="s">
        <v>14727</v>
      </c>
      <c r="I3016" s="7" t="s">
        <v>160</v>
      </c>
      <c r="J3016" s="7" t="s">
        <v>148</v>
      </c>
      <c r="K3016" s="7"/>
      <c r="L3016" s="7"/>
      <c r="M3016" s="7"/>
    </row>
    <row r="3017" ht="15.75" customHeight="1">
      <c r="A3017" s="7" t="s">
        <v>15380</v>
      </c>
      <c r="B3017" s="45" t="s">
        <v>15381</v>
      </c>
      <c r="C3017" s="7"/>
      <c r="D3017" s="7" t="s">
        <v>15382</v>
      </c>
      <c r="E3017" s="7" t="s">
        <v>15383</v>
      </c>
      <c r="F3017" s="7" t="s">
        <v>6029</v>
      </c>
      <c r="G3017" s="7"/>
      <c r="H3017" s="47" t="s">
        <v>14727</v>
      </c>
      <c r="I3017" s="7" t="s">
        <v>160</v>
      </c>
      <c r="J3017" s="7" t="s">
        <v>148</v>
      </c>
      <c r="K3017" s="7"/>
      <c r="L3017" s="7"/>
      <c r="M3017" s="7"/>
    </row>
    <row r="3018" ht="15.75" customHeight="1">
      <c r="A3018" s="7" t="s">
        <v>15384</v>
      </c>
      <c r="B3018" s="45" t="s">
        <v>15385</v>
      </c>
      <c r="C3018" s="7"/>
      <c r="D3018" s="7" t="s">
        <v>15386</v>
      </c>
      <c r="E3018" s="7" t="s">
        <v>6047</v>
      </c>
      <c r="F3018" s="7" t="s">
        <v>6048</v>
      </c>
      <c r="G3018" s="7"/>
      <c r="H3018" s="47" t="s">
        <v>14727</v>
      </c>
      <c r="I3018" s="7" t="s">
        <v>160</v>
      </c>
      <c r="J3018" s="7" t="s">
        <v>148</v>
      </c>
      <c r="K3018" s="7"/>
      <c r="L3018" s="7"/>
      <c r="M3018" s="7"/>
    </row>
    <row r="3019" ht="15.75" customHeight="1">
      <c r="A3019" s="7" t="s">
        <v>15387</v>
      </c>
      <c r="B3019" s="45" t="s">
        <v>15388</v>
      </c>
      <c r="C3019" s="7"/>
      <c r="D3019" s="7" t="s">
        <v>15389</v>
      </c>
      <c r="E3019" s="7" t="s">
        <v>6065</v>
      </c>
      <c r="F3019" s="7" t="s">
        <v>15390</v>
      </c>
      <c r="G3019" s="7" t="s">
        <v>15391</v>
      </c>
      <c r="H3019" s="47" t="s">
        <v>14727</v>
      </c>
      <c r="I3019" s="7" t="s">
        <v>160</v>
      </c>
      <c r="J3019" s="7" t="s">
        <v>148</v>
      </c>
      <c r="K3019" s="7"/>
      <c r="L3019" s="7"/>
      <c r="M3019" s="7"/>
    </row>
    <row r="3020" ht="15.75" customHeight="1">
      <c r="A3020" s="7" t="s">
        <v>15392</v>
      </c>
      <c r="B3020" s="45" t="s">
        <v>15393</v>
      </c>
      <c r="C3020" s="7"/>
      <c r="D3020" s="7" t="s">
        <v>15394</v>
      </c>
      <c r="E3020" s="7" t="s">
        <v>15395</v>
      </c>
      <c r="F3020" s="7"/>
      <c r="G3020" s="7"/>
      <c r="H3020" s="47" t="s">
        <v>14727</v>
      </c>
      <c r="I3020" s="7" t="s">
        <v>154</v>
      </c>
      <c r="J3020" s="7" t="s">
        <v>148</v>
      </c>
      <c r="K3020" s="7"/>
      <c r="L3020" s="7"/>
      <c r="M3020" s="7"/>
    </row>
    <row r="3021" ht="15.75" customHeight="1">
      <c r="A3021" s="7" t="s">
        <v>15396</v>
      </c>
      <c r="B3021" s="45" t="s">
        <v>15397</v>
      </c>
      <c r="C3021" s="7"/>
      <c r="D3021" s="7" t="s">
        <v>15398</v>
      </c>
      <c r="E3021" s="7" t="s">
        <v>15395</v>
      </c>
      <c r="F3021" s="7"/>
      <c r="G3021" s="7"/>
      <c r="H3021" s="47" t="s">
        <v>14727</v>
      </c>
      <c r="I3021" s="7" t="s">
        <v>154</v>
      </c>
      <c r="J3021" s="7" t="s">
        <v>148</v>
      </c>
      <c r="K3021" s="7"/>
      <c r="L3021" s="7"/>
      <c r="M3021" s="7"/>
    </row>
    <row r="3022" ht="15.75" customHeight="1">
      <c r="A3022" s="7" t="s">
        <v>15399</v>
      </c>
      <c r="B3022" s="45" t="s">
        <v>15400</v>
      </c>
      <c r="C3022" s="7"/>
      <c r="D3022" s="7" t="s">
        <v>4520</v>
      </c>
      <c r="E3022" s="7" t="s">
        <v>4521</v>
      </c>
      <c r="F3022" s="7" t="s">
        <v>4522</v>
      </c>
      <c r="G3022" s="7"/>
      <c r="H3022" s="47" t="s">
        <v>14727</v>
      </c>
      <c r="I3022" s="7" t="s">
        <v>160</v>
      </c>
      <c r="J3022" s="7" t="s">
        <v>148</v>
      </c>
      <c r="K3022" s="7"/>
      <c r="L3022" s="7"/>
      <c r="M3022" s="7"/>
    </row>
    <row r="3023" ht="15.75" customHeight="1">
      <c r="A3023" s="7" t="s">
        <v>15401</v>
      </c>
      <c r="B3023" s="45" t="s">
        <v>15402</v>
      </c>
      <c r="C3023" s="7"/>
      <c r="D3023" s="7" t="s">
        <v>15403</v>
      </c>
      <c r="E3023" s="7" t="s">
        <v>5710</v>
      </c>
      <c r="F3023" s="7" t="s">
        <v>5711</v>
      </c>
      <c r="G3023" s="7" t="s">
        <v>15404</v>
      </c>
      <c r="H3023" s="47" t="s">
        <v>14727</v>
      </c>
      <c r="I3023" s="7" t="s">
        <v>160</v>
      </c>
      <c r="J3023" s="7" t="s">
        <v>148</v>
      </c>
      <c r="K3023" s="7"/>
      <c r="L3023" s="7"/>
      <c r="M3023" s="7"/>
    </row>
    <row r="3024" ht="15.75" customHeight="1">
      <c r="A3024" s="7" t="s">
        <v>15405</v>
      </c>
      <c r="B3024" s="45" t="s">
        <v>15406</v>
      </c>
      <c r="C3024" s="7"/>
      <c r="D3024" s="7" t="s">
        <v>6138</v>
      </c>
      <c r="E3024" s="7" t="s">
        <v>15407</v>
      </c>
      <c r="F3024" s="7" t="s">
        <v>15408</v>
      </c>
      <c r="G3024" s="7"/>
      <c r="H3024" s="47" t="s">
        <v>14727</v>
      </c>
      <c r="I3024" s="7" t="s">
        <v>160</v>
      </c>
      <c r="J3024" s="7" t="s">
        <v>148</v>
      </c>
      <c r="K3024" s="7"/>
      <c r="L3024" s="7"/>
      <c r="M3024" s="7"/>
    </row>
    <row r="3025" ht="15.75" customHeight="1">
      <c r="A3025" s="7" t="s">
        <v>15409</v>
      </c>
      <c r="B3025" s="45" t="s">
        <v>15410</v>
      </c>
      <c r="C3025" s="7"/>
      <c r="D3025" s="7" t="s">
        <v>15411</v>
      </c>
      <c r="E3025" s="7" t="s">
        <v>5784</v>
      </c>
      <c r="F3025" s="7" t="s">
        <v>5785</v>
      </c>
      <c r="G3025" s="7" t="s">
        <v>15412</v>
      </c>
      <c r="H3025" s="47" t="s">
        <v>14727</v>
      </c>
      <c r="I3025" s="7" t="s">
        <v>160</v>
      </c>
      <c r="J3025" s="7" t="s">
        <v>148</v>
      </c>
      <c r="K3025" s="7"/>
      <c r="L3025" s="7"/>
      <c r="M3025" s="7"/>
    </row>
    <row r="3026" ht="15.75" customHeight="1">
      <c r="A3026" s="7" t="s">
        <v>15413</v>
      </c>
      <c r="B3026" s="45" t="s">
        <v>15414</v>
      </c>
      <c r="C3026" s="7"/>
      <c r="D3026" s="7" t="s">
        <v>15415</v>
      </c>
      <c r="E3026" s="7" t="s">
        <v>14537</v>
      </c>
      <c r="F3026" s="7" t="s">
        <v>14538</v>
      </c>
      <c r="G3026" s="7"/>
      <c r="H3026" s="47" t="s">
        <v>14727</v>
      </c>
      <c r="I3026" s="7" t="s">
        <v>160</v>
      </c>
      <c r="J3026" s="7" t="s">
        <v>148</v>
      </c>
      <c r="K3026" s="7"/>
      <c r="L3026" s="7"/>
      <c r="M3026" s="7"/>
    </row>
    <row r="3027" ht="15.75" customHeight="1">
      <c r="A3027" s="7" t="s">
        <v>15416</v>
      </c>
      <c r="B3027" s="45" t="s">
        <v>15417</v>
      </c>
      <c r="C3027" s="7"/>
      <c r="D3027" s="7" t="s">
        <v>5379</v>
      </c>
      <c r="E3027" s="7" t="s">
        <v>5380</v>
      </c>
      <c r="F3027" s="7" t="s">
        <v>5381</v>
      </c>
      <c r="G3027" s="7"/>
      <c r="H3027" s="47" t="s">
        <v>14727</v>
      </c>
      <c r="I3027" s="7" t="s">
        <v>160</v>
      </c>
      <c r="J3027" s="7" t="s">
        <v>148</v>
      </c>
      <c r="K3027" s="7"/>
      <c r="L3027" s="7"/>
      <c r="M3027" s="7"/>
    </row>
    <row r="3028" ht="15.75" customHeight="1">
      <c r="A3028" s="7" t="s">
        <v>15418</v>
      </c>
      <c r="B3028" s="45" t="s">
        <v>15419</v>
      </c>
      <c r="C3028" s="7"/>
      <c r="D3028" s="7" t="s">
        <v>15420</v>
      </c>
      <c r="E3028" s="7" t="s">
        <v>6734</v>
      </c>
      <c r="F3028" s="7" t="s">
        <v>6735</v>
      </c>
      <c r="G3028" s="7"/>
      <c r="H3028" s="47" t="s">
        <v>14727</v>
      </c>
      <c r="I3028" s="7" t="s">
        <v>160</v>
      </c>
      <c r="J3028" s="7" t="s">
        <v>148</v>
      </c>
      <c r="K3028" s="7"/>
      <c r="L3028" s="7"/>
      <c r="M3028" s="7"/>
    </row>
    <row r="3029" ht="15.75" customHeight="1">
      <c r="A3029" s="7" t="s">
        <v>15421</v>
      </c>
      <c r="B3029" s="45" t="s">
        <v>15422</v>
      </c>
      <c r="C3029" s="7"/>
      <c r="D3029" s="7" t="s">
        <v>15423</v>
      </c>
      <c r="E3029" s="7" t="s">
        <v>1476</v>
      </c>
      <c r="F3029" s="7" t="s">
        <v>1477</v>
      </c>
      <c r="G3029" s="7" t="s">
        <v>15424</v>
      </c>
      <c r="H3029" s="47" t="s">
        <v>14727</v>
      </c>
      <c r="I3029" s="7" t="s">
        <v>160</v>
      </c>
      <c r="J3029" s="7" t="s">
        <v>148</v>
      </c>
      <c r="K3029" s="7"/>
      <c r="L3029" s="7"/>
      <c r="M3029" s="7"/>
    </row>
    <row r="3030" ht="15.75" customHeight="1">
      <c r="A3030" s="7" t="s">
        <v>15425</v>
      </c>
      <c r="B3030" s="45" t="s">
        <v>15426</v>
      </c>
      <c r="C3030" s="7"/>
      <c r="D3030" s="7" t="s">
        <v>15427</v>
      </c>
      <c r="E3030" s="7" t="s">
        <v>6205</v>
      </c>
      <c r="F3030" s="7" t="s">
        <v>6210</v>
      </c>
      <c r="G3030" s="7"/>
      <c r="H3030" s="47" t="s">
        <v>14727</v>
      </c>
      <c r="I3030" s="7" t="s">
        <v>160</v>
      </c>
      <c r="J3030" s="7" t="s">
        <v>148</v>
      </c>
      <c r="K3030" s="7"/>
      <c r="L3030" s="7"/>
      <c r="M3030" s="7"/>
    </row>
    <row r="3031" ht="15.75" customHeight="1">
      <c r="A3031" s="7" t="s">
        <v>15428</v>
      </c>
      <c r="B3031" s="45" t="s">
        <v>15429</v>
      </c>
      <c r="C3031" s="7"/>
      <c r="D3031" s="7" t="s">
        <v>15430</v>
      </c>
      <c r="E3031" s="7" t="s">
        <v>399</v>
      </c>
      <c r="F3031" s="7" t="s">
        <v>400</v>
      </c>
      <c r="G3031" s="7"/>
      <c r="H3031" s="47" t="s">
        <v>14727</v>
      </c>
      <c r="I3031" s="7" t="s">
        <v>160</v>
      </c>
      <c r="J3031" s="7" t="s">
        <v>148</v>
      </c>
      <c r="K3031" s="7"/>
      <c r="L3031" s="7"/>
      <c r="M3031" s="7"/>
    </row>
    <row r="3032" ht="15.75" customHeight="1">
      <c r="A3032" s="7" t="s">
        <v>15431</v>
      </c>
      <c r="B3032" s="45" t="s">
        <v>15432</v>
      </c>
      <c r="C3032" s="7"/>
      <c r="D3032" s="7" t="s">
        <v>6241</v>
      </c>
      <c r="E3032" s="7" t="s">
        <v>6242</v>
      </c>
      <c r="F3032" s="7" t="s">
        <v>6243</v>
      </c>
      <c r="G3032" s="7"/>
      <c r="H3032" s="47" t="s">
        <v>14727</v>
      </c>
      <c r="I3032" s="7" t="s">
        <v>160</v>
      </c>
      <c r="J3032" s="7" t="s">
        <v>148</v>
      </c>
      <c r="K3032" s="7"/>
      <c r="L3032" s="7"/>
      <c r="M3032" s="7"/>
    </row>
    <row r="3033" ht="15.75" customHeight="1">
      <c r="A3033" s="7" t="s">
        <v>15433</v>
      </c>
      <c r="B3033" s="45" t="s">
        <v>15434</v>
      </c>
      <c r="C3033" s="7"/>
      <c r="D3033" s="7" t="s">
        <v>6265</v>
      </c>
      <c r="E3033" s="7" t="s">
        <v>6266</v>
      </c>
      <c r="F3033" s="7" t="s">
        <v>6267</v>
      </c>
      <c r="G3033" s="7"/>
      <c r="H3033" s="47" t="s">
        <v>14727</v>
      </c>
      <c r="I3033" s="7" t="s">
        <v>160</v>
      </c>
      <c r="J3033" s="7" t="s">
        <v>148</v>
      </c>
      <c r="K3033" s="7"/>
      <c r="L3033" s="7"/>
      <c r="M3033" s="7"/>
    </row>
    <row r="3034" ht="15.75" customHeight="1">
      <c r="A3034" s="7" t="s">
        <v>15435</v>
      </c>
      <c r="B3034" s="45" t="s">
        <v>15436</v>
      </c>
      <c r="C3034" s="7"/>
      <c r="D3034" s="7" t="s">
        <v>15437</v>
      </c>
      <c r="E3034" s="7" t="s">
        <v>15438</v>
      </c>
      <c r="F3034" s="7" t="s">
        <v>15439</v>
      </c>
      <c r="G3034" s="7" t="s">
        <v>15440</v>
      </c>
      <c r="H3034" s="47" t="s">
        <v>14727</v>
      </c>
      <c r="I3034" s="7" t="s">
        <v>160</v>
      </c>
      <c r="J3034" s="7" t="s">
        <v>148</v>
      </c>
      <c r="K3034" s="7"/>
      <c r="L3034" s="7"/>
      <c r="M3034" s="7"/>
    </row>
    <row r="3035" ht="15.75" customHeight="1">
      <c r="A3035" s="7" t="s">
        <v>15441</v>
      </c>
      <c r="B3035" s="45" t="s">
        <v>15442</v>
      </c>
      <c r="C3035" s="7"/>
      <c r="D3035" s="7" t="s">
        <v>6292</v>
      </c>
      <c r="E3035" s="7" t="s">
        <v>15443</v>
      </c>
      <c r="F3035" s="7" t="s">
        <v>15444</v>
      </c>
      <c r="G3035" s="7" t="s">
        <v>15445</v>
      </c>
      <c r="H3035" s="47" t="s">
        <v>14727</v>
      </c>
      <c r="I3035" s="7" t="s">
        <v>160</v>
      </c>
      <c r="J3035" s="7" t="s">
        <v>148</v>
      </c>
      <c r="K3035" s="7"/>
      <c r="L3035" s="7"/>
      <c r="M3035" s="7"/>
    </row>
    <row r="3036" ht="15.75" customHeight="1">
      <c r="A3036" s="7" t="s">
        <v>15446</v>
      </c>
      <c r="B3036" s="45" t="s">
        <v>15447</v>
      </c>
      <c r="C3036" s="7"/>
      <c r="D3036" s="7" t="s">
        <v>15448</v>
      </c>
      <c r="E3036" s="7" t="s">
        <v>6331</v>
      </c>
      <c r="F3036" s="7" t="s">
        <v>6332</v>
      </c>
      <c r="G3036" s="7" t="s">
        <v>15449</v>
      </c>
      <c r="H3036" s="47" t="s">
        <v>14727</v>
      </c>
      <c r="I3036" s="7" t="s">
        <v>160</v>
      </c>
      <c r="J3036" s="7" t="s">
        <v>148</v>
      </c>
      <c r="K3036" s="7"/>
      <c r="L3036" s="7"/>
      <c r="M3036" s="7"/>
    </row>
    <row r="3037" ht="15.75" customHeight="1">
      <c r="A3037" s="7" t="s">
        <v>15450</v>
      </c>
      <c r="B3037" s="45" t="s">
        <v>15451</v>
      </c>
      <c r="C3037" s="7"/>
      <c r="D3037" s="7" t="s">
        <v>15452</v>
      </c>
      <c r="E3037" s="7" t="s">
        <v>6337</v>
      </c>
      <c r="F3037" s="7" t="s">
        <v>6338</v>
      </c>
      <c r="G3037" s="7"/>
      <c r="H3037" s="47" t="s">
        <v>14727</v>
      </c>
      <c r="I3037" s="7" t="s">
        <v>160</v>
      </c>
      <c r="J3037" s="7" t="s">
        <v>148</v>
      </c>
      <c r="K3037" s="7"/>
      <c r="L3037" s="7"/>
      <c r="M3037" s="7"/>
    </row>
    <row r="3038" ht="15.75" customHeight="1">
      <c r="A3038" s="7" t="s">
        <v>15453</v>
      </c>
      <c r="B3038" s="45" t="s">
        <v>15454</v>
      </c>
      <c r="C3038" s="7"/>
      <c r="D3038" s="7" t="s">
        <v>15455</v>
      </c>
      <c r="E3038" s="7" t="s">
        <v>15456</v>
      </c>
      <c r="F3038" s="7" t="s">
        <v>3144</v>
      </c>
      <c r="G3038" s="7" t="s">
        <v>15457</v>
      </c>
      <c r="H3038" s="47" t="s">
        <v>14727</v>
      </c>
      <c r="I3038" s="7" t="s">
        <v>160</v>
      </c>
      <c r="J3038" s="7" t="s">
        <v>148</v>
      </c>
      <c r="K3038" s="7"/>
      <c r="L3038" s="7"/>
      <c r="M3038" s="7"/>
    </row>
    <row r="3039" ht="15.75" customHeight="1">
      <c r="A3039" s="7" t="s">
        <v>15458</v>
      </c>
      <c r="B3039" s="45" t="s">
        <v>15459</v>
      </c>
      <c r="C3039" s="7" t="s">
        <v>15460</v>
      </c>
      <c r="D3039" s="7" t="s">
        <v>15461</v>
      </c>
      <c r="E3039" s="7" t="s">
        <v>15462</v>
      </c>
      <c r="F3039" s="7"/>
      <c r="G3039" s="7"/>
      <c r="H3039" s="47" t="s">
        <v>14727</v>
      </c>
      <c r="I3039" s="7" t="s">
        <v>154</v>
      </c>
      <c r="J3039" s="7" t="s">
        <v>148</v>
      </c>
      <c r="K3039" s="7"/>
      <c r="L3039" s="7"/>
      <c r="M3039" s="7"/>
    </row>
    <row r="3040" ht="15.75" customHeight="1">
      <c r="A3040" s="7" t="s">
        <v>15463</v>
      </c>
      <c r="B3040" s="45" t="s">
        <v>15464</v>
      </c>
      <c r="C3040" s="7"/>
      <c r="D3040" s="7" t="s">
        <v>15465</v>
      </c>
      <c r="E3040" s="7" t="s">
        <v>15466</v>
      </c>
      <c r="F3040" s="7" t="s">
        <v>6507</v>
      </c>
      <c r="G3040" s="7"/>
      <c r="H3040" s="47" t="s">
        <v>14727</v>
      </c>
      <c r="I3040" s="7" t="s">
        <v>160</v>
      </c>
      <c r="J3040" s="7" t="s">
        <v>148</v>
      </c>
      <c r="K3040" s="7"/>
      <c r="L3040" s="7"/>
      <c r="M3040" s="7"/>
    </row>
    <row r="3041" ht="15.75" customHeight="1">
      <c r="A3041" s="7" t="s">
        <v>15467</v>
      </c>
      <c r="B3041" s="45" t="s">
        <v>15468</v>
      </c>
      <c r="C3041" s="7"/>
      <c r="D3041" s="7" t="s">
        <v>15469</v>
      </c>
      <c r="E3041" s="7" t="s">
        <v>15470</v>
      </c>
      <c r="F3041" s="7" t="s">
        <v>15471</v>
      </c>
      <c r="G3041" s="7"/>
      <c r="H3041" s="47" t="s">
        <v>14727</v>
      </c>
      <c r="I3041" s="7" t="s">
        <v>160</v>
      </c>
      <c r="J3041" s="7" t="s">
        <v>148</v>
      </c>
      <c r="K3041" s="7"/>
      <c r="L3041" s="7"/>
      <c r="M3041" s="7"/>
    </row>
    <row r="3042" ht="15.75" customHeight="1">
      <c r="A3042" s="7" t="s">
        <v>15472</v>
      </c>
      <c r="B3042" s="45" t="s">
        <v>15473</v>
      </c>
      <c r="C3042" s="7"/>
      <c r="D3042" s="7" t="s">
        <v>6603</v>
      </c>
      <c r="E3042" s="7" t="s">
        <v>6604</v>
      </c>
      <c r="F3042" s="7" t="s">
        <v>6605</v>
      </c>
      <c r="G3042" s="7"/>
      <c r="H3042" s="47" t="s">
        <v>14727</v>
      </c>
      <c r="I3042" s="7" t="s">
        <v>160</v>
      </c>
      <c r="J3042" s="7" t="s">
        <v>148</v>
      </c>
      <c r="K3042" s="7"/>
      <c r="L3042" s="7"/>
      <c r="M3042" s="7"/>
    </row>
    <row r="3043" ht="15.75" customHeight="1">
      <c r="A3043" s="7" t="s">
        <v>15474</v>
      </c>
      <c r="B3043" s="45" t="s">
        <v>15475</v>
      </c>
      <c r="C3043" s="7"/>
      <c r="D3043" s="7" t="s">
        <v>6625</v>
      </c>
      <c r="E3043" s="7" t="s">
        <v>15476</v>
      </c>
      <c r="F3043" s="7" t="s">
        <v>6627</v>
      </c>
      <c r="G3043" s="7"/>
      <c r="H3043" s="47" t="s">
        <v>14727</v>
      </c>
      <c r="I3043" s="7" t="s">
        <v>160</v>
      </c>
      <c r="J3043" s="7" t="s">
        <v>148</v>
      </c>
      <c r="K3043" s="7"/>
      <c r="L3043" s="7"/>
      <c r="M3043" s="7"/>
    </row>
    <row r="3044" ht="15.75" customHeight="1">
      <c r="A3044" s="7" t="s">
        <v>15477</v>
      </c>
      <c r="B3044" s="45" t="s">
        <v>15478</v>
      </c>
      <c r="C3044" s="7"/>
      <c r="D3044" s="7" t="s">
        <v>15479</v>
      </c>
      <c r="E3044" s="7" t="s">
        <v>15480</v>
      </c>
      <c r="F3044" s="7" t="s">
        <v>6712</v>
      </c>
      <c r="G3044" s="7"/>
      <c r="H3044" s="47" t="s">
        <v>14727</v>
      </c>
      <c r="I3044" s="7" t="s">
        <v>160</v>
      </c>
      <c r="J3044" s="7" t="s">
        <v>148</v>
      </c>
      <c r="K3044" s="7"/>
      <c r="L3044" s="7"/>
      <c r="M3044" s="7"/>
    </row>
    <row r="3045" ht="15.75" customHeight="1">
      <c r="A3045" s="7" t="s">
        <v>15481</v>
      </c>
      <c r="B3045" s="45" t="s">
        <v>15482</v>
      </c>
      <c r="C3045" s="7"/>
      <c r="D3045" s="7" t="s">
        <v>6716</v>
      </c>
      <c r="E3045" s="7" t="s">
        <v>6717</v>
      </c>
      <c r="F3045" s="7" t="s">
        <v>6718</v>
      </c>
      <c r="G3045" s="7"/>
      <c r="H3045" s="47" t="s">
        <v>14727</v>
      </c>
      <c r="I3045" s="7" t="s">
        <v>160</v>
      </c>
      <c r="J3045" s="7" t="s">
        <v>148</v>
      </c>
      <c r="K3045" s="7"/>
      <c r="L3045" s="7"/>
      <c r="M3045" s="7"/>
    </row>
    <row r="3046" ht="15.75" customHeight="1">
      <c r="A3046" s="7" t="s">
        <v>15483</v>
      </c>
      <c r="B3046" s="45" t="s">
        <v>15484</v>
      </c>
      <c r="C3046" s="7"/>
      <c r="D3046" s="7" t="s">
        <v>6192</v>
      </c>
      <c r="E3046" s="7" t="s">
        <v>6193</v>
      </c>
      <c r="F3046" s="7" t="s">
        <v>6194</v>
      </c>
      <c r="G3046" s="7"/>
      <c r="H3046" s="47" t="s">
        <v>14727</v>
      </c>
      <c r="I3046" s="7" t="s">
        <v>160</v>
      </c>
      <c r="J3046" s="7" t="s">
        <v>148</v>
      </c>
      <c r="K3046" s="7"/>
      <c r="L3046" s="7"/>
      <c r="M3046" s="7"/>
    </row>
    <row r="3047" ht="15.75" customHeight="1">
      <c r="A3047" s="7" t="s">
        <v>15485</v>
      </c>
      <c r="B3047" s="45" t="s">
        <v>15486</v>
      </c>
      <c r="C3047" s="7"/>
      <c r="D3047" s="7" t="s">
        <v>15487</v>
      </c>
      <c r="E3047" s="7" t="s">
        <v>6325</v>
      </c>
      <c r="F3047" s="7" t="s">
        <v>6326</v>
      </c>
      <c r="G3047" s="7" t="s">
        <v>15488</v>
      </c>
      <c r="H3047" s="47" t="s">
        <v>14727</v>
      </c>
      <c r="I3047" s="7" t="s">
        <v>160</v>
      </c>
      <c r="J3047" s="7" t="s">
        <v>148</v>
      </c>
      <c r="K3047" s="7"/>
      <c r="L3047" s="7"/>
      <c r="M3047" s="7"/>
    </row>
    <row r="3048" ht="15.75" customHeight="1">
      <c r="A3048" s="7" t="s">
        <v>15489</v>
      </c>
      <c r="B3048" s="45" t="s">
        <v>15490</v>
      </c>
      <c r="C3048" s="7"/>
      <c r="D3048" s="7" t="s">
        <v>15491</v>
      </c>
      <c r="E3048" s="7" t="s">
        <v>6786</v>
      </c>
      <c r="F3048" s="7" t="s">
        <v>6787</v>
      </c>
      <c r="G3048" s="7"/>
      <c r="H3048" s="47" t="s">
        <v>14727</v>
      </c>
      <c r="I3048" s="7" t="s">
        <v>160</v>
      </c>
      <c r="J3048" s="7" t="s">
        <v>148</v>
      </c>
      <c r="K3048" s="7"/>
      <c r="L3048" s="7"/>
      <c r="M3048" s="7"/>
    </row>
    <row r="3049" ht="15.75" customHeight="1">
      <c r="A3049" s="7" t="s">
        <v>15492</v>
      </c>
      <c r="B3049" s="45" t="s">
        <v>15493</v>
      </c>
      <c r="C3049" s="7"/>
      <c r="D3049" s="7" t="s">
        <v>15494</v>
      </c>
      <c r="E3049" s="7" t="s">
        <v>13307</v>
      </c>
      <c r="F3049" s="7" t="s">
        <v>13308</v>
      </c>
      <c r="G3049" s="7" t="s">
        <v>15495</v>
      </c>
      <c r="H3049" s="47" t="s">
        <v>14727</v>
      </c>
      <c r="I3049" s="7" t="s">
        <v>160</v>
      </c>
      <c r="J3049" s="7" t="s">
        <v>148</v>
      </c>
      <c r="K3049" s="7"/>
      <c r="L3049" s="7"/>
      <c r="M3049" s="7"/>
    </row>
    <row r="3050" ht="15.75" customHeight="1">
      <c r="A3050" s="7" t="s">
        <v>15496</v>
      </c>
      <c r="B3050" s="45" t="s">
        <v>15497</v>
      </c>
      <c r="C3050" s="7"/>
      <c r="D3050" s="7" t="s">
        <v>15498</v>
      </c>
      <c r="E3050" s="7" t="s">
        <v>6812</v>
      </c>
      <c r="F3050" s="7" t="s">
        <v>6813</v>
      </c>
      <c r="G3050" s="7" t="s">
        <v>15499</v>
      </c>
      <c r="H3050" s="47" t="s">
        <v>14727</v>
      </c>
      <c r="I3050" s="7" t="s">
        <v>160</v>
      </c>
      <c r="J3050" s="7" t="s">
        <v>148</v>
      </c>
      <c r="K3050" s="7"/>
      <c r="L3050" s="7"/>
      <c r="M3050" s="7"/>
    </row>
    <row r="3051" ht="15.75" customHeight="1">
      <c r="A3051" s="7" t="s">
        <v>15500</v>
      </c>
      <c r="B3051" s="45" t="s">
        <v>15501</v>
      </c>
      <c r="C3051" s="7"/>
      <c r="D3051" s="7" t="s">
        <v>15502</v>
      </c>
      <c r="E3051" s="7" t="s">
        <v>11608</v>
      </c>
      <c r="F3051" s="7" t="s">
        <v>11609</v>
      </c>
      <c r="G3051" s="7"/>
      <c r="H3051" s="47" t="s">
        <v>14727</v>
      </c>
      <c r="I3051" s="7" t="s">
        <v>160</v>
      </c>
      <c r="J3051" s="7" t="s">
        <v>148</v>
      </c>
      <c r="K3051" s="7"/>
      <c r="L3051" s="7"/>
      <c r="M3051" s="7"/>
    </row>
    <row r="3052" ht="15.75" customHeight="1">
      <c r="A3052" s="7" t="s">
        <v>15503</v>
      </c>
      <c r="B3052" s="45" t="s">
        <v>15504</v>
      </c>
      <c r="C3052" s="7"/>
      <c r="D3052" s="7" t="s">
        <v>15505</v>
      </c>
      <c r="E3052" s="7" t="s">
        <v>15506</v>
      </c>
      <c r="F3052" s="7" t="s">
        <v>15507</v>
      </c>
      <c r="G3052" s="7" t="s">
        <v>15508</v>
      </c>
      <c r="H3052" s="47" t="s">
        <v>14727</v>
      </c>
      <c r="I3052" s="7" t="s">
        <v>160</v>
      </c>
      <c r="J3052" s="7" t="s">
        <v>148</v>
      </c>
      <c r="K3052" s="7"/>
      <c r="L3052" s="7"/>
      <c r="M3052" s="7"/>
    </row>
    <row r="3053" ht="15.75" customHeight="1">
      <c r="A3053" s="7" t="s">
        <v>15509</v>
      </c>
      <c r="B3053" s="45" t="s">
        <v>15510</v>
      </c>
      <c r="C3053" s="7"/>
      <c r="D3053" s="7" t="s">
        <v>5536</v>
      </c>
      <c r="E3053" s="7" t="s">
        <v>5537</v>
      </c>
      <c r="F3053" s="7" t="s">
        <v>5538</v>
      </c>
      <c r="G3053" s="7"/>
      <c r="H3053" s="47" t="s">
        <v>14727</v>
      </c>
      <c r="I3053" s="7" t="s">
        <v>160</v>
      </c>
      <c r="J3053" s="7" t="s">
        <v>148</v>
      </c>
      <c r="K3053" s="7"/>
      <c r="L3053" s="7"/>
      <c r="M3053" s="7"/>
    </row>
    <row r="3054" ht="15.75" customHeight="1">
      <c r="A3054" s="7" t="s">
        <v>15511</v>
      </c>
      <c r="B3054" s="45" t="s">
        <v>15512</v>
      </c>
      <c r="C3054" s="7"/>
      <c r="D3054" s="7" t="s">
        <v>15513</v>
      </c>
      <c r="E3054" s="7" t="s">
        <v>6875</v>
      </c>
      <c r="F3054" s="7" t="s">
        <v>15514</v>
      </c>
      <c r="G3054" s="7"/>
      <c r="H3054" s="47" t="s">
        <v>14727</v>
      </c>
      <c r="I3054" s="7" t="s">
        <v>160</v>
      </c>
      <c r="J3054" s="7" t="s">
        <v>148</v>
      </c>
      <c r="K3054" s="7"/>
      <c r="L3054" s="7"/>
      <c r="M3054" s="7"/>
    </row>
    <row r="3055" ht="15.75" customHeight="1">
      <c r="A3055" s="7" t="s">
        <v>15515</v>
      </c>
      <c r="B3055" s="45" t="s">
        <v>15516</v>
      </c>
      <c r="C3055" s="7"/>
      <c r="D3055" s="7" t="s">
        <v>6908</v>
      </c>
      <c r="E3055" s="7" t="s">
        <v>6909</v>
      </c>
      <c r="F3055" s="7" t="s">
        <v>6910</v>
      </c>
      <c r="G3055" s="7" t="s">
        <v>15517</v>
      </c>
      <c r="H3055" s="47" t="s">
        <v>14727</v>
      </c>
      <c r="I3055" s="7" t="s">
        <v>160</v>
      </c>
      <c r="J3055" s="7" t="s">
        <v>148</v>
      </c>
      <c r="K3055" s="7"/>
      <c r="L3055" s="7"/>
      <c r="M3055" s="7"/>
    </row>
    <row r="3056" ht="15.75" customHeight="1">
      <c r="A3056" s="7" t="s">
        <v>15518</v>
      </c>
      <c r="B3056" s="45" t="s">
        <v>15519</v>
      </c>
      <c r="C3056" s="7"/>
      <c r="D3056" s="7" t="s">
        <v>15520</v>
      </c>
      <c r="E3056" s="7" t="s">
        <v>6918</v>
      </c>
      <c r="F3056" s="7" t="s">
        <v>6919</v>
      </c>
      <c r="G3056" s="7"/>
      <c r="H3056" s="47" t="s">
        <v>14727</v>
      </c>
      <c r="I3056" s="7" t="s">
        <v>160</v>
      </c>
      <c r="J3056" s="7" t="s">
        <v>148</v>
      </c>
      <c r="K3056" s="7"/>
      <c r="L3056" s="7"/>
      <c r="M3056" s="7"/>
    </row>
    <row r="3057" ht="15.75" customHeight="1">
      <c r="A3057" s="7" t="s">
        <v>15521</v>
      </c>
      <c r="B3057" s="45" t="s">
        <v>15522</v>
      </c>
      <c r="C3057" s="7"/>
      <c r="D3057" s="7" t="s">
        <v>15523</v>
      </c>
      <c r="E3057" s="7" t="s">
        <v>6924</v>
      </c>
      <c r="F3057" s="7" t="s">
        <v>6925</v>
      </c>
      <c r="G3057" s="7" t="s">
        <v>15524</v>
      </c>
      <c r="H3057" s="47" t="s">
        <v>14727</v>
      </c>
      <c r="I3057" s="7" t="s">
        <v>160</v>
      </c>
      <c r="J3057" s="7" t="s">
        <v>148</v>
      </c>
      <c r="K3057" s="7"/>
      <c r="L3057" s="7"/>
      <c r="M3057" s="7"/>
    </row>
    <row r="3058" ht="15.75" customHeight="1">
      <c r="A3058" s="7" t="s">
        <v>15525</v>
      </c>
      <c r="B3058" s="45" t="s">
        <v>15526</v>
      </c>
      <c r="C3058" s="7"/>
      <c r="D3058" s="7" t="s">
        <v>15527</v>
      </c>
      <c r="E3058" s="7" t="s">
        <v>10988</v>
      </c>
      <c r="F3058" s="7" t="s">
        <v>10989</v>
      </c>
      <c r="G3058" s="7" t="s">
        <v>15528</v>
      </c>
      <c r="H3058" s="47" t="s">
        <v>14727</v>
      </c>
      <c r="I3058" s="7" t="s">
        <v>160</v>
      </c>
      <c r="J3058" s="7" t="s">
        <v>148</v>
      </c>
      <c r="K3058" s="7"/>
      <c r="L3058" s="7"/>
      <c r="M3058" s="7"/>
    </row>
    <row r="3059" ht="15.75" customHeight="1">
      <c r="A3059" s="7" t="s">
        <v>15529</v>
      </c>
      <c r="B3059" s="45" t="s">
        <v>15530</v>
      </c>
      <c r="C3059" s="7"/>
      <c r="D3059" s="7" t="s">
        <v>15531</v>
      </c>
      <c r="E3059" s="7" t="s">
        <v>2172</v>
      </c>
      <c r="F3059" s="7" t="s">
        <v>2173</v>
      </c>
      <c r="G3059" s="7"/>
      <c r="H3059" s="47" t="s">
        <v>14727</v>
      </c>
      <c r="I3059" s="7" t="s">
        <v>160</v>
      </c>
      <c r="J3059" s="7" t="s">
        <v>148</v>
      </c>
      <c r="K3059" s="7"/>
      <c r="L3059" s="7"/>
      <c r="M3059" s="7"/>
    </row>
    <row r="3060" ht="15.75" customHeight="1">
      <c r="A3060" s="7" t="s">
        <v>15532</v>
      </c>
      <c r="B3060" s="45" t="s">
        <v>15533</v>
      </c>
      <c r="C3060" s="7"/>
      <c r="D3060" s="7" t="s">
        <v>15534</v>
      </c>
      <c r="E3060" s="7" t="s">
        <v>7606</v>
      </c>
      <c r="F3060" s="7" t="s">
        <v>7607</v>
      </c>
      <c r="G3060" s="7" t="s">
        <v>15535</v>
      </c>
      <c r="H3060" s="47" t="s">
        <v>14727</v>
      </c>
      <c r="I3060" s="7" t="s">
        <v>160</v>
      </c>
      <c r="J3060" s="7" t="s">
        <v>148</v>
      </c>
      <c r="K3060" s="7"/>
      <c r="L3060" s="7"/>
      <c r="M3060" s="7"/>
    </row>
    <row r="3061" ht="15.75" customHeight="1">
      <c r="A3061" s="7" t="s">
        <v>15536</v>
      </c>
      <c r="B3061" s="45" t="s">
        <v>15537</v>
      </c>
      <c r="C3061" s="7"/>
      <c r="D3061" s="7" t="s">
        <v>15538</v>
      </c>
      <c r="E3061" s="7" t="s">
        <v>6944</v>
      </c>
      <c r="F3061" s="7" t="s">
        <v>6945</v>
      </c>
      <c r="G3061" s="7" t="s">
        <v>15539</v>
      </c>
      <c r="H3061" s="47" t="s">
        <v>14727</v>
      </c>
      <c r="I3061" s="7" t="s">
        <v>160</v>
      </c>
      <c r="J3061" s="7" t="s">
        <v>148</v>
      </c>
      <c r="K3061" s="7"/>
      <c r="L3061" s="7"/>
      <c r="M3061" s="7"/>
    </row>
    <row r="3062" ht="15.75" customHeight="1">
      <c r="A3062" s="7" t="s">
        <v>15540</v>
      </c>
      <c r="B3062" s="45" t="s">
        <v>15541</v>
      </c>
      <c r="C3062" s="7"/>
      <c r="D3062" s="7" t="s">
        <v>6962</v>
      </c>
      <c r="E3062" s="7" t="s">
        <v>6963</v>
      </c>
      <c r="F3062" s="7" t="s">
        <v>6964</v>
      </c>
      <c r="G3062" s="7" t="s">
        <v>15542</v>
      </c>
      <c r="H3062" s="47" t="s">
        <v>14727</v>
      </c>
      <c r="I3062" s="7" t="s">
        <v>160</v>
      </c>
      <c r="J3062" s="7" t="s">
        <v>148</v>
      </c>
      <c r="K3062" s="7"/>
      <c r="L3062" s="7"/>
      <c r="M3062" s="7"/>
    </row>
    <row r="3063" ht="15.75" customHeight="1">
      <c r="A3063" s="7" t="s">
        <v>15543</v>
      </c>
      <c r="B3063" s="45" t="s">
        <v>15544</v>
      </c>
      <c r="C3063" s="7"/>
      <c r="D3063" s="7" t="s">
        <v>15545</v>
      </c>
      <c r="E3063" s="7" t="s">
        <v>7180</v>
      </c>
      <c r="F3063" s="7" t="s">
        <v>7175</v>
      </c>
      <c r="G3063" s="7" t="s">
        <v>15546</v>
      </c>
      <c r="H3063" s="47" t="s">
        <v>14727</v>
      </c>
      <c r="I3063" s="7" t="s">
        <v>160</v>
      </c>
      <c r="J3063" s="7" t="s">
        <v>148</v>
      </c>
      <c r="K3063" s="7"/>
      <c r="L3063" s="7"/>
      <c r="M3063" s="7"/>
    </row>
    <row r="3064" ht="15.75" customHeight="1">
      <c r="A3064" s="7" t="s">
        <v>15547</v>
      </c>
      <c r="B3064" s="45" t="s">
        <v>15548</v>
      </c>
      <c r="C3064" s="7"/>
      <c r="D3064" s="7" t="s">
        <v>15549</v>
      </c>
      <c r="E3064" s="7" t="s">
        <v>15550</v>
      </c>
      <c r="F3064" s="7" t="s">
        <v>10681</v>
      </c>
      <c r="G3064" s="7"/>
      <c r="H3064" s="47" t="s">
        <v>14727</v>
      </c>
      <c r="I3064" s="7" t="s">
        <v>160</v>
      </c>
      <c r="J3064" s="7" t="s">
        <v>148</v>
      </c>
      <c r="K3064" s="7"/>
      <c r="L3064" s="7"/>
      <c r="M3064" s="7"/>
    </row>
    <row r="3065" ht="15.75" customHeight="1">
      <c r="A3065" s="7" t="s">
        <v>15551</v>
      </c>
      <c r="B3065" s="45" t="s">
        <v>15552</v>
      </c>
      <c r="C3065" s="7"/>
      <c r="D3065" s="7" t="s">
        <v>15553</v>
      </c>
      <c r="E3065" s="7" t="s">
        <v>7042</v>
      </c>
      <c r="F3065" s="7" t="s">
        <v>7043</v>
      </c>
      <c r="G3065" s="7" t="s">
        <v>15554</v>
      </c>
      <c r="H3065" s="47" t="s">
        <v>14727</v>
      </c>
      <c r="I3065" s="7" t="s">
        <v>160</v>
      </c>
      <c r="J3065" s="7" t="s">
        <v>148</v>
      </c>
      <c r="K3065" s="7"/>
      <c r="L3065" s="7"/>
      <c r="M3065" s="7"/>
    </row>
    <row r="3066" ht="15.75" customHeight="1">
      <c r="A3066" s="7" t="s">
        <v>15555</v>
      </c>
      <c r="B3066" s="45" t="s">
        <v>15556</v>
      </c>
      <c r="C3066" s="7"/>
      <c r="D3066" s="7" t="s">
        <v>15557</v>
      </c>
      <c r="E3066" s="7" t="s">
        <v>12037</v>
      </c>
      <c r="F3066" s="7" t="s">
        <v>12038</v>
      </c>
      <c r="G3066" s="7"/>
      <c r="H3066" s="47" t="s">
        <v>14727</v>
      </c>
      <c r="I3066" s="7" t="s">
        <v>160</v>
      </c>
      <c r="J3066" s="7" t="s">
        <v>148</v>
      </c>
      <c r="K3066" s="7"/>
      <c r="L3066" s="7"/>
      <c r="M3066" s="7"/>
    </row>
    <row r="3067" ht="15.75" customHeight="1">
      <c r="A3067" s="7" t="s">
        <v>15558</v>
      </c>
      <c r="B3067" s="45" t="s">
        <v>15559</v>
      </c>
      <c r="C3067" s="7"/>
      <c r="D3067" s="7" t="s">
        <v>7091</v>
      </c>
      <c r="E3067" s="7" t="s">
        <v>7092</v>
      </c>
      <c r="F3067" s="7" t="s">
        <v>7093</v>
      </c>
      <c r="G3067" s="7"/>
      <c r="H3067" s="47" t="s">
        <v>14727</v>
      </c>
      <c r="I3067" s="7" t="s">
        <v>160</v>
      </c>
      <c r="J3067" s="7" t="s">
        <v>148</v>
      </c>
      <c r="K3067" s="7"/>
      <c r="L3067" s="7"/>
      <c r="M3067" s="7"/>
    </row>
    <row r="3068" ht="15.75" customHeight="1">
      <c r="A3068" s="7" t="s">
        <v>15560</v>
      </c>
      <c r="B3068" s="45" t="s">
        <v>15561</v>
      </c>
      <c r="C3068" s="7"/>
      <c r="D3068" s="7" t="s">
        <v>15562</v>
      </c>
      <c r="E3068" s="7" t="s">
        <v>5273</v>
      </c>
      <c r="F3068" s="7" t="s">
        <v>5274</v>
      </c>
      <c r="G3068" s="7" t="s">
        <v>15563</v>
      </c>
      <c r="H3068" s="47" t="s">
        <v>14727</v>
      </c>
      <c r="I3068" s="7" t="s">
        <v>160</v>
      </c>
      <c r="J3068" s="7" t="s">
        <v>148</v>
      </c>
      <c r="K3068" s="7"/>
      <c r="L3068" s="7"/>
      <c r="M3068" s="7"/>
    </row>
    <row r="3069" ht="15.75" customHeight="1">
      <c r="A3069" s="7" t="s">
        <v>15564</v>
      </c>
      <c r="B3069" s="45" t="s">
        <v>15565</v>
      </c>
      <c r="C3069" s="7"/>
      <c r="D3069" s="7" t="s">
        <v>15566</v>
      </c>
      <c r="E3069" s="7" t="s">
        <v>15567</v>
      </c>
      <c r="F3069" s="7" t="s">
        <v>13368</v>
      </c>
      <c r="G3069" s="7"/>
      <c r="H3069" s="47" t="s">
        <v>14727</v>
      </c>
      <c r="I3069" s="7" t="s">
        <v>160</v>
      </c>
      <c r="J3069" s="7" t="s">
        <v>148</v>
      </c>
      <c r="K3069" s="7"/>
      <c r="L3069" s="7"/>
      <c r="M3069" s="7"/>
    </row>
    <row r="3070" ht="15.75" customHeight="1">
      <c r="A3070" s="7" t="s">
        <v>15568</v>
      </c>
      <c r="B3070" s="45" t="s">
        <v>15569</v>
      </c>
      <c r="C3070" s="7"/>
      <c r="D3070" s="7" t="s">
        <v>15570</v>
      </c>
      <c r="E3070" s="7" t="s">
        <v>15571</v>
      </c>
      <c r="F3070" s="7" t="s">
        <v>15572</v>
      </c>
      <c r="G3070" s="7"/>
      <c r="H3070" s="47" t="s">
        <v>14727</v>
      </c>
      <c r="I3070" s="7" t="s">
        <v>160</v>
      </c>
      <c r="J3070" s="7" t="s">
        <v>148</v>
      </c>
      <c r="K3070" s="7"/>
      <c r="L3070" s="7"/>
      <c r="M3070" s="7"/>
    </row>
    <row r="3071" ht="15.75" customHeight="1">
      <c r="A3071" s="7" t="s">
        <v>15573</v>
      </c>
      <c r="B3071" s="45" t="s">
        <v>15574</v>
      </c>
      <c r="C3071" s="7"/>
      <c r="D3071" s="7" t="s">
        <v>13932</v>
      </c>
      <c r="E3071" s="7" t="s">
        <v>13928</v>
      </c>
      <c r="F3071" s="7" t="s">
        <v>13929</v>
      </c>
      <c r="G3071" s="7" t="s">
        <v>15575</v>
      </c>
      <c r="H3071" s="47" t="s">
        <v>14727</v>
      </c>
      <c r="I3071" s="7" t="s">
        <v>160</v>
      </c>
      <c r="J3071" s="7" t="s">
        <v>148</v>
      </c>
      <c r="K3071" s="7"/>
      <c r="L3071" s="7"/>
      <c r="M3071" s="7"/>
    </row>
    <row r="3072" ht="15.75" customHeight="1">
      <c r="A3072" s="7" t="s">
        <v>15576</v>
      </c>
      <c r="B3072" s="45" t="s">
        <v>15577</v>
      </c>
      <c r="C3072" s="7"/>
      <c r="D3072" s="7" t="s">
        <v>15578</v>
      </c>
      <c r="E3072" s="7" t="s">
        <v>10656</v>
      </c>
      <c r="F3072" s="7" t="s">
        <v>10428</v>
      </c>
      <c r="G3072" s="7"/>
      <c r="H3072" s="47" t="s">
        <v>14727</v>
      </c>
      <c r="I3072" s="7" t="s">
        <v>160</v>
      </c>
      <c r="J3072" s="7" t="s">
        <v>148</v>
      </c>
      <c r="K3072" s="7"/>
      <c r="L3072" s="7"/>
      <c r="M3072" s="7"/>
    </row>
    <row r="3073" ht="15.75" customHeight="1">
      <c r="A3073" s="7" t="s">
        <v>15579</v>
      </c>
      <c r="B3073" s="45" t="s">
        <v>15580</v>
      </c>
      <c r="C3073" s="7"/>
      <c r="D3073" s="7" t="s">
        <v>7151</v>
      </c>
      <c r="E3073" s="7" t="s">
        <v>15581</v>
      </c>
      <c r="F3073" s="7" t="s">
        <v>7153</v>
      </c>
      <c r="G3073" s="7" t="s">
        <v>15582</v>
      </c>
      <c r="H3073" s="47" t="s">
        <v>14727</v>
      </c>
      <c r="I3073" s="7" t="s">
        <v>160</v>
      </c>
      <c r="J3073" s="7" t="s">
        <v>148</v>
      </c>
      <c r="K3073" s="7"/>
      <c r="L3073" s="7"/>
      <c r="M3073" s="7"/>
    </row>
    <row r="3074" ht="15.75" customHeight="1">
      <c r="A3074" s="7" t="s">
        <v>15583</v>
      </c>
      <c r="B3074" s="45" t="s">
        <v>15584</v>
      </c>
      <c r="C3074" s="7"/>
      <c r="D3074" s="7" t="s">
        <v>15578</v>
      </c>
      <c r="E3074" s="7" t="s">
        <v>15585</v>
      </c>
      <c r="F3074" s="7" t="s">
        <v>10423</v>
      </c>
      <c r="G3074" s="7"/>
      <c r="H3074" s="47" t="s">
        <v>14727</v>
      </c>
      <c r="I3074" s="7" t="s">
        <v>160</v>
      </c>
      <c r="J3074" s="7" t="s">
        <v>148</v>
      </c>
      <c r="K3074" s="7"/>
      <c r="L3074" s="7"/>
      <c r="M3074" s="7"/>
    </row>
    <row r="3075" ht="15.75" customHeight="1">
      <c r="A3075" s="7" t="s">
        <v>15586</v>
      </c>
      <c r="B3075" s="45" t="s">
        <v>15587</v>
      </c>
      <c r="C3075" s="7"/>
      <c r="D3075" s="7" t="s">
        <v>11560</v>
      </c>
      <c r="E3075" s="7" t="s">
        <v>11561</v>
      </c>
      <c r="F3075" s="7" t="s">
        <v>11562</v>
      </c>
      <c r="G3075" s="7"/>
      <c r="H3075" s="47" t="s">
        <v>14727</v>
      </c>
      <c r="I3075" s="7" t="s">
        <v>160</v>
      </c>
      <c r="J3075" s="7" t="s">
        <v>148</v>
      </c>
      <c r="K3075" s="7"/>
      <c r="L3075" s="7"/>
      <c r="M3075" s="7"/>
    </row>
    <row r="3076" ht="15.75" customHeight="1">
      <c r="A3076" s="7" t="s">
        <v>15588</v>
      </c>
      <c r="B3076" s="45" t="s">
        <v>15589</v>
      </c>
      <c r="C3076" s="7"/>
      <c r="D3076" s="7" t="s">
        <v>15590</v>
      </c>
      <c r="E3076" s="7" t="s">
        <v>15591</v>
      </c>
      <c r="F3076" s="7" t="s">
        <v>15592</v>
      </c>
      <c r="G3076" s="7"/>
      <c r="H3076" s="47" t="s">
        <v>14727</v>
      </c>
      <c r="I3076" s="7" t="s">
        <v>160</v>
      </c>
      <c r="J3076" s="7" t="s">
        <v>148</v>
      </c>
      <c r="K3076" s="7"/>
      <c r="L3076" s="7"/>
      <c r="M3076" s="7"/>
    </row>
    <row r="3077" ht="15.75" customHeight="1">
      <c r="A3077" s="7" t="s">
        <v>15593</v>
      </c>
      <c r="B3077" s="45" t="s">
        <v>15594</v>
      </c>
      <c r="C3077" s="7"/>
      <c r="D3077" s="7" t="s">
        <v>15595</v>
      </c>
      <c r="E3077" s="7" t="s">
        <v>5645</v>
      </c>
      <c r="F3077" s="7" t="s">
        <v>5646</v>
      </c>
      <c r="G3077" s="7"/>
      <c r="H3077" s="47" t="s">
        <v>14727</v>
      </c>
      <c r="I3077" s="7" t="s">
        <v>160</v>
      </c>
      <c r="J3077" s="7" t="s">
        <v>148</v>
      </c>
      <c r="K3077" s="7"/>
      <c r="L3077" s="7"/>
      <c r="M3077" s="7"/>
    </row>
    <row r="3078" ht="15.75" customHeight="1">
      <c r="A3078" s="7" t="s">
        <v>15596</v>
      </c>
      <c r="B3078" s="45" t="s">
        <v>15597</v>
      </c>
      <c r="C3078" s="7"/>
      <c r="D3078" s="7" t="s">
        <v>15598</v>
      </c>
      <c r="E3078" s="7" t="s">
        <v>7020</v>
      </c>
      <c r="F3078" s="7" t="s">
        <v>15599</v>
      </c>
      <c r="G3078" s="7" t="s">
        <v>15600</v>
      </c>
      <c r="H3078" s="47" t="s">
        <v>14727</v>
      </c>
      <c r="I3078" s="7" t="s">
        <v>160</v>
      </c>
      <c r="J3078" s="7" t="s">
        <v>148</v>
      </c>
      <c r="K3078" s="7"/>
      <c r="L3078" s="7"/>
      <c r="M3078" s="7"/>
    </row>
    <row r="3079" ht="15.75" customHeight="1">
      <c r="A3079" s="7" t="s">
        <v>15601</v>
      </c>
      <c r="B3079" s="45" t="s">
        <v>15602</v>
      </c>
      <c r="C3079" s="7"/>
      <c r="D3079" s="7" t="s">
        <v>15603</v>
      </c>
      <c r="E3079" s="7" t="s">
        <v>15604</v>
      </c>
      <c r="F3079" s="7" t="s">
        <v>2027</v>
      </c>
      <c r="G3079" s="7"/>
      <c r="H3079" s="47" t="s">
        <v>14727</v>
      </c>
      <c r="I3079" s="7" t="s">
        <v>160</v>
      </c>
      <c r="J3079" s="7" t="s">
        <v>148</v>
      </c>
      <c r="K3079" s="7"/>
      <c r="L3079" s="7"/>
      <c r="M3079" s="7"/>
    </row>
    <row r="3080" ht="15.75" customHeight="1">
      <c r="A3080" s="7" t="s">
        <v>15605</v>
      </c>
      <c r="B3080" s="45" t="s">
        <v>15606</v>
      </c>
      <c r="C3080" s="7"/>
      <c r="D3080" s="7" t="s">
        <v>15607</v>
      </c>
      <c r="E3080" s="7" t="s">
        <v>15608</v>
      </c>
      <c r="F3080" s="7" t="s">
        <v>7221</v>
      </c>
      <c r="G3080" s="7"/>
      <c r="H3080" s="47" t="s">
        <v>14727</v>
      </c>
      <c r="I3080" s="7" t="s">
        <v>160</v>
      </c>
      <c r="J3080" s="7" t="s">
        <v>148</v>
      </c>
      <c r="K3080" s="7"/>
      <c r="L3080" s="7"/>
      <c r="M3080" s="7"/>
    </row>
    <row r="3081" ht="15.75" customHeight="1">
      <c r="A3081" s="7" t="s">
        <v>15609</v>
      </c>
      <c r="B3081" s="45" t="s">
        <v>15610</v>
      </c>
      <c r="C3081" s="7"/>
      <c r="D3081" s="7" t="s">
        <v>15611</v>
      </c>
      <c r="E3081" s="7" t="s">
        <v>7226</v>
      </c>
      <c r="F3081" s="7" t="s">
        <v>7227</v>
      </c>
      <c r="G3081" s="7"/>
      <c r="H3081" s="47" t="s">
        <v>14727</v>
      </c>
      <c r="I3081" s="7" t="s">
        <v>160</v>
      </c>
      <c r="J3081" s="7" t="s">
        <v>148</v>
      </c>
      <c r="K3081" s="7"/>
      <c r="L3081" s="7"/>
      <c r="M3081" s="7"/>
    </row>
    <row r="3082" ht="15.75" customHeight="1">
      <c r="A3082" s="7" t="s">
        <v>15612</v>
      </c>
      <c r="B3082" s="45" t="s">
        <v>15613</v>
      </c>
      <c r="C3082" s="7"/>
      <c r="D3082" s="7" t="s">
        <v>15614</v>
      </c>
      <c r="E3082" s="7" t="s">
        <v>6164</v>
      </c>
      <c r="F3082" s="7" t="s">
        <v>6165</v>
      </c>
      <c r="G3082" s="7"/>
      <c r="H3082" s="47" t="s">
        <v>14727</v>
      </c>
      <c r="I3082" s="7" t="s">
        <v>160</v>
      </c>
      <c r="J3082" s="7" t="s">
        <v>148</v>
      </c>
      <c r="K3082" s="7"/>
      <c r="L3082" s="7"/>
      <c r="M3082" s="7"/>
    </row>
    <row r="3083" ht="15.75" customHeight="1">
      <c r="A3083" s="7" t="s">
        <v>15615</v>
      </c>
      <c r="B3083" s="45" t="s">
        <v>15616</v>
      </c>
      <c r="C3083" s="7"/>
      <c r="D3083" s="7" t="s">
        <v>14649</v>
      </c>
      <c r="E3083" s="7" t="s">
        <v>14650</v>
      </c>
      <c r="F3083" s="7" t="s">
        <v>14651</v>
      </c>
      <c r="G3083" s="7" t="s">
        <v>15617</v>
      </c>
      <c r="H3083" s="47" t="s">
        <v>14727</v>
      </c>
      <c r="I3083" s="7" t="s">
        <v>160</v>
      </c>
      <c r="J3083" s="7" t="s">
        <v>148</v>
      </c>
      <c r="K3083" s="7"/>
      <c r="L3083" s="7"/>
      <c r="M3083" s="7"/>
    </row>
    <row r="3084" ht="15.75" customHeight="1">
      <c r="A3084" s="7" t="s">
        <v>15618</v>
      </c>
      <c r="B3084" s="45" t="s">
        <v>15619</v>
      </c>
      <c r="C3084" s="7"/>
      <c r="D3084" s="7" t="s">
        <v>15620</v>
      </c>
      <c r="E3084" s="7" t="s">
        <v>7238</v>
      </c>
      <c r="F3084" s="7" t="s">
        <v>7239</v>
      </c>
      <c r="G3084" s="7" t="s">
        <v>15621</v>
      </c>
      <c r="H3084" s="47" t="s">
        <v>14727</v>
      </c>
      <c r="I3084" s="7" t="s">
        <v>160</v>
      </c>
      <c r="J3084" s="7" t="s">
        <v>148</v>
      </c>
      <c r="K3084" s="7"/>
      <c r="L3084" s="7"/>
      <c r="M3084" s="7"/>
    </row>
    <row r="3085" ht="15.75" customHeight="1">
      <c r="A3085" s="7" t="s">
        <v>15622</v>
      </c>
      <c r="B3085" s="45" t="s">
        <v>15623</v>
      </c>
      <c r="C3085" s="7"/>
      <c r="D3085" s="7" t="s">
        <v>7270</v>
      </c>
      <c r="E3085" s="7" t="s">
        <v>15624</v>
      </c>
      <c r="F3085" s="7" t="s">
        <v>7272</v>
      </c>
      <c r="G3085" s="7" t="s">
        <v>15625</v>
      </c>
      <c r="H3085" s="47" t="s">
        <v>14727</v>
      </c>
      <c r="I3085" s="7" t="s">
        <v>160</v>
      </c>
      <c r="J3085" s="7" t="s">
        <v>148</v>
      </c>
      <c r="K3085" s="7"/>
      <c r="L3085" s="7"/>
      <c r="M3085" s="7"/>
    </row>
    <row r="3086" ht="15.75" customHeight="1">
      <c r="A3086" s="7" t="s">
        <v>15626</v>
      </c>
      <c r="B3086" s="45" t="s">
        <v>15627</v>
      </c>
      <c r="C3086" s="7"/>
      <c r="D3086" s="7" t="s">
        <v>15628</v>
      </c>
      <c r="E3086" s="7" t="s">
        <v>7277</v>
      </c>
      <c r="F3086" s="7" t="s">
        <v>7278</v>
      </c>
      <c r="G3086" s="7"/>
      <c r="H3086" s="47" t="s">
        <v>14727</v>
      </c>
      <c r="I3086" s="7" t="s">
        <v>160</v>
      </c>
      <c r="J3086" s="7" t="s">
        <v>148</v>
      </c>
      <c r="K3086" s="7"/>
      <c r="L3086" s="7"/>
      <c r="M3086" s="7"/>
    </row>
    <row r="3087" ht="15.75" customHeight="1">
      <c r="A3087" s="7" t="s">
        <v>15629</v>
      </c>
      <c r="B3087" s="45" t="s">
        <v>15630</v>
      </c>
      <c r="C3087" s="7" t="s">
        <v>15631</v>
      </c>
      <c r="D3087" s="7" t="s">
        <v>15632</v>
      </c>
      <c r="E3087" s="7" t="s">
        <v>15633</v>
      </c>
      <c r="F3087" s="7"/>
      <c r="G3087" s="7"/>
      <c r="H3087" s="47" t="s">
        <v>14727</v>
      </c>
      <c r="I3087" s="7" t="s">
        <v>154</v>
      </c>
      <c r="J3087" s="7" t="s">
        <v>148</v>
      </c>
      <c r="K3087" s="7"/>
      <c r="L3087" s="7"/>
      <c r="M3087" s="7"/>
    </row>
    <row r="3088" ht="15.75" customHeight="1">
      <c r="A3088" s="7" t="s">
        <v>15634</v>
      </c>
      <c r="B3088" s="45" t="s">
        <v>15635</v>
      </c>
      <c r="C3088" s="7"/>
      <c r="D3088" s="7" t="s">
        <v>7382</v>
      </c>
      <c r="E3088" s="7" t="s">
        <v>7383</v>
      </c>
      <c r="F3088" s="7" t="s">
        <v>7384</v>
      </c>
      <c r="G3088" s="7"/>
      <c r="H3088" s="47" t="s">
        <v>14727</v>
      </c>
      <c r="I3088" s="7" t="s">
        <v>160</v>
      </c>
      <c r="J3088" s="7" t="s">
        <v>148</v>
      </c>
      <c r="K3088" s="7"/>
      <c r="L3088" s="7"/>
      <c r="M3088" s="7"/>
    </row>
    <row r="3089" ht="15.75" customHeight="1">
      <c r="A3089" s="7" t="s">
        <v>15636</v>
      </c>
      <c r="B3089" s="45" t="s">
        <v>15637</v>
      </c>
      <c r="C3089" s="7"/>
      <c r="D3089" s="7" t="s">
        <v>3625</v>
      </c>
      <c r="E3089" s="7" t="s">
        <v>15638</v>
      </c>
      <c r="F3089" s="7" t="s">
        <v>15639</v>
      </c>
      <c r="G3089" s="7" t="s">
        <v>15640</v>
      </c>
      <c r="H3089" s="47" t="s">
        <v>14727</v>
      </c>
      <c r="I3089" s="7" t="s">
        <v>160</v>
      </c>
      <c r="J3089" s="7" t="s">
        <v>148</v>
      </c>
      <c r="K3089" s="7"/>
      <c r="L3089" s="7"/>
      <c r="M3089" s="7"/>
    </row>
    <row r="3090" ht="15.75" customHeight="1">
      <c r="A3090" s="7" t="s">
        <v>15641</v>
      </c>
      <c r="B3090" s="45" t="s">
        <v>15642</v>
      </c>
      <c r="C3090" s="7"/>
      <c r="D3090" s="7" t="s">
        <v>15643</v>
      </c>
      <c r="E3090" s="7" t="s">
        <v>7289</v>
      </c>
      <c r="F3090" s="7" t="s">
        <v>7290</v>
      </c>
      <c r="G3090" s="7"/>
      <c r="H3090" s="47" t="s">
        <v>14727</v>
      </c>
      <c r="I3090" s="7" t="s">
        <v>160</v>
      </c>
      <c r="J3090" s="7" t="s">
        <v>148</v>
      </c>
      <c r="K3090" s="7"/>
      <c r="L3090" s="7"/>
      <c r="M3090" s="7"/>
    </row>
    <row r="3091" ht="15.75" customHeight="1">
      <c r="A3091" s="7" t="s">
        <v>15644</v>
      </c>
      <c r="B3091" s="45" t="s">
        <v>15645</v>
      </c>
      <c r="C3091" s="7"/>
      <c r="D3091" s="7" t="s">
        <v>15646</v>
      </c>
      <c r="E3091" s="7" t="s">
        <v>15647</v>
      </c>
      <c r="F3091" s="7" t="s">
        <v>7451</v>
      </c>
      <c r="G3091" s="7"/>
      <c r="H3091" s="47" t="s">
        <v>14727</v>
      </c>
      <c r="I3091" s="7" t="s">
        <v>160</v>
      </c>
      <c r="J3091" s="7" t="s">
        <v>148</v>
      </c>
      <c r="K3091" s="7"/>
      <c r="L3091" s="7"/>
      <c r="M3091" s="7"/>
    </row>
    <row r="3092" ht="15.75" customHeight="1">
      <c r="A3092" s="7" t="s">
        <v>15648</v>
      </c>
      <c r="B3092" s="45" t="s">
        <v>15649</v>
      </c>
      <c r="C3092" s="7"/>
      <c r="D3092" s="7" t="s">
        <v>15650</v>
      </c>
      <c r="E3092" s="7" t="s">
        <v>7456</v>
      </c>
      <c r="F3092" s="7" t="s">
        <v>7457</v>
      </c>
      <c r="G3092" s="7" t="s">
        <v>15651</v>
      </c>
      <c r="H3092" s="47" t="s">
        <v>14727</v>
      </c>
      <c r="I3092" s="7" t="s">
        <v>160</v>
      </c>
      <c r="J3092" s="7" t="s">
        <v>148</v>
      </c>
      <c r="K3092" s="7"/>
      <c r="L3092" s="7"/>
      <c r="M3092" s="7"/>
    </row>
    <row r="3093" ht="15.75" customHeight="1">
      <c r="A3093" s="7" t="s">
        <v>15652</v>
      </c>
      <c r="B3093" s="45" t="s">
        <v>15653</v>
      </c>
      <c r="C3093" s="7"/>
      <c r="D3093" s="7" t="s">
        <v>7312</v>
      </c>
      <c r="E3093" s="7" t="s">
        <v>7313</v>
      </c>
      <c r="F3093" s="7" t="s">
        <v>7314</v>
      </c>
      <c r="G3093" s="7"/>
      <c r="H3093" s="47" t="s">
        <v>14727</v>
      </c>
      <c r="I3093" s="7" t="s">
        <v>160</v>
      </c>
      <c r="J3093" s="7" t="s">
        <v>148</v>
      </c>
      <c r="K3093" s="7"/>
      <c r="L3093" s="7"/>
      <c r="M3093" s="7"/>
    </row>
    <row r="3094" ht="15.75" customHeight="1">
      <c r="A3094" s="7" t="s">
        <v>15654</v>
      </c>
      <c r="B3094" s="45" t="s">
        <v>15655</v>
      </c>
      <c r="C3094" s="7"/>
      <c r="D3094" s="7" t="s">
        <v>7568</v>
      </c>
      <c r="E3094" s="7" t="s">
        <v>15656</v>
      </c>
      <c r="F3094" s="7" t="s">
        <v>7570</v>
      </c>
      <c r="G3094" s="7" t="s">
        <v>15657</v>
      </c>
      <c r="H3094" s="47" t="s">
        <v>14727</v>
      </c>
      <c r="I3094" s="7" t="s">
        <v>160</v>
      </c>
      <c r="J3094" s="7" t="s">
        <v>148</v>
      </c>
      <c r="K3094" s="7"/>
      <c r="L3094" s="7"/>
      <c r="M3094" s="7"/>
    </row>
    <row r="3095" ht="15.75" customHeight="1">
      <c r="A3095" s="7" t="s">
        <v>15658</v>
      </c>
      <c r="B3095" s="45" t="s">
        <v>15659</v>
      </c>
      <c r="C3095" s="7"/>
      <c r="D3095" s="7" t="s">
        <v>15660</v>
      </c>
      <c r="E3095" s="7" t="s">
        <v>15661</v>
      </c>
      <c r="F3095" s="7" t="s">
        <v>12551</v>
      </c>
      <c r="G3095" s="7"/>
      <c r="H3095" s="47" t="s">
        <v>14727</v>
      </c>
      <c r="I3095" s="7" t="s">
        <v>160</v>
      </c>
      <c r="J3095" s="7" t="s">
        <v>148</v>
      </c>
      <c r="K3095" s="7"/>
      <c r="L3095" s="7"/>
      <c r="M3095" s="7"/>
    </row>
    <row r="3096" ht="15.75" customHeight="1">
      <c r="A3096" s="7" t="s">
        <v>15662</v>
      </c>
      <c r="B3096" s="45" t="s">
        <v>15663</v>
      </c>
      <c r="C3096" s="7"/>
      <c r="D3096" s="7" t="s">
        <v>15664</v>
      </c>
      <c r="E3096" s="7"/>
      <c r="F3096" s="7" t="s">
        <v>15665</v>
      </c>
      <c r="G3096" s="7"/>
      <c r="H3096" s="47" t="s">
        <v>14727</v>
      </c>
      <c r="I3096" s="7" t="s">
        <v>160</v>
      </c>
      <c r="J3096" s="7" t="s">
        <v>148</v>
      </c>
      <c r="K3096" s="7"/>
      <c r="L3096" s="7"/>
      <c r="M3096" s="7"/>
    </row>
    <row r="3097" ht="15.75" customHeight="1">
      <c r="A3097" s="7" t="s">
        <v>15666</v>
      </c>
      <c r="B3097" s="45" t="s">
        <v>15667</v>
      </c>
      <c r="C3097" s="7"/>
      <c r="D3097" s="7" t="s">
        <v>15668</v>
      </c>
      <c r="E3097" s="7" t="s">
        <v>13122</v>
      </c>
      <c r="F3097" s="7" t="s">
        <v>13123</v>
      </c>
      <c r="G3097" s="7" t="s">
        <v>15669</v>
      </c>
      <c r="H3097" s="47" t="s">
        <v>14727</v>
      </c>
      <c r="I3097" s="7" t="s">
        <v>160</v>
      </c>
      <c r="J3097" s="7" t="s">
        <v>148</v>
      </c>
      <c r="K3097" s="7"/>
      <c r="L3097" s="7"/>
      <c r="M3097" s="7"/>
    </row>
    <row r="3098" ht="15.75" customHeight="1">
      <c r="A3098" s="7" t="s">
        <v>15670</v>
      </c>
      <c r="B3098" s="45" t="s">
        <v>15671</v>
      </c>
      <c r="C3098" s="7"/>
      <c r="D3098" s="7" t="s">
        <v>7666</v>
      </c>
      <c r="E3098" s="7" t="s">
        <v>7667</v>
      </c>
      <c r="F3098" s="7" t="s">
        <v>7668</v>
      </c>
      <c r="G3098" s="7" t="s">
        <v>15672</v>
      </c>
      <c r="H3098" s="47" t="s">
        <v>14727</v>
      </c>
      <c r="I3098" s="7" t="s">
        <v>160</v>
      </c>
      <c r="J3098" s="7" t="s">
        <v>148</v>
      </c>
      <c r="K3098" s="7"/>
      <c r="L3098" s="7"/>
      <c r="M3098" s="7"/>
    </row>
    <row r="3099" ht="15.75" customHeight="1">
      <c r="A3099" s="7" t="s">
        <v>15673</v>
      </c>
      <c r="B3099" s="45" t="s">
        <v>15674</v>
      </c>
      <c r="C3099" s="7"/>
      <c r="D3099" s="7" t="s">
        <v>15675</v>
      </c>
      <c r="E3099" s="7" t="s">
        <v>15676</v>
      </c>
      <c r="F3099" s="7" t="s">
        <v>15677</v>
      </c>
      <c r="G3099" s="7" t="s">
        <v>15678</v>
      </c>
      <c r="H3099" s="47" t="s">
        <v>14727</v>
      </c>
      <c r="I3099" s="7" t="s">
        <v>160</v>
      </c>
      <c r="J3099" s="7" t="s">
        <v>148</v>
      </c>
      <c r="K3099" s="7"/>
      <c r="L3099" s="7"/>
      <c r="M3099" s="7"/>
    </row>
    <row r="3100" ht="15.75" customHeight="1">
      <c r="A3100" s="7" t="s">
        <v>15679</v>
      </c>
      <c r="B3100" s="45" t="s">
        <v>15680</v>
      </c>
      <c r="C3100" s="7"/>
      <c r="D3100" s="7" t="s">
        <v>8350</v>
      </c>
      <c r="E3100" s="7" t="s">
        <v>8351</v>
      </c>
      <c r="F3100" s="7" t="s">
        <v>8352</v>
      </c>
      <c r="G3100" s="7" t="s">
        <v>15681</v>
      </c>
      <c r="H3100" s="47" t="s">
        <v>14727</v>
      </c>
      <c r="I3100" s="7" t="s">
        <v>160</v>
      </c>
      <c r="J3100" s="7" t="s">
        <v>148</v>
      </c>
      <c r="K3100" s="7"/>
      <c r="L3100" s="7"/>
      <c r="M3100" s="7"/>
    </row>
    <row r="3101" ht="15.75" customHeight="1">
      <c r="A3101" s="7" t="s">
        <v>15682</v>
      </c>
      <c r="B3101" s="45" t="s">
        <v>15683</v>
      </c>
      <c r="C3101" s="7"/>
      <c r="D3101" s="7" t="s">
        <v>7681</v>
      </c>
      <c r="E3101" s="7" t="s">
        <v>7682</v>
      </c>
      <c r="F3101" s="7" t="s">
        <v>7683</v>
      </c>
      <c r="G3101" s="7"/>
      <c r="H3101" s="47" t="s">
        <v>14727</v>
      </c>
      <c r="I3101" s="7" t="s">
        <v>160</v>
      </c>
      <c r="J3101" s="7" t="s">
        <v>148</v>
      </c>
      <c r="K3101" s="7"/>
      <c r="L3101" s="7"/>
      <c r="M3101" s="7"/>
    </row>
    <row r="3102" ht="15.75" customHeight="1">
      <c r="A3102" s="7" t="s">
        <v>15684</v>
      </c>
      <c r="B3102" s="45" t="s">
        <v>15685</v>
      </c>
      <c r="C3102" s="7"/>
      <c r="D3102" s="7" t="s">
        <v>7687</v>
      </c>
      <c r="E3102" s="7"/>
      <c r="F3102" s="7" t="s">
        <v>15686</v>
      </c>
      <c r="G3102" s="7"/>
      <c r="H3102" s="47" t="s">
        <v>14727</v>
      </c>
      <c r="I3102" s="7" t="s">
        <v>160</v>
      </c>
      <c r="J3102" s="7" t="s">
        <v>148</v>
      </c>
      <c r="K3102" s="7"/>
      <c r="L3102" s="7"/>
      <c r="M3102" s="7"/>
    </row>
    <row r="3103" ht="15.75" customHeight="1">
      <c r="A3103" s="7" t="s">
        <v>15687</v>
      </c>
      <c r="B3103" s="45" t="s">
        <v>15688</v>
      </c>
      <c r="C3103" s="7"/>
      <c r="D3103" s="7" t="s">
        <v>7720</v>
      </c>
      <c r="E3103" s="7" t="s">
        <v>15689</v>
      </c>
      <c r="F3103" s="7" t="s">
        <v>7722</v>
      </c>
      <c r="G3103" s="7"/>
      <c r="H3103" s="47" t="s">
        <v>14727</v>
      </c>
      <c r="I3103" s="7" t="s">
        <v>160</v>
      </c>
      <c r="J3103" s="7" t="s">
        <v>148</v>
      </c>
      <c r="K3103" s="7"/>
      <c r="L3103" s="7"/>
      <c r="M3103" s="7"/>
    </row>
    <row r="3104" ht="15.75" customHeight="1">
      <c r="A3104" s="7" t="s">
        <v>15690</v>
      </c>
      <c r="B3104" s="45" t="s">
        <v>15691</v>
      </c>
      <c r="C3104" s="7"/>
      <c r="D3104" s="7" t="s">
        <v>7714</v>
      </c>
      <c r="E3104" s="7" t="s">
        <v>7715</v>
      </c>
      <c r="F3104" s="7" t="s">
        <v>7716</v>
      </c>
      <c r="G3104" s="7"/>
      <c r="H3104" s="47" t="s">
        <v>14727</v>
      </c>
      <c r="I3104" s="7" t="s">
        <v>160</v>
      </c>
      <c r="J3104" s="7" t="s">
        <v>148</v>
      </c>
      <c r="K3104" s="7"/>
      <c r="L3104" s="7"/>
      <c r="M3104" s="7"/>
    </row>
    <row r="3105" ht="15.75" customHeight="1">
      <c r="A3105" s="7" t="s">
        <v>15692</v>
      </c>
      <c r="B3105" s="45" t="s">
        <v>15693</v>
      </c>
      <c r="C3105" s="7"/>
      <c r="D3105" s="7" t="s">
        <v>15694</v>
      </c>
      <c r="E3105" s="7" t="s">
        <v>393</v>
      </c>
      <c r="F3105" s="7" t="s">
        <v>15695</v>
      </c>
      <c r="G3105" s="7" t="s">
        <v>15696</v>
      </c>
      <c r="H3105" s="47" t="s">
        <v>14727</v>
      </c>
      <c r="I3105" s="7" t="s">
        <v>160</v>
      </c>
      <c r="J3105" s="7" t="s">
        <v>148</v>
      </c>
      <c r="K3105" s="7"/>
      <c r="L3105" s="7"/>
      <c r="M3105" s="7"/>
    </row>
    <row r="3106" ht="15.75" customHeight="1">
      <c r="A3106" s="7" t="s">
        <v>15697</v>
      </c>
      <c r="B3106" s="45" t="s">
        <v>15698</v>
      </c>
      <c r="C3106" s="7"/>
      <c r="D3106" s="7" t="s">
        <v>15699</v>
      </c>
      <c r="E3106" s="7" t="s">
        <v>7794</v>
      </c>
      <c r="F3106" s="7" t="s">
        <v>7795</v>
      </c>
      <c r="G3106" s="7"/>
      <c r="H3106" s="47" t="s">
        <v>14727</v>
      </c>
      <c r="I3106" s="7" t="s">
        <v>160</v>
      </c>
      <c r="J3106" s="7" t="s">
        <v>148</v>
      </c>
      <c r="K3106" s="7"/>
      <c r="L3106" s="7"/>
      <c r="M3106" s="7"/>
    </row>
    <row r="3107" ht="15.75" customHeight="1">
      <c r="A3107" s="7" t="s">
        <v>15700</v>
      </c>
      <c r="B3107" s="45" t="s">
        <v>15701</v>
      </c>
      <c r="C3107" s="7"/>
      <c r="D3107" s="7" t="s">
        <v>15702</v>
      </c>
      <c r="E3107" s="7" t="s">
        <v>7851</v>
      </c>
      <c r="F3107" s="7" t="s">
        <v>15703</v>
      </c>
      <c r="G3107" s="7"/>
      <c r="H3107" s="47" t="s">
        <v>14727</v>
      </c>
      <c r="I3107" s="7" t="s">
        <v>160</v>
      </c>
      <c r="J3107" s="7" t="s">
        <v>148</v>
      </c>
      <c r="K3107" s="7"/>
      <c r="L3107" s="7"/>
      <c r="M3107" s="7"/>
    </row>
    <row r="3108" ht="15.75" customHeight="1">
      <c r="A3108" s="7" t="s">
        <v>15704</v>
      </c>
      <c r="B3108" s="45" t="s">
        <v>15705</v>
      </c>
      <c r="C3108" s="7"/>
      <c r="D3108" s="7" t="s">
        <v>7856</v>
      </c>
      <c r="E3108" s="7" t="s">
        <v>7857</v>
      </c>
      <c r="F3108" s="7" t="s">
        <v>7858</v>
      </c>
      <c r="G3108" s="7" t="s">
        <v>15706</v>
      </c>
      <c r="H3108" s="47" t="s">
        <v>14727</v>
      </c>
      <c r="I3108" s="7" t="s">
        <v>160</v>
      </c>
      <c r="J3108" s="7" t="s">
        <v>148</v>
      </c>
      <c r="K3108" s="7"/>
      <c r="L3108" s="7"/>
      <c r="M3108" s="7"/>
    </row>
    <row r="3109" ht="15.75" customHeight="1">
      <c r="A3109" s="7" t="s">
        <v>15707</v>
      </c>
      <c r="B3109" s="45" t="s">
        <v>15708</v>
      </c>
      <c r="C3109" s="7"/>
      <c r="D3109" s="7" t="s">
        <v>15709</v>
      </c>
      <c r="E3109" s="7" t="s">
        <v>10240</v>
      </c>
      <c r="F3109" s="7" t="s">
        <v>10241</v>
      </c>
      <c r="G3109" s="7"/>
      <c r="H3109" s="47" t="s">
        <v>14727</v>
      </c>
      <c r="I3109" s="7" t="s">
        <v>160</v>
      </c>
      <c r="J3109" s="7" t="s">
        <v>148</v>
      </c>
      <c r="K3109" s="7"/>
      <c r="L3109" s="7"/>
      <c r="M3109" s="7"/>
    </row>
    <row r="3110" ht="15.75" customHeight="1">
      <c r="A3110" s="7" t="s">
        <v>15710</v>
      </c>
      <c r="B3110" s="45" t="s">
        <v>15711</v>
      </c>
      <c r="C3110" s="7"/>
      <c r="D3110" s="7" t="s">
        <v>7948</v>
      </c>
      <c r="E3110" s="7" t="s">
        <v>7949</v>
      </c>
      <c r="F3110" s="7" t="s">
        <v>7950</v>
      </c>
      <c r="G3110" s="7"/>
      <c r="H3110" s="47" t="s">
        <v>14727</v>
      </c>
      <c r="I3110" s="7" t="s">
        <v>160</v>
      </c>
      <c r="J3110" s="7" t="s">
        <v>148</v>
      </c>
      <c r="K3110" s="7"/>
      <c r="L3110" s="7"/>
      <c r="M3110" s="7"/>
    </row>
    <row r="3111" ht="15.75" customHeight="1">
      <c r="A3111" s="7" t="s">
        <v>15712</v>
      </c>
      <c r="B3111" s="45" t="s">
        <v>15713</v>
      </c>
      <c r="C3111" s="7"/>
      <c r="D3111" s="7" t="s">
        <v>3494</v>
      </c>
      <c r="E3111" s="7" t="s">
        <v>3495</v>
      </c>
      <c r="F3111" s="7" t="s">
        <v>3496</v>
      </c>
      <c r="G3111" s="7"/>
      <c r="H3111" s="47" t="s">
        <v>14727</v>
      </c>
      <c r="I3111" s="7" t="s">
        <v>160</v>
      </c>
      <c r="J3111" s="7" t="s">
        <v>148</v>
      </c>
      <c r="K3111" s="7"/>
      <c r="L3111" s="7"/>
      <c r="M3111" s="7"/>
    </row>
    <row r="3112" ht="15.75" customHeight="1">
      <c r="A3112" s="7" t="s">
        <v>15714</v>
      </c>
      <c r="B3112" s="45" t="s">
        <v>15715</v>
      </c>
      <c r="C3112" s="7"/>
      <c r="D3112" s="7" t="s">
        <v>15716</v>
      </c>
      <c r="E3112" s="7" t="s">
        <v>5610</v>
      </c>
      <c r="F3112" s="7" t="s">
        <v>5611</v>
      </c>
      <c r="G3112" s="7" t="s">
        <v>15717</v>
      </c>
      <c r="H3112" s="47" t="s">
        <v>14727</v>
      </c>
      <c r="I3112" s="7" t="s">
        <v>160</v>
      </c>
      <c r="J3112" s="7" t="s">
        <v>148</v>
      </c>
      <c r="K3112" s="7"/>
      <c r="L3112" s="7"/>
      <c r="M3112" s="7"/>
    </row>
    <row r="3113" ht="15.75" customHeight="1">
      <c r="A3113" s="7" t="s">
        <v>15718</v>
      </c>
      <c r="B3113" s="45" t="s">
        <v>15719</v>
      </c>
      <c r="C3113" s="7"/>
      <c r="D3113" s="7" t="s">
        <v>15720</v>
      </c>
      <c r="E3113" s="7" t="s">
        <v>12859</v>
      </c>
      <c r="F3113" s="7" t="s">
        <v>12849</v>
      </c>
      <c r="G3113" s="7" t="s">
        <v>15721</v>
      </c>
      <c r="H3113" s="47" t="s">
        <v>14727</v>
      </c>
      <c r="I3113" s="7" t="s">
        <v>160</v>
      </c>
      <c r="J3113" s="7" t="s">
        <v>148</v>
      </c>
      <c r="K3113" s="7"/>
      <c r="L3113" s="7"/>
      <c r="M3113" s="7"/>
    </row>
    <row r="3114" ht="15.75" customHeight="1">
      <c r="A3114" s="7" t="s">
        <v>15722</v>
      </c>
      <c r="B3114" s="45" t="s">
        <v>15723</v>
      </c>
      <c r="C3114" s="7"/>
      <c r="D3114" s="7" t="s">
        <v>15724</v>
      </c>
      <c r="E3114" s="7" t="s">
        <v>15725</v>
      </c>
      <c r="F3114" s="7" t="s">
        <v>5220</v>
      </c>
      <c r="G3114" s="7"/>
      <c r="H3114" s="47" t="s">
        <v>14727</v>
      </c>
      <c r="I3114" s="7" t="s">
        <v>160</v>
      </c>
      <c r="J3114" s="7" t="s">
        <v>148</v>
      </c>
      <c r="K3114" s="7"/>
      <c r="L3114" s="7"/>
      <c r="M3114" s="7"/>
    </row>
    <row r="3115" ht="15.75" customHeight="1">
      <c r="A3115" s="7" t="s">
        <v>15726</v>
      </c>
      <c r="B3115" s="45" t="s">
        <v>15727</v>
      </c>
      <c r="C3115" s="7"/>
      <c r="D3115" s="7" t="s">
        <v>4574</v>
      </c>
      <c r="E3115" s="7" t="s">
        <v>4575</v>
      </c>
      <c r="F3115" s="7" t="s">
        <v>4576</v>
      </c>
      <c r="G3115" s="7"/>
      <c r="H3115" s="47" t="s">
        <v>14727</v>
      </c>
      <c r="I3115" s="7" t="s">
        <v>160</v>
      </c>
      <c r="J3115" s="7" t="s">
        <v>148</v>
      </c>
      <c r="K3115" s="7"/>
      <c r="L3115" s="7"/>
      <c r="M3115" s="7"/>
    </row>
    <row r="3116" ht="15.75" customHeight="1">
      <c r="A3116" s="7" t="s">
        <v>15728</v>
      </c>
      <c r="B3116" s="45" t="s">
        <v>15729</v>
      </c>
      <c r="C3116" s="7"/>
      <c r="D3116" s="7" t="s">
        <v>15730</v>
      </c>
      <c r="E3116" s="7" t="s">
        <v>1406</v>
      </c>
      <c r="F3116" s="7" t="s">
        <v>1407</v>
      </c>
      <c r="G3116" s="7" t="s">
        <v>15731</v>
      </c>
      <c r="H3116" s="47" t="s">
        <v>14727</v>
      </c>
      <c r="I3116" s="7" t="s">
        <v>160</v>
      </c>
      <c r="J3116" s="7" t="s">
        <v>148</v>
      </c>
      <c r="K3116" s="7"/>
      <c r="L3116" s="7"/>
      <c r="M3116" s="7"/>
    </row>
    <row r="3117" ht="15.75" customHeight="1">
      <c r="A3117" s="7" t="s">
        <v>15732</v>
      </c>
      <c r="B3117" s="45" t="s">
        <v>15733</v>
      </c>
      <c r="C3117" s="7"/>
      <c r="D3117" s="7" t="s">
        <v>10061</v>
      </c>
      <c r="E3117" s="7" t="s">
        <v>15734</v>
      </c>
      <c r="F3117" s="7" t="s">
        <v>10063</v>
      </c>
      <c r="G3117" s="7"/>
      <c r="H3117" s="47" t="s">
        <v>14727</v>
      </c>
      <c r="I3117" s="7" t="s">
        <v>160</v>
      </c>
      <c r="J3117" s="7" t="s">
        <v>148</v>
      </c>
      <c r="K3117" s="7"/>
      <c r="L3117" s="7"/>
      <c r="M3117" s="7"/>
    </row>
    <row r="3118" ht="15.75" customHeight="1">
      <c r="A3118" s="7" t="s">
        <v>15735</v>
      </c>
      <c r="B3118" s="45" t="s">
        <v>15736</v>
      </c>
      <c r="C3118" s="7"/>
      <c r="D3118" s="7" t="s">
        <v>15737</v>
      </c>
      <c r="E3118" s="7" t="s">
        <v>15738</v>
      </c>
      <c r="F3118" s="7" t="s">
        <v>15739</v>
      </c>
      <c r="G3118" s="7"/>
      <c r="H3118" s="47" t="s">
        <v>14727</v>
      </c>
      <c r="I3118" s="7" t="s">
        <v>160</v>
      </c>
      <c r="J3118" s="7" t="s">
        <v>148</v>
      </c>
      <c r="K3118" s="7"/>
      <c r="L3118" s="7"/>
      <c r="M3118" s="7"/>
    </row>
    <row r="3119" ht="15.75" customHeight="1">
      <c r="A3119" s="7" t="s">
        <v>15740</v>
      </c>
      <c r="B3119" s="45" t="s">
        <v>15741</v>
      </c>
      <c r="C3119" s="7"/>
      <c r="D3119" s="7" t="s">
        <v>15742</v>
      </c>
      <c r="E3119" s="7" t="s">
        <v>15743</v>
      </c>
      <c r="F3119" s="7" t="s">
        <v>15744</v>
      </c>
      <c r="G3119" s="7"/>
      <c r="H3119" s="47" t="s">
        <v>14727</v>
      </c>
      <c r="I3119" s="7" t="s">
        <v>160</v>
      </c>
      <c r="J3119" s="7" t="s">
        <v>148</v>
      </c>
      <c r="K3119" s="7"/>
      <c r="L3119" s="7"/>
      <c r="M3119" s="7"/>
    </row>
    <row r="3120" ht="15.75" customHeight="1">
      <c r="A3120" s="7" t="s">
        <v>15745</v>
      </c>
      <c r="B3120" s="45" t="s">
        <v>15746</v>
      </c>
      <c r="C3120" s="7" t="s">
        <v>8021</v>
      </c>
      <c r="D3120" s="7" t="s">
        <v>15747</v>
      </c>
      <c r="E3120" s="7" t="s">
        <v>15748</v>
      </c>
      <c r="F3120" s="7"/>
      <c r="G3120" s="7"/>
      <c r="H3120" s="47" t="s">
        <v>14727</v>
      </c>
      <c r="I3120" s="7" t="s">
        <v>154</v>
      </c>
      <c r="J3120" s="7" t="s">
        <v>148</v>
      </c>
      <c r="K3120" s="7"/>
      <c r="L3120" s="7"/>
      <c r="M3120" s="7"/>
    </row>
    <row r="3121" ht="15.75" customHeight="1">
      <c r="A3121" s="7" t="s">
        <v>15749</v>
      </c>
      <c r="B3121" s="45" t="s">
        <v>15750</v>
      </c>
      <c r="C3121" s="7" t="s">
        <v>8021</v>
      </c>
      <c r="D3121" s="7" t="s">
        <v>15751</v>
      </c>
      <c r="E3121" s="7" t="s">
        <v>15748</v>
      </c>
      <c r="F3121" s="7"/>
      <c r="G3121" s="7"/>
      <c r="H3121" s="47" t="s">
        <v>14727</v>
      </c>
      <c r="I3121" s="7" t="s">
        <v>154</v>
      </c>
      <c r="J3121" s="7" t="s">
        <v>148</v>
      </c>
      <c r="K3121" s="7"/>
      <c r="L3121" s="7"/>
      <c r="M3121" s="7"/>
    </row>
    <row r="3122" ht="15.75" customHeight="1">
      <c r="A3122" s="7" t="s">
        <v>15752</v>
      </c>
      <c r="B3122" s="45" t="s">
        <v>15753</v>
      </c>
      <c r="C3122" s="7"/>
      <c r="D3122" s="7" t="s">
        <v>14497</v>
      </c>
      <c r="E3122" s="7" t="s">
        <v>14498</v>
      </c>
      <c r="F3122" s="7" t="s">
        <v>14499</v>
      </c>
      <c r="G3122" s="7"/>
      <c r="H3122" s="47" t="s">
        <v>14727</v>
      </c>
      <c r="I3122" s="7" t="s">
        <v>160</v>
      </c>
      <c r="J3122" s="7" t="s">
        <v>148</v>
      </c>
      <c r="K3122" s="7"/>
      <c r="L3122" s="7"/>
      <c r="M3122" s="7"/>
    </row>
    <row r="3123" ht="15.75" customHeight="1">
      <c r="A3123" s="7" t="s">
        <v>15754</v>
      </c>
      <c r="B3123" s="45" t="s">
        <v>15755</v>
      </c>
      <c r="C3123" s="7"/>
      <c r="D3123" s="7" t="s">
        <v>4538</v>
      </c>
      <c r="E3123" s="7" t="s">
        <v>15756</v>
      </c>
      <c r="F3123" s="7" t="s">
        <v>15757</v>
      </c>
      <c r="G3123" s="7"/>
      <c r="H3123" s="47" t="s">
        <v>14727</v>
      </c>
      <c r="I3123" s="7" t="s">
        <v>160</v>
      </c>
      <c r="J3123" s="7" t="s">
        <v>148</v>
      </c>
      <c r="K3123" s="7"/>
      <c r="L3123" s="7"/>
      <c r="M3123" s="7"/>
    </row>
    <row r="3124" ht="15.75" customHeight="1">
      <c r="A3124" s="7" t="s">
        <v>15758</v>
      </c>
      <c r="B3124" s="45" t="s">
        <v>15759</v>
      </c>
      <c r="C3124" s="7"/>
      <c r="D3124" s="7" t="s">
        <v>8053</v>
      </c>
      <c r="E3124" s="7" t="s">
        <v>8054</v>
      </c>
      <c r="F3124" s="7" t="s">
        <v>8055</v>
      </c>
      <c r="G3124" s="7" t="s">
        <v>15760</v>
      </c>
      <c r="H3124" s="47" t="s">
        <v>14727</v>
      </c>
      <c r="I3124" s="7" t="s">
        <v>160</v>
      </c>
      <c r="J3124" s="7" t="s">
        <v>148</v>
      </c>
      <c r="K3124" s="7"/>
      <c r="L3124" s="7"/>
      <c r="M3124" s="7"/>
    </row>
    <row r="3125" ht="15.75" customHeight="1">
      <c r="A3125" s="7" t="s">
        <v>15761</v>
      </c>
      <c r="B3125" s="45" t="s">
        <v>15762</v>
      </c>
      <c r="C3125" s="7"/>
      <c r="D3125" s="7" t="s">
        <v>8750</v>
      </c>
      <c r="E3125" s="7" t="s">
        <v>8751</v>
      </c>
      <c r="F3125" s="7" t="s">
        <v>15763</v>
      </c>
      <c r="G3125" s="7"/>
      <c r="H3125" s="47" t="s">
        <v>14727</v>
      </c>
      <c r="I3125" s="7" t="s">
        <v>160</v>
      </c>
      <c r="J3125" s="7" t="s">
        <v>148</v>
      </c>
      <c r="K3125" s="7"/>
      <c r="L3125" s="7"/>
      <c r="M3125" s="7"/>
    </row>
    <row r="3126" ht="15.75" customHeight="1">
      <c r="A3126" s="7" t="s">
        <v>15764</v>
      </c>
      <c r="B3126" s="45" t="s">
        <v>15765</v>
      </c>
      <c r="C3126" s="7"/>
      <c r="D3126" s="7" t="s">
        <v>4134</v>
      </c>
      <c r="E3126" s="7" t="s">
        <v>4130</v>
      </c>
      <c r="F3126" s="7" t="s">
        <v>15766</v>
      </c>
      <c r="G3126" s="7"/>
      <c r="H3126" s="47" t="s">
        <v>14727</v>
      </c>
      <c r="I3126" s="7" t="s">
        <v>160</v>
      </c>
      <c r="J3126" s="7" t="s">
        <v>148</v>
      </c>
      <c r="K3126" s="7"/>
      <c r="L3126" s="7"/>
      <c r="M3126" s="7"/>
    </row>
    <row r="3127" ht="15.75" customHeight="1">
      <c r="A3127" s="7" t="s">
        <v>15767</v>
      </c>
      <c r="B3127" s="45" t="s">
        <v>15768</v>
      </c>
      <c r="C3127" s="7"/>
      <c r="D3127" s="7" t="s">
        <v>8372</v>
      </c>
      <c r="E3127" s="7" t="s">
        <v>8373</v>
      </c>
      <c r="F3127" s="7" t="s">
        <v>8374</v>
      </c>
      <c r="G3127" s="7" t="s">
        <v>15769</v>
      </c>
      <c r="H3127" s="47" t="s">
        <v>14727</v>
      </c>
      <c r="I3127" s="7" t="s">
        <v>160</v>
      </c>
      <c r="J3127" s="7" t="s">
        <v>148</v>
      </c>
      <c r="K3127" s="7"/>
      <c r="L3127" s="7"/>
      <c r="M3127" s="7"/>
    </row>
    <row r="3128" ht="15.75" customHeight="1">
      <c r="A3128" s="7" t="s">
        <v>15770</v>
      </c>
      <c r="B3128" s="45" t="s">
        <v>15771</v>
      </c>
      <c r="C3128" s="7"/>
      <c r="D3128" s="7" t="s">
        <v>15772</v>
      </c>
      <c r="E3128" s="7" t="s">
        <v>8525</v>
      </c>
      <c r="F3128" s="7" t="s">
        <v>8526</v>
      </c>
      <c r="G3128" s="7"/>
      <c r="H3128" s="47" t="s">
        <v>14727</v>
      </c>
      <c r="I3128" s="7" t="s">
        <v>160</v>
      </c>
      <c r="J3128" s="7" t="s">
        <v>148</v>
      </c>
      <c r="K3128" s="7"/>
      <c r="L3128" s="7"/>
      <c r="M3128" s="7"/>
    </row>
    <row r="3129" ht="15.75" customHeight="1">
      <c r="A3129" s="7" t="s">
        <v>15773</v>
      </c>
      <c r="B3129" s="45" t="s">
        <v>15774</v>
      </c>
      <c r="C3129" s="7"/>
      <c r="D3129" s="7" t="s">
        <v>8421</v>
      </c>
      <c r="E3129" s="7" t="s">
        <v>8422</v>
      </c>
      <c r="F3129" s="7" t="s">
        <v>8423</v>
      </c>
      <c r="G3129" s="7"/>
      <c r="H3129" s="47" t="s">
        <v>14727</v>
      </c>
      <c r="I3129" s="7" t="s">
        <v>160</v>
      </c>
      <c r="J3129" s="7" t="s">
        <v>148</v>
      </c>
      <c r="K3129" s="7"/>
      <c r="L3129" s="7"/>
      <c r="M3129" s="7"/>
    </row>
    <row r="3130" ht="15.75" customHeight="1">
      <c r="A3130" s="7" t="s">
        <v>15775</v>
      </c>
      <c r="B3130" s="45" t="s">
        <v>15776</v>
      </c>
      <c r="C3130" s="7"/>
      <c r="D3130" s="7" t="s">
        <v>15777</v>
      </c>
      <c r="E3130" s="7" t="s">
        <v>12238</v>
      </c>
      <c r="F3130" s="7" t="s">
        <v>12239</v>
      </c>
      <c r="G3130" s="7" t="s">
        <v>15778</v>
      </c>
      <c r="H3130" s="47" t="s">
        <v>14727</v>
      </c>
      <c r="I3130" s="7" t="s">
        <v>160</v>
      </c>
      <c r="J3130" s="7" t="s">
        <v>148</v>
      </c>
      <c r="K3130" s="7"/>
      <c r="L3130" s="7"/>
      <c r="M3130" s="7"/>
    </row>
    <row r="3131" ht="15.75" customHeight="1">
      <c r="A3131" s="7" t="s">
        <v>15779</v>
      </c>
      <c r="B3131" s="45" t="s">
        <v>15780</v>
      </c>
      <c r="C3131" s="7"/>
      <c r="D3131" s="7" t="s">
        <v>8466</v>
      </c>
      <c r="E3131" s="7" t="s">
        <v>8467</v>
      </c>
      <c r="F3131" s="7" t="s">
        <v>8468</v>
      </c>
      <c r="G3131" s="7"/>
      <c r="H3131" s="47" t="s">
        <v>14727</v>
      </c>
      <c r="I3131" s="7" t="s">
        <v>160</v>
      </c>
      <c r="J3131" s="7" t="s">
        <v>148</v>
      </c>
      <c r="K3131" s="7"/>
      <c r="L3131" s="7"/>
      <c r="M3131" s="7"/>
    </row>
    <row r="3132" ht="15.75" customHeight="1">
      <c r="A3132" s="7" t="s">
        <v>15781</v>
      </c>
      <c r="B3132" s="45" t="s">
        <v>15782</v>
      </c>
      <c r="C3132" s="7"/>
      <c r="D3132" s="7" t="s">
        <v>15783</v>
      </c>
      <c r="E3132" s="7" t="s">
        <v>9312</v>
      </c>
      <c r="F3132" s="7" t="s">
        <v>7492</v>
      </c>
      <c r="G3132" s="7"/>
      <c r="H3132" s="47" t="s">
        <v>14727</v>
      </c>
      <c r="I3132" s="7" t="s">
        <v>160</v>
      </c>
      <c r="J3132" s="7" t="s">
        <v>148</v>
      </c>
      <c r="K3132" s="7"/>
      <c r="L3132" s="7"/>
      <c r="M3132" s="7"/>
    </row>
    <row r="3133" ht="15.75" customHeight="1">
      <c r="A3133" s="7" t="s">
        <v>15784</v>
      </c>
      <c r="B3133" s="45" t="s">
        <v>15785</v>
      </c>
      <c r="C3133" s="7"/>
      <c r="D3133" s="7" t="s">
        <v>9306</v>
      </c>
      <c r="E3133" s="7" t="s">
        <v>9307</v>
      </c>
      <c r="F3133" s="7" t="s">
        <v>9308</v>
      </c>
      <c r="G3133" s="7"/>
      <c r="H3133" s="47" t="s">
        <v>14727</v>
      </c>
      <c r="I3133" s="7" t="s">
        <v>160</v>
      </c>
      <c r="J3133" s="7" t="s">
        <v>148</v>
      </c>
      <c r="K3133" s="7"/>
      <c r="L3133" s="7"/>
      <c r="M3133" s="7"/>
    </row>
    <row r="3134" ht="15.75" customHeight="1">
      <c r="A3134" s="7" t="s">
        <v>15786</v>
      </c>
      <c r="B3134" s="45" t="s">
        <v>15787</v>
      </c>
      <c r="C3134" s="7"/>
      <c r="D3134" s="7" t="s">
        <v>5650</v>
      </c>
      <c r="E3134" s="7" t="s">
        <v>5651</v>
      </c>
      <c r="F3134" s="7" t="s">
        <v>5652</v>
      </c>
      <c r="G3134" s="7" t="s">
        <v>15788</v>
      </c>
      <c r="H3134" s="47" t="s">
        <v>14727</v>
      </c>
      <c r="I3134" s="7" t="s">
        <v>160</v>
      </c>
      <c r="J3134" s="7" t="s">
        <v>148</v>
      </c>
      <c r="K3134" s="7"/>
      <c r="L3134" s="7"/>
      <c r="M3134" s="7"/>
    </row>
    <row r="3135" ht="15.75" customHeight="1">
      <c r="A3135" s="7" t="s">
        <v>15789</v>
      </c>
      <c r="B3135" s="45" t="s">
        <v>15790</v>
      </c>
      <c r="C3135" s="7"/>
      <c r="D3135" s="7" t="s">
        <v>8530</v>
      </c>
      <c r="E3135" s="7" t="s">
        <v>8531</v>
      </c>
      <c r="F3135" s="7" t="s">
        <v>8532</v>
      </c>
      <c r="G3135" s="7"/>
      <c r="H3135" s="47" t="s">
        <v>14727</v>
      </c>
      <c r="I3135" s="7" t="s">
        <v>160</v>
      </c>
      <c r="J3135" s="7" t="s">
        <v>148</v>
      </c>
      <c r="K3135" s="7"/>
      <c r="L3135" s="7"/>
      <c r="M3135" s="7"/>
    </row>
    <row r="3136" ht="15.75" customHeight="1">
      <c r="A3136" s="7" t="s">
        <v>15791</v>
      </c>
      <c r="B3136" s="45" t="s">
        <v>15792</v>
      </c>
      <c r="C3136" s="7"/>
      <c r="D3136" s="7" t="s">
        <v>15793</v>
      </c>
      <c r="E3136" s="7" t="s">
        <v>8571</v>
      </c>
      <c r="F3136" s="7" t="s">
        <v>8572</v>
      </c>
      <c r="G3136" s="7"/>
      <c r="H3136" s="47" t="s">
        <v>14727</v>
      </c>
      <c r="I3136" s="7" t="s">
        <v>160</v>
      </c>
      <c r="J3136" s="7" t="s">
        <v>148</v>
      </c>
      <c r="K3136" s="7"/>
      <c r="L3136" s="7"/>
      <c r="M3136" s="7"/>
    </row>
    <row r="3137" ht="15.75" customHeight="1">
      <c r="A3137" s="7" t="s">
        <v>15794</v>
      </c>
      <c r="B3137" s="45" t="s">
        <v>15795</v>
      </c>
      <c r="C3137" s="7"/>
      <c r="D3137" s="7" t="s">
        <v>15796</v>
      </c>
      <c r="E3137" s="7" t="s">
        <v>8610</v>
      </c>
      <c r="F3137" s="7" t="s">
        <v>8611</v>
      </c>
      <c r="G3137" s="7"/>
      <c r="H3137" s="47" t="s">
        <v>14727</v>
      </c>
      <c r="I3137" s="7" t="s">
        <v>160</v>
      </c>
      <c r="J3137" s="7" t="s">
        <v>148</v>
      </c>
      <c r="K3137" s="7"/>
      <c r="L3137" s="7"/>
      <c r="M3137" s="7"/>
    </row>
    <row r="3138" ht="15.75" customHeight="1">
      <c r="A3138" s="7" t="s">
        <v>15797</v>
      </c>
      <c r="B3138" s="45" t="s">
        <v>15798</v>
      </c>
      <c r="C3138" s="7"/>
      <c r="D3138" s="7" t="s">
        <v>8645</v>
      </c>
      <c r="E3138" s="7" t="s">
        <v>12465</v>
      </c>
      <c r="F3138" s="7" t="s">
        <v>8647</v>
      </c>
      <c r="G3138" s="7" t="s">
        <v>15799</v>
      </c>
      <c r="H3138" s="47" t="s">
        <v>14727</v>
      </c>
      <c r="I3138" s="7" t="s">
        <v>160</v>
      </c>
      <c r="J3138" s="7" t="s">
        <v>148</v>
      </c>
      <c r="K3138" s="7"/>
      <c r="L3138" s="7"/>
      <c r="M3138" s="7"/>
    </row>
    <row r="3139" ht="15.75" customHeight="1">
      <c r="A3139" s="7" t="s">
        <v>15800</v>
      </c>
      <c r="B3139" s="45" t="s">
        <v>15801</v>
      </c>
      <c r="C3139" s="7"/>
      <c r="D3139" s="7" t="s">
        <v>5566</v>
      </c>
      <c r="E3139" s="7" t="s">
        <v>5567</v>
      </c>
      <c r="F3139" s="7" t="s">
        <v>5568</v>
      </c>
      <c r="G3139" s="7"/>
      <c r="H3139" s="47" t="s">
        <v>14727</v>
      </c>
      <c r="I3139" s="7" t="s">
        <v>160</v>
      </c>
      <c r="J3139" s="7" t="s">
        <v>148</v>
      </c>
      <c r="K3139" s="7"/>
      <c r="L3139" s="7"/>
      <c r="M3139" s="7"/>
    </row>
    <row r="3140" ht="15.75" customHeight="1">
      <c r="A3140" s="7" t="s">
        <v>15802</v>
      </c>
      <c r="B3140" s="45" t="s">
        <v>15803</v>
      </c>
      <c r="C3140" s="7"/>
      <c r="D3140" s="7" t="s">
        <v>15804</v>
      </c>
      <c r="E3140" s="7" t="s">
        <v>8687</v>
      </c>
      <c r="F3140" s="7" t="s">
        <v>8688</v>
      </c>
      <c r="G3140" s="7" t="s">
        <v>15805</v>
      </c>
      <c r="H3140" s="47" t="s">
        <v>14727</v>
      </c>
      <c r="I3140" s="7" t="s">
        <v>160</v>
      </c>
      <c r="J3140" s="7" t="s">
        <v>148</v>
      </c>
      <c r="K3140" s="7"/>
      <c r="L3140" s="7"/>
      <c r="M3140" s="7"/>
    </row>
    <row r="3141" ht="15.75" customHeight="1">
      <c r="A3141" s="7" t="s">
        <v>15806</v>
      </c>
      <c r="B3141" s="45" t="s">
        <v>15807</v>
      </c>
      <c r="C3141" s="7"/>
      <c r="D3141" s="7" t="s">
        <v>8698</v>
      </c>
      <c r="E3141" s="7" t="s">
        <v>8699</v>
      </c>
      <c r="F3141" s="7" t="s">
        <v>15808</v>
      </c>
      <c r="G3141" s="7" t="s">
        <v>15809</v>
      </c>
      <c r="H3141" s="47" t="s">
        <v>14727</v>
      </c>
      <c r="I3141" s="7" t="s">
        <v>160</v>
      </c>
      <c r="J3141" s="7" t="s">
        <v>148</v>
      </c>
      <c r="K3141" s="7"/>
      <c r="L3141" s="7"/>
      <c r="M3141" s="7"/>
    </row>
    <row r="3142" ht="15.75" customHeight="1">
      <c r="A3142" s="7" t="s">
        <v>15810</v>
      </c>
      <c r="B3142" s="45" t="s">
        <v>15811</v>
      </c>
      <c r="C3142" s="7"/>
      <c r="D3142" s="7" t="s">
        <v>15812</v>
      </c>
      <c r="E3142" s="7" t="s">
        <v>1486</v>
      </c>
      <c r="F3142" s="7" t="s">
        <v>1487</v>
      </c>
      <c r="G3142" s="7" t="s">
        <v>14985</v>
      </c>
      <c r="H3142" s="47" t="s">
        <v>14727</v>
      </c>
      <c r="I3142" s="7" t="s">
        <v>160</v>
      </c>
      <c r="J3142" s="7" t="s">
        <v>148</v>
      </c>
      <c r="K3142" s="7"/>
      <c r="L3142" s="7"/>
      <c r="M3142" s="7"/>
    </row>
    <row r="3143" ht="15.75" customHeight="1">
      <c r="A3143" s="7" t="s">
        <v>15813</v>
      </c>
      <c r="B3143" s="45" t="s">
        <v>15814</v>
      </c>
      <c r="C3143" s="7"/>
      <c r="D3143" s="7" t="s">
        <v>15815</v>
      </c>
      <c r="E3143" s="7" t="s">
        <v>15816</v>
      </c>
      <c r="F3143" s="7" t="s">
        <v>8706</v>
      </c>
      <c r="G3143" s="7"/>
      <c r="H3143" s="47" t="s">
        <v>14727</v>
      </c>
      <c r="I3143" s="7" t="s">
        <v>160</v>
      </c>
      <c r="J3143" s="7" t="s">
        <v>148</v>
      </c>
      <c r="K3143" s="7"/>
      <c r="L3143" s="7"/>
      <c r="M3143" s="7"/>
    </row>
    <row r="3144" ht="15.75" customHeight="1">
      <c r="A3144" s="7" t="s">
        <v>15817</v>
      </c>
      <c r="B3144" s="45" t="s">
        <v>15818</v>
      </c>
      <c r="C3144" s="7"/>
      <c r="D3144" s="7" t="s">
        <v>5682</v>
      </c>
      <c r="E3144" s="7" t="s">
        <v>15819</v>
      </c>
      <c r="F3144" s="7" t="s">
        <v>15820</v>
      </c>
      <c r="G3144" s="7" t="s">
        <v>15821</v>
      </c>
      <c r="H3144" s="47" t="s">
        <v>14727</v>
      </c>
      <c r="I3144" s="7" t="s">
        <v>160</v>
      </c>
      <c r="J3144" s="7" t="s">
        <v>148</v>
      </c>
      <c r="K3144" s="7"/>
      <c r="L3144" s="7"/>
      <c r="M3144" s="7"/>
    </row>
    <row r="3145" ht="15.75" customHeight="1">
      <c r="A3145" s="7" t="s">
        <v>15822</v>
      </c>
      <c r="B3145" s="45" t="s">
        <v>15823</v>
      </c>
      <c r="C3145" s="7"/>
      <c r="D3145" s="7" t="s">
        <v>8744</v>
      </c>
      <c r="E3145" s="7" t="s">
        <v>15824</v>
      </c>
      <c r="F3145" s="7" t="s">
        <v>15825</v>
      </c>
      <c r="G3145" s="7" t="s">
        <v>15826</v>
      </c>
      <c r="H3145" s="47" t="s">
        <v>14727</v>
      </c>
      <c r="I3145" s="7" t="s">
        <v>160</v>
      </c>
      <c r="J3145" s="7" t="s">
        <v>148</v>
      </c>
      <c r="K3145" s="7"/>
      <c r="L3145" s="7"/>
      <c r="M3145" s="7"/>
    </row>
    <row r="3146" ht="15.75" customHeight="1">
      <c r="A3146" s="7" t="s">
        <v>15827</v>
      </c>
      <c r="B3146" s="45" t="s">
        <v>15828</v>
      </c>
      <c r="C3146" s="7"/>
      <c r="D3146" s="7" t="s">
        <v>15829</v>
      </c>
      <c r="E3146" s="7" t="s">
        <v>15830</v>
      </c>
      <c r="F3146" s="7" t="s">
        <v>12304</v>
      </c>
      <c r="G3146" s="7"/>
      <c r="H3146" s="47" t="s">
        <v>14727</v>
      </c>
      <c r="I3146" s="7" t="s">
        <v>160</v>
      </c>
      <c r="J3146" s="7" t="s">
        <v>148</v>
      </c>
      <c r="K3146" s="7"/>
      <c r="L3146" s="7"/>
      <c r="M3146" s="7"/>
    </row>
    <row r="3147" ht="15.75" customHeight="1">
      <c r="A3147" s="7" t="s">
        <v>15831</v>
      </c>
      <c r="B3147" s="45" t="s">
        <v>15832</v>
      </c>
      <c r="C3147" s="7"/>
      <c r="D3147" s="7" t="s">
        <v>8762</v>
      </c>
      <c r="E3147" s="7" t="s">
        <v>8763</v>
      </c>
      <c r="F3147" s="7" t="s">
        <v>8764</v>
      </c>
      <c r="G3147" s="7" t="s">
        <v>15833</v>
      </c>
      <c r="H3147" s="47" t="s">
        <v>14727</v>
      </c>
      <c r="I3147" s="7" t="s">
        <v>160</v>
      </c>
      <c r="J3147" s="7" t="s">
        <v>148</v>
      </c>
      <c r="K3147" s="7"/>
      <c r="L3147" s="7"/>
      <c r="M3147" s="7"/>
    </row>
    <row r="3148" ht="15.75" customHeight="1">
      <c r="A3148" s="7" t="s">
        <v>15834</v>
      </c>
      <c r="B3148" s="45" t="s">
        <v>15835</v>
      </c>
      <c r="C3148" s="7"/>
      <c r="D3148" s="7" t="s">
        <v>15836</v>
      </c>
      <c r="E3148" s="7" t="s">
        <v>8795</v>
      </c>
      <c r="F3148" s="7" t="s">
        <v>8796</v>
      </c>
      <c r="G3148" s="7" t="s">
        <v>15837</v>
      </c>
      <c r="H3148" s="47" t="s">
        <v>14727</v>
      </c>
      <c r="I3148" s="7" t="s">
        <v>160</v>
      </c>
      <c r="J3148" s="7" t="s">
        <v>148</v>
      </c>
      <c r="K3148" s="7"/>
      <c r="L3148" s="7"/>
      <c r="M3148" s="7"/>
    </row>
    <row r="3149" ht="15.75" customHeight="1">
      <c r="A3149" s="7" t="s">
        <v>15838</v>
      </c>
      <c r="B3149" s="45" t="s">
        <v>15839</v>
      </c>
      <c r="C3149" s="7"/>
      <c r="D3149" s="7" t="s">
        <v>8828</v>
      </c>
      <c r="E3149" s="7" t="s">
        <v>8829</v>
      </c>
      <c r="F3149" s="7" t="s">
        <v>8830</v>
      </c>
      <c r="G3149" s="7" t="s">
        <v>15840</v>
      </c>
      <c r="H3149" s="47" t="s">
        <v>14727</v>
      </c>
      <c r="I3149" s="7" t="s">
        <v>160</v>
      </c>
      <c r="J3149" s="7" t="s">
        <v>148</v>
      </c>
      <c r="K3149" s="7"/>
      <c r="L3149" s="7"/>
      <c r="M3149" s="7"/>
    </row>
    <row r="3150" ht="15.75" customHeight="1">
      <c r="A3150" s="7" t="s">
        <v>15841</v>
      </c>
      <c r="B3150" s="45" t="s">
        <v>15842</v>
      </c>
      <c r="C3150" s="7"/>
      <c r="D3150" s="7" t="s">
        <v>15843</v>
      </c>
      <c r="E3150" s="7" t="s">
        <v>15844</v>
      </c>
      <c r="F3150" s="7" t="s">
        <v>1357</v>
      </c>
      <c r="G3150" s="7"/>
      <c r="H3150" s="47" t="s">
        <v>14727</v>
      </c>
      <c r="I3150" s="7" t="s">
        <v>160</v>
      </c>
      <c r="J3150" s="7" t="s">
        <v>148</v>
      </c>
      <c r="K3150" s="7"/>
      <c r="L3150" s="7"/>
      <c r="M3150" s="7"/>
    </row>
    <row r="3151" ht="15.75" customHeight="1">
      <c r="A3151" s="7" t="s">
        <v>15845</v>
      </c>
      <c r="B3151" s="45" t="s">
        <v>15846</v>
      </c>
      <c r="C3151" s="7"/>
      <c r="D3151" s="7" t="s">
        <v>15847</v>
      </c>
      <c r="E3151" s="7" t="s">
        <v>15848</v>
      </c>
      <c r="F3151" s="7" t="s">
        <v>15849</v>
      </c>
      <c r="G3151" s="7"/>
      <c r="H3151" s="47" t="s">
        <v>14727</v>
      </c>
      <c r="I3151" s="7" t="s">
        <v>160</v>
      </c>
      <c r="J3151" s="7" t="s">
        <v>148</v>
      </c>
      <c r="K3151" s="7"/>
      <c r="L3151" s="7"/>
      <c r="M3151" s="7"/>
    </row>
    <row r="3152" ht="15.75" customHeight="1">
      <c r="A3152" s="7" t="s">
        <v>15850</v>
      </c>
      <c r="B3152" s="45" t="s">
        <v>15851</v>
      </c>
      <c r="C3152" s="7"/>
      <c r="D3152" s="7" t="s">
        <v>15852</v>
      </c>
      <c r="E3152" s="7" t="s">
        <v>1154</v>
      </c>
      <c r="F3152" s="7" t="s">
        <v>15853</v>
      </c>
      <c r="G3152" s="7"/>
      <c r="H3152" s="47" t="s">
        <v>14727</v>
      </c>
      <c r="I3152" s="7" t="s">
        <v>160</v>
      </c>
      <c r="J3152" s="7" t="s">
        <v>148</v>
      </c>
      <c r="K3152" s="7"/>
      <c r="L3152" s="7"/>
      <c r="M3152" s="7"/>
    </row>
    <row r="3153" ht="15.75" customHeight="1">
      <c r="A3153" s="7" t="s">
        <v>15854</v>
      </c>
      <c r="B3153" s="45" t="s">
        <v>15855</v>
      </c>
      <c r="C3153" s="7"/>
      <c r="D3153" s="7" t="s">
        <v>15856</v>
      </c>
      <c r="E3153" s="7" t="s">
        <v>4168</v>
      </c>
      <c r="F3153" s="7" t="s">
        <v>4169</v>
      </c>
      <c r="G3153" s="7" t="s">
        <v>15857</v>
      </c>
      <c r="H3153" s="47" t="s">
        <v>14727</v>
      </c>
      <c r="I3153" s="7" t="s">
        <v>160</v>
      </c>
      <c r="J3153" s="7" t="s">
        <v>148</v>
      </c>
      <c r="K3153" s="7"/>
      <c r="L3153" s="7"/>
      <c r="M3153" s="7"/>
    </row>
    <row r="3154" ht="15.75" customHeight="1">
      <c r="A3154" s="7" t="s">
        <v>15858</v>
      </c>
      <c r="B3154" s="45" t="s">
        <v>15859</v>
      </c>
      <c r="C3154" s="7"/>
      <c r="D3154" s="7" t="s">
        <v>15860</v>
      </c>
      <c r="E3154" s="7" t="s">
        <v>7389</v>
      </c>
      <c r="F3154" s="7" t="s">
        <v>7390</v>
      </c>
      <c r="G3154" s="7" t="s">
        <v>15861</v>
      </c>
      <c r="H3154" s="47" t="s">
        <v>14727</v>
      </c>
      <c r="I3154" s="7" t="s">
        <v>160</v>
      </c>
      <c r="J3154" s="7" t="s">
        <v>148</v>
      </c>
      <c r="K3154" s="7"/>
      <c r="L3154" s="7"/>
      <c r="M3154" s="7"/>
    </row>
    <row r="3155" ht="15.75" customHeight="1">
      <c r="A3155" s="7" t="s">
        <v>15862</v>
      </c>
      <c r="B3155" s="45" t="s">
        <v>15863</v>
      </c>
      <c r="C3155" s="7"/>
      <c r="D3155" s="7" t="s">
        <v>15864</v>
      </c>
      <c r="E3155" s="7" t="s">
        <v>9191</v>
      </c>
      <c r="F3155" s="7" t="s">
        <v>9192</v>
      </c>
      <c r="G3155" s="7" t="s">
        <v>15865</v>
      </c>
      <c r="H3155" s="47" t="s">
        <v>14727</v>
      </c>
      <c r="I3155" s="7" t="s">
        <v>160</v>
      </c>
      <c r="J3155" s="7" t="s">
        <v>148</v>
      </c>
      <c r="K3155" s="7"/>
      <c r="L3155" s="7"/>
      <c r="M3155" s="7"/>
    </row>
    <row r="3156" ht="15.75" customHeight="1">
      <c r="A3156" s="7" t="s">
        <v>15866</v>
      </c>
      <c r="B3156" s="45" t="s">
        <v>15867</v>
      </c>
      <c r="C3156" s="7"/>
      <c r="D3156" s="7" t="s">
        <v>15868</v>
      </c>
      <c r="E3156" s="7" t="s">
        <v>9214</v>
      </c>
      <c r="F3156" s="7" t="s">
        <v>9215</v>
      </c>
      <c r="G3156" s="7" t="s">
        <v>15869</v>
      </c>
      <c r="H3156" s="47" t="s">
        <v>14727</v>
      </c>
      <c r="I3156" s="7" t="s">
        <v>160</v>
      </c>
      <c r="J3156" s="7" t="s">
        <v>148</v>
      </c>
      <c r="K3156" s="7"/>
      <c r="L3156" s="7"/>
      <c r="M3156" s="7"/>
    </row>
    <row r="3157" ht="15.75" customHeight="1">
      <c r="A3157" s="7" t="s">
        <v>15870</v>
      </c>
      <c r="B3157" s="45" t="s">
        <v>15871</v>
      </c>
      <c r="C3157" s="7"/>
      <c r="D3157" s="7" t="s">
        <v>9243</v>
      </c>
      <c r="E3157" s="7" t="s">
        <v>9244</v>
      </c>
      <c r="F3157" s="7" t="s">
        <v>9245</v>
      </c>
      <c r="G3157" s="7"/>
      <c r="H3157" s="47" t="s">
        <v>14727</v>
      </c>
      <c r="I3157" s="7" t="s">
        <v>160</v>
      </c>
      <c r="J3157" s="7" t="s">
        <v>148</v>
      </c>
      <c r="K3157" s="7"/>
      <c r="L3157" s="7"/>
      <c r="M3157" s="7"/>
    </row>
    <row r="3158" ht="15.75" customHeight="1">
      <c r="A3158" s="7" t="s">
        <v>15872</v>
      </c>
      <c r="B3158" s="45" t="s">
        <v>15873</v>
      </c>
      <c r="C3158" s="7"/>
      <c r="D3158" s="7" t="s">
        <v>9249</v>
      </c>
      <c r="E3158" s="7" t="s">
        <v>15874</v>
      </c>
      <c r="F3158" s="7" t="s">
        <v>15875</v>
      </c>
      <c r="G3158" s="7" t="s">
        <v>15876</v>
      </c>
      <c r="H3158" s="47" t="s">
        <v>14727</v>
      </c>
      <c r="I3158" s="7" t="s">
        <v>160</v>
      </c>
      <c r="J3158" s="7" t="s">
        <v>148</v>
      </c>
      <c r="K3158" s="7"/>
      <c r="L3158" s="7"/>
      <c r="M3158" s="7"/>
    </row>
    <row r="3159" ht="15.75" customHeight="1">
      <c r="A3159" s="7" t="s">
        <v>15877</v>
      </c>
      <c r="B3159" s="45" t="s">
        <v>15878</v>
      </c>
      <c r="C3159" s="7"/>
      <c r="D3159" s="7" t="s">
        <v>15879</v>
      </c>
      <c r="E3159" s="7" t="s">
        <v>9301</v>
      </c>
      <c r="F3159" s="7" t="s">
        <v>9302</v>
      </c>
      <c r="G3159" s="7"/>
      <c r="H3159" s="47" t="s">
        <v>14727</v>
      </c>
      <c r="I3159" s="7" t="s">
        <v>160</v>
      </c>
      <c r="J3159" s="7" t="s">
        <v>148</v>
      </c>
      <c r="K3159" s="7"/>
      <c r="L3159" s="7"/>
      <c r="M3159" s="7"/>
    </row>
    <row r="3160" ht="15.75" customHeight="1">
      <c r="A3160" s="7" t="s">
        <v>15880</v>
      </c>
      <c r="B3160" s="45" t="s">
        <v>15881</v>
      </c>
      <c r="C3160" s="7"/>
      <c r="D3160" s="7" t="s">
        <v>15882</v>
      </c>
      <c r="E3160" s="7" t="s">
        <v>15883</v>
      </c>
      <c r="F3160" s="7" t="s">
        <v>9318</v>
      </c>
      <c r="G3160" s="7" t="s">
        <v>15884</v>
      </c>
      <c r="H3160" s="47" t="s">
        <v>14727</v>
      </c>
      <c r="I3160" s="7" t="s">
        <v>160</v>
      </c>
      <c r="J3160" s="7" t="s">
        <v>148</v>
      </c>
      <c r="K3160" s="7"/>
      <c r="L3160" s="7"/>
      <c r="M3160" s="7"/>
    </row>
    <row r="3161" ht="15.75" customHeight="1">
      <c r="A3161" s="7" t="s">
        <v>15885</v>
      </c>
      <c r="B3161" s="45" t="s">
        <v>15886</v>
      </c>
      <c r="C3161" s="7"/>
      <c r="D3161" s="7" t="s">
        <v>15887</v>
      </c>
      <c r="E3161" s="7" t="s">
        <v>9421</v>
      </c>
      <c r="F3161" s="7" t="s">
        <v>9422</v>
      </c>
      <c r="G3161" s="7" t="s">
        <v>15888</v>
      </c>
      <c r="H3161" s="47" t="s">
        <v>14727</v>
      </c>
      <c r="I3161" s="7" t="s">
        <v>160</v>
      </c>
      <c r="J3161" s="7" t="s">
        <v>148</v>
      </c>
      <c r="K3161" s="7"/>
      <c r="L3161" s="7"/>
      <c r="M3161" s="7"/>
    </row>
    <row r="3162" ht="15.75" customHeight="1">
      <c r="A3162" s="7" t="s">
        <v>15889</v>
      </c>
      <c r="B3162" s="45" t="s">
        <v>15890</v>
      </c>
      <c r="C3162" s="7"/>
      <c r="D3162" s="7" t="s">
        <v>15891</v>
      </c>
      <c r="E3162" s="7" t="s">
        <v>8978</v>
      </c>
      <c r="F3162" s="7" t="s">
        <v>8979</v>
      </c>
      <c r="G3162" s="7" t="s">
        <v>15892</v>
      </c>
      <c r="H3162" s="47" t="s">
        <v>14727</v>
      </c>
      <c r="I3162" s="7" t="s">
        <v>160</v>
      </c>
      <c r="J3162" s="7" t="s">
        <v>148</v>
      </c>
      <c r="K3162" s="7"/>
      <c r="L3162" s="7"/>
      <c r="M3162" s="7"/>
    </row>
    <row r="3163" ht="15.75" customHeight="1">
      <c r="A3163" s="7" t="s">
        <v>15893</v>
      </c>
      <c r="B3163" s="45" t="s">
        <v>15894</v>
      </c>
      <c r="C3163" s="7"/>
      <c r="D3163" s="7" t="s">
        <v>15895</v>
      </c>
      <c r="E3163" s="7" t="s">
        <v>9378</v>
      </c>
      <c r="F3163" s="7" t="s">
        <v>9379</v>
      </c>
      <c r="G3163" s="7"/>
      <c r="H3163" s="47" t="s">
        <v>14727</v>
      </c>
      <c r="I3163" s="7" t="s">
        <v>160</v>
      </c>
      <c r="J3163" s="7" t="s">
        <v>148</v>
      </c>
      <c r="K3163" s="7"/>
      <c r="L3163" s="7"/>
      <c r="M3163" s="7"/>
    </row>
    <row r="3164" ht="15.75" customHeight="1">
      <c r="A3164" s="7" t="s">
        <v>15896</v>
      </c>
      <c r="B3164" s="45" t="s">
        <v>15897</v>
      </c>
      <c r="C3164" s="7"/>
      <c r="D3164" s="7" t="s">
        <v>15898</v>
      </c>
      <c r="E3164" s="7" t="s">
        <v>9465</v>
      </c>
      <c r="F3164" s="7" t="s">
        <v>9466</v>
      </c>
      <c r="G3164" s="7" t="s">
        <v>15899</v>
      </c>
      <c r="H3164" s="47" t="s">
        <v>14727</v>
      </c>
      <c r="I3164" s="7" t="s">
        <v>160</v>
      </c>
      <c r="J3164" s="7" t="s">
        <v>148</v>
      </c>
      <c r="K3164" s="7"/>
      <c r="L3164" s="7"/>
      <c r="M3164" s="7"/>
    </row>
    <row r="3165" ht="15.75" customHeight="1">
      <c r="A3165" s="7" t="s">
        <v>15900</v>
      </c>
      <c r="B3165" s="45" t="s">
        <v>15901</v>
      </c>
      <c r="C3165" s="7"/>
      <c r="D3165" s="7" t="s">
        <v>9382</v>
      </c>
      <c r="E3165" s="7" t="s">
        <v>9383</v>
      </c>
      <c r="F3165" s="7" t="s">
        <v>9384</v>
      </c>
      <c r="G3165" s="7" t="s">
        <v>9385</v>
      </c>
      <c r="H3165" s="47" t="s">
        <v>14727</v>
      </c>
      <c r="I3165" s="7" t="s">
        <v>160</v>
      </c>
      <c r="J3165" s="7" t="s">
        <v>148</v>
      </c>
      <c r="K3165" s="7"/>
      <c r="L3165" s="7"/>
      <c r="M3165" s="7"/>
    </row>
    <row r="3166" ht="15.75" customHeight="1">
      <c r="A3166" s="7" t="s">
        <v>15902</v>
      </c>
      <c r="B3166" s="45" t="s">
        <v>15903</v>
      </c>
      <c r="C3166" s="7"/>
      <c r="D3166" s="7" t="s">
        <v>15904</v>
      </c>
      <c r="E3166" s="7" t="s">
        <v>9471</v>
      </c>
      <c r="F3166" s="7" t="s">
        <v>9472</v>
      </c>
      <c r="G3166" s="7" t="s">
        <v>15905</v>
      </c>
      <c r="H3166" s="47" t="s">
        <v>14727</v>
      </c>
      <c r="I3166" s="7" t="s">
        <v>160</v>
      </c>
      <c r="J3166" s="7" t="s">
        <v>148</v>
      </c>
      <c r="K3166" s="7"/>
      <c r="L3166" s="7"/>
      <c r="M3166" s="7"/>
    </row>
    <row r="3167" ht="15.75" customHeight="1">
      <c r="A3167" s="7" t="s">
        <v>15906</v>
      </c>
      <c r="B3167" s="45" t="s">
        <v>15907</v>
      </c>
      <c r="C3167" s="7"/>
      <c r="D3167" s="7" t="s">
        <v>10325</v>
      </c>
      <c r="E3167" s="7" t="s">
        <v>10321</v>
      </c>
      <c r="F3167" s="7" t="s">
        <v>15908</v>
      </c>
      <c r="G3167" s="7" t="s">
        <v>15909</v>
      </c>
      <c r="H3167" s="47" t="s">
        <v>14727</v>
      </c>
      <c r="I3167" s="7" t="s">
        <v>160</v>
      </c>
      <c r="J3167" s="7" t="s">
        <v>148</v>
      </c>
      <c r="K3167" s="7"/>
      <c r="L3167" s="7"/>
      <c r="M3167" s="7"/>
    </row>
    <row r="3168" ht="15.75" customHeight="1">
      <c r="A3168" s="7" t="s">
        <v>15910</v>
      </c>
      <c r="B3168" s="45" t="s">
        <v>15911</v>
      </c>
      <c r="C3168" s="7"/>
      <c r="D3168" s="7" t="s">
        <v>15912</v>
      </c>
      <c r="E3168" s="7" t="s">
        <v>15913</v>
      </c>
      <c r="F3168" s="7" t="s">
        <v>9491</v>
      </c>
      <c r="G3168" s="7"/>
      <c r="H3168" s="47" t="s">
        <v>14727</v>
      </c>
      <c r="I3168" s="7" t="s">
        <v>160</v>
      </c>
      <c r="J3168" s="7" t="s">
        <v>148</v>
      </c>
      <c r="K3168" s="7"/>
      <c r="L3168" s="7"/>
      <c r="M3168" s="7"/>
    </row>
    <row r="3169" ht="15.75" customHeight="1">
      <c r="A3169" s="7" t="s">
        <v>15914</v>
      </c>
      <c r="B3169" s="45" t="s">
        <v>15915</v>
      </c>
      <c r="C3169" s="7"/>
      <c r="D3169" s="7" t="s">
        <v>6000</v>
      </c>
      <c r="E3169" s="7" t="s">
        <v>6001</v>
      </c>
      <c r="F3169" s="7" t="s">
        <v>6002</v>
      </c>
      <c r="G3169" s="7"/>
      <c r="H3169" s="47" t="s">
        <v>14727</v>
      </c>
      <c r="I3169" s="7" t="s">
        <v>160</v>
      </c>
      <c r="J3169" s="7" t="s">
        <v>148</v>
      </c>
      <c r="K3169" s="7"/>
      <c r="L3169" s="7"/>
      <c r="M3169" s="7"/>
    </row>
    <row r="3170" ht="15.75" customHeight="1">
      <c r="A3170" s="7" t="s">
        <v>15916</v>
      </c>
      <c r="B3170" s="45" t="s">
        <v>15917</v>
      </c>
      <c r="C3170" s="7"/>
      <c r="D3170" s="7" t="s">
        <v>9499</v>
      </c>
      <c r="E3170" s="7" t="s">
        <v>15918</v>
      </c>
      <c r="F3170" s="7" t="s">
        <v>9501</v>
      </c>
      <c r="G3170" s="7" t="s">
        <v>15919</v>
      </c>
      <c r="H3170" s="47" t="s">
        <v>14727</v>
      </c>
      <c r="I3170" s="7" t="s">
        <v>160</v>
      </c>
      <c r="J3170" s="7" t="s">
        <v>148</v>
      </c>
      <c r="K3170" s="7"/>
      <c r="L3170" s="7"/>
      <c r="M3170" s="7"/>
    </row>
    <row r="3171" ht="15.75" customHeight="1">
      <c r="A3171" s="7" t="s">
        <v>15920</v>
      </c>
      <c r="B3171" s="45" t="s">
        <v>15921</v>
      </c>
      <c r="C3171" s="7"/>
      <c r="D3171" s="7" t="s">
        <v>9526</v>
      </c>
      <c r="E3171" s="7" t="s">
        <v>9527</v>
      </c>
      <c r="F3171" s="7" t="s">
        <v>9528</v>
      </c>
      <c r="G3171" s="7"/>
      <c r="H3171" s="47" t="s">
        <v>14727</v>
      </c>
      <c r="I3171" s="7" t="s">
        <v>160</v>
      </c>
      <c r="J3171" s="7" t="s">
        <v>148</v>
      </c>
      <c r="K3171" s="7"/>
      <c r="L3171" s="7"/>
      <c r="M3171" s="7"/>
    </row>
    <row r="3172" ht="15.75" customHeight="1">
      <c r="A3172" s="7" t="s">
        <v>15922</v>
      </c>
      <c r="B3172" s="45" t="s">
        <v>15923</v>
      </c>
      <c r="C3172" s="7"/>
      <c r="D3172" s="7" t="s">
        <v>15924</v>
      </c>
      <c r="E3172" s="7" t="s">
        <v>9545</v>
      </c>
      <c r="F3172" s="7" t="s">
        <v>9554</v>
      </c>
      <c r="G3172" s="7" t="s">
        <v>15925</v>
      </c>
      <c r="H3172" s="47" t="s">
        <v>14727</v>
      </c>
      <c r="I3172" s="7" t="s">
        <v>160</v>
      </c>
      <c r="J3172" s="7" t="s">
        <v>148</v>
      </c>
      <c r="K3172" s="7"/>
      <c r="L3172" s="7"/>
      <c r="M3172" s="7"/>
    </row>
    <row r="3173" ht="15.75" customHeight="1">
      <c r="A3173" s="7" t="s">
        <v>15926</v>
      </c>
      <c r="B3173" s="45" t="s">
        <v>15927</v>
      </c>
      <c r="C3173" s="7"/>
      <c r="D3173" s="7" t="s">
        <v>15928</v>
      </c>
      <c r="E3173" s="7" t="s">
        <v>9601</v>
      </c>
      <c r="F3173" s="7" t="s">
        <v>9602</v>
      </c>
      <c r="G3173" s="7" t="s">
        <v>15929</v>
      </c>
      <c r="H3173" s="47" t="s">
        <v>14727</v>
      </c>
      <c r="I3173" s="7" t="s">
        <v>160</v>
      </c>
      <c r="J3173" s="7" t="s">
        <v>148</v>
      </c>
      <c r="K3173" s="7"/>
      <c r="L3173" s="7"/>
      <c r="M3173" s="7"/>
    </row>
    <row r="3174" ht="15.75" customHeight="1">
      <c r="A3174" s="7" t="s">
        <v>15930</v>
      </c>
      <c r="B3174" s="45" t="s">
        <v>15931</v>
      </c>
      <c r="C3174" s="7"/>
      <c r="D3174" s="7" t="s">
        <v>9618</v>
      </c>
      <c r="E3174" s="7" t="s">
        <v>8339</v>
      </c>
      <c r="F3174" s="7" t="s">
        <v>15932</v>
      </c>
      <c r="G3174" s="7" t="s">
        <v>15933</v>
      </c>
      <c r="H3174" s="47" t="s">
        <v>14727</v>
      </c>
      <c r="I3174" s="7" t="s">
        <v>160</v>
      </c>
      <c r="J3174" s="7" t="s">
        <v>148</v>
      </c>
      <c r="K3174" s="7"/>
      <c r="L3174" s="7"/>
      <c r="M3174" s="7"/>
    </row>
    <row r="3175" ht="15.75" customHeight="1">
      <c r="A3175" s="7" t="s">
        <v>15934</v>
      </c>
      <c r="B3175" s="45" t="s">
        <v>15935</v>
      </c>
      <c r="C3175" s="7"/>
      <c r="D3175" s="7" t="s">
        <v>15936</v>
      </c>
      <c r="E3175" s="7" t="s">
        <v>15937</v>
      </c>
      <c r="F3175" s="7" t="s">
        <v>9628</v>
      </c>
      <c r="G3175" s="7"/>
      <c r="H3175" s="47" t="s">
        <v>14727</v>
      </c>
      <c r="I3175" s="7" t="s">
        <v>160</v>
      </c>
      <c r="J3175" s="7" t="s">
        <v>148</v>
      </c>
      <c r="K3175" s="7"/>
      <c r="L3175" s="7"/>
      <c r="M3175" s="7"/>
    </row>
    <row r="3176" ht="15.75" customHeight="1">
      <c r="A3176" s="7" t="s">
        <v>15938</v>
      </c>
      <c r="B3176" s="45" t="s">
        <v>15939</v>
      </c>
      <c r="C3176" s="7"/>
      <c r="D3176" s="7" t="s">
        <v>15940</v>
      </c>
      <c r="E3176" s="7" t="s">
        <v>15941</v>
      </c>
      <c r="F3176" s="7" t="s">
        <v>9639</v>
      </c>
      <c r="G3176" s="7" t="s">
        <v>15942</v>
      </c>
      <c r="H3176" s="47" t="s">
        <v>14727</v>
      </c>
      <c r="I3176" s="7" t="s">
        <v>160</v>
      </c>
      <c r="J3176" s="7" t="s">
        <v>148</v>
      </c>
      <c r="K3176" s="7"/>
      <c r="L3176" s="7"/>
      <c r="M3176" s="7"/>
    </row>
    <row r="3177" ht="15.75" customHeight="1">
      <c r="A3177" s="7" t="s">
        <v>15943</v>
      </c>
      <c r="B3177" s="45" t="s">
        <v>15944</v>
      </c>
      <c r="C3177" s="7"/>
      <c r="D3177" s="7" t="s">
        <v>9682</v>
      </c>
      <c r="E3177" s="7" t="s">
        <v>9683</v>
      </c>
      <c r="F3177" s="7" t="s">
        <v>9684</v>
      </c>
      <c r="G3177" s="7"/>
      <c r="H3177" s="47" t="s">
        <v>14727</v>
      </c>
      <c r="I3177" s="7" t="s">
        <v>160</v>
      </c>
      <c r="J3177" s="7" t="s">
        <v>148</v>
      </c>
      <c r="K3177" s="7"/>
      <c r="L3177" s="7"/>
      <c r="M3177" s="7"/>
    </row>
    <row r="3178" ht="15.75" customHeight="1">
      <c r="A3178" s="7" t="s">
        <v>15945</v>
      </c>
      <c r="B3178" s="45" t="s">
        <v>15946</v>
      </c>
      <c r="C3178" s="7"/>
      <c r="D3178" s="7" t="s">
        <v>9687</v>
      </c>
      <c r="E3178" s="7" t="s">
        <v>9688</v>
      </c>
      <c r="F3178" s="7" t="s">
        <v>3219</v>
      </c>
      <c r="G3178" s="7"/>
      <c r="H3178" s="47" t="s">
        <v>14727</v>
      </c>
      <c r="I3178" s="7" t="s">
        <v>160</v>
      </c>
      <c r="J3178" s="7" t="s">
        <v>148</v>
      </c>
      <c r="K3178" s="7"/>
      <c r="L3178" s="7"/>
      <c r="M3178" s="7"/>
    </row>
    <row r="3179" ht="15.75" customHeight="1">
      <c r="A3179" s="7" t="s">
        <v>15947</v>
      </c>
      <c r="B3179" s="45" t="s">
        <v>15948</v>
      </c>
      <c r="C3179" s="7"/>
      <c r="D3179" s="7" t="s">
        <v>9725</v>
      </c>
      <c r="E3179" s="7" t="s">
        <v>15949</v>
      </c>
      <c r="F3179" s="7" t="s">
        <v>9727</v>
      </c>
      <c r="G3179" s="7" t="s">
        <v>15950</v>
      </c>
      <c r="H3179" s="47" t="s">
        <v>14727</v>
      </c>
      <c r="I3179" s="7" t="s">
        <v>160</v>
      </c>
      <c r="J3179" s="7" t="s">
        <v>148</v>
      </c>
      <c r="K3179" s="7"/>
      <c r="L3179" s="7"/>
      <c r="M3179" s="7"/>
    </row>
    <row r="3180" ht="15.75" customHeight="1">
      <c r="A3180" s="7" t="s">
        <v>15951</v>
      </c>
      <c r="B3180" s="45" t="s">
        <v>15952</v>
      </c>
      <c r="C3180" s="7"/>
      <c r="D3180" s="7" t="s">
        <v>15953</v>
      </c>
      <c r="E3180" s="7" t="s">
        <v>15954</v>
      </c>
      <c r="F3180" s="7" t="s">
        <v>15955</v>
      </c>
      <c r="G3180" s="7"/>
      <c r="H3180" s="47" t="s">
        <v>14727</v>
      </c>
      <c r="I3180" s="7" t="s">
        <v>160</v>
      </c>
      <c r="J3180" s="7" t="s">
        <v>148</v>
      </c>
      <c r="K3180" s="7"/>
      <c r="L3180" s="7"/>
      <c r="M3180" s="7"/>
    </row>
    <row r="3181" ht="15.75" customHeight="1">
      <c r="A3181" s="7" t="s">
        <v>15956</v>
      </c>
      <c r="B3181" s="45" t="s">
        <v>15957</v>
      </c>
      <c r="C3181" s="7"/>
      <c r="D3181" s="7" t="s">
        <v>15958</v>
      </c>
      <c r="E3181" s="7"/>
      <c r="F3181" s="7" t="s">
        <v>9757</v>
      </c>
      <c r="G3181" s="7"/>
      <c r="H3181" s="47" t="s">
        <v>14727</v>
      </c>
      <c r="I3181" s="7" t="s">
        <v>160</v>
      </c>
      <c r="J3181" s="7" t="s">
        <v>148</v>
      </c>
      <c r="K3181" s="7"/>
      <c r="L3181" s="7"/>
      <c r="M3181" s="7"/>
    </row>
    <row r="3182" ht="15.75" customHeight="1">
      <c r="A3182" s="7" t="s">
        <v>15959</v>
      </c>
      <c r="B3182" s="45" t="s">
        <v>15960</v>
      </c>
      <c r="C3182" s="7"/>
      <c r="D3182" s="7" t="s">
        <v>15961</v>
      </c>
      <c r="E3182" s="7" t="s">
        <v>15962</v>
      </c>
      <c r="F3182" s="7" t="s">
        <v>15955</v>
      </c>
      <c r="G3182" s="7"/>
      <c r="H3182" s="47" t="s">
        <v>14727</v>
      </c>
      <c r="I3182" s="7" t="s">
        <v>160</v>
      </c>
      <c r="J3182" s="7" t="s">
        <v>148</v>
      </c>
      <c r="K3182" s="7"/>
      <c r="L3182" s="7"/>
      <c r="M3182" s="7"/>
    </row>
    <row r="3183" ht="15.75" customHeight="1">
      <c r="A3183" s="7" t="s">
        <v>15963</v>
      </c>
      <c r="B3183" s="45" t="s">
        <v>15964</v>
      </c>
      <c r="C3183" s="7"/>
      <c r="D3183" s="7" t="s">
        <v>15965</v>
      </c>
      <c r="E3183" s="7" t="s">
        <v>15966</v>
      </c>
      <c r="F3183" s="7" t="s">
        <v>3468</v>
      </c>
      <c r="G3183" s="7" t="s">
        <v>15967</v>
      </c>
      <c r="H3183" s="47" t="s">
        <v>14727</v>
      </c>
      <c r="I3183" s="7" t="s">
        <v>160</v>
      </c>
      <c r="J3183" s="7" t="s">
        <v>148</v>
      </c>
      <c r="K3183" s="7"/>
      <c r="L3183" s="7"/>
      <c r="M3183" s="7"/>
    </row>
    <row r="3184" ht="15.75" customHeight="1">
      <c r="A3184" s="7" t="s">
        <v>15968</v>
      </c>
      <c r="B3184" s="45" t="s">
        <v>15969</v>
      </c>
      <c r="C3184" s="7"/>
      <c r="D3184" s="7" t="s">
        <v>9764</v>
      </c>
      <c r="E3184" s="7" t="s">
        <v>15970</v>
      </c>
      <c r="F3184" s="7" t="s">
        <v>9766</v>
      </c>
      <c r="G3184" s="7" t="s">
        <v>15971</v>
      </c>
      <c r="H3184" s="47" t="s">
        <v>14727</v>
      </c>
      <c r="I3184" s="7" t="s">
        <v>160</v>
      </c>
      <c r="J3184" s="7" t="s">
        <v>148</v>
      </c>
      <c r="K3184" s="7"/>
      <c r="L3184" s="7"/>
      <c r="M3184" s="7"/>
    </row>
    <row r="3185" ht="15.75" customHeight="1">
      <c r="A3185" s="7" t="s">
        <v>15972</v>
      </c>
      <c r="B3185" s="45" t="s">
        <v>15973</v>
      </c>
      <c r="C3185" s="7"/>
      <c r="D3185" s="7" t="s">
        <v>15974</v>
      </c>
      <c r="E3185" s="7" t="s">
        <v>15975</v>
      </c>
      <c r="F3185" s="7" t="s">
        <v>15976</v>
      </c>
      <c r="G3185" s="7" t="s">
        <v>15977</v>
      </c>
      <c r="H3185" s="47" t="s">
        <v>14727</v>
      </c>
      <c r="I3185" s="7" t="s">
        <v>160</v>
      </c>
      <c r="J3185" s="7" t="s">
        <v>148</v>
      </c>
      <c r="K3185" s="7"/>
      <c r="L3185" s="7"/>
      <c r="M3185" s="7"/>
    </row>
    <row r="3186" ht="15.75" customHeight="1">
      <c r="A3186" s="7" t="s">
        <v>15978</v>
      </c>
      <c r="B3186" s="45" t="s">
        <v>15979</v>
      </c>
      <c r="C3186" s="7"/>
      <c r="D3186" s="7" t="s">
        <v>9782</v>
      </c>
      <c r="E3186" s="7" t="s">
        <v>15980</v>
      </c>
      <c r="F3186" s="7" t="s">
        <v>9784</v>
      </c>
      <c r="G3186" s="7"/>
      <c r="H3186" s="47" t="s">
        <v>14727</v>
      </c>
      <c r="I3186" s="7" t="s">
        <v>160</v>
      </c>
      <c r="J3186" s="7" t="s">
        <v>148</v>
      </c>
      <c r="K3186" s="7"/>
      <c r="L3186" s="7"/>
      <c r="M3186" s="7"/>
    </row>
    <row r="3187" ht="15.75" customHeight="1">
      <c r="A3187" s="7" t="s">
        <v>15981</v>
      </c>
      <c r="B3187" s="45" t="s">
        <v>15982</v>
      </c>
      <c r="C3187" s="7"/>
      <c r="D3187" s="7" t="s">
        <v>9817</v>
      </c>
      <c r="E3187" s="7" t="s">
        <v>9818</v>
      </c>
      <c r="F3187" s="7" t="s">
        <v>9819</v>
      </c>
      <c r="G3187" s="7"/>
      <c r="H3187" s="47" t="s">
        <v>14727</v>
      </c>
      <c r="I3187" s="7" t="s">
        <v>160</v>
      </c>
      <c r="J3187" s="7" t="s">
        <v>148</v>
      </c>
      <c r="K3187" s="7"/>
      <c r="L3187" s="7"/>
      <c r="M3187" s="7"/>
    </row>
    <row r="3188" ht="15.75" customHeight="1">
      <c r="A3188" s="7" t="s">
        <v>15983</v>
      </c>
      <c r="B3188" s="45" t="s">
        <v>15984</v>
      </c>
      <c r="C3188" s="7"/>
      <c r="D3188" s="7" t="s">
        <v>9841</v>
      </c>
      <c r="E3188" s="7" t="s">
        <v>9842</v>
      </c>
      <c r="F3188" s="7" t="s">
        <v>9843</v>
      </c>
      <c r="G3188" s="7" t="s">
        <v>15985</v>
      </c>
      <c r="H3188" s="47" t="s">
        <v>14727</v>
      </c>
      <c r="I3188" s="7" t="s">
        <v>160</v>
      </c>
      <c r="J3188" s="7" t="s">
        <v>148</v>
      </c>
      <c r="K3188" s="7"/>
      <c r="L3188" s="7"/>
      <c r="M3188" s="7"/>
    </row>
    <row r="3189" ht="15.75" customHeight="1">
      <c r="A3189" s="7" t="s">
        <v>15986</v>
      </c>
      <c r="B3189" s="45" t="s">
        <v>15987</v>
      </c>
      <c r="C3189" s="7"/>
      <c r="D3189" s="7" t="s">
        <v>15988</v>
      </c>
      <c r="E3189" s="7" t="s">
        <v>15989</v>
      </c>
      <c r="F3189" s="7" t="s">
        <v>15990</v>
      </c>
      <c r="G3189" s="7"/>
      <c r="H3189" s="47" t="s">
        <v>14727</v>
      </c>
      <c r="I3189" s="7" t="s">
        <v>160</v>
      </c>
      <c r="J3189" s="7" t="s">
        <v>148</v>
      </c>
      <c r="K3189" s="7"/>
      <c r="L3189" s="7"/>
      <c r="M3189" s="7"/>
    </row>
    <row r="3190" ht="15.75" customHeight="1">
      <c r="A3190" s="7" t="s">
        <v>15991</v>
      </c>
      <c r="B3190" s="45" t="s">
        <v>15992</v>
      </c>
      <c r="C3190" s="7"/>
      <c r="D3190" s="7" t="s">
        <v>9901</v>
      </c>
      <c r="E3190" s="7" t="s">
        <v>9902</v>
      </c>
      <c r="F3190" s="7" t="s">
        <v>9903</v>
      </c>
      <c r="G3190" s="7"/>
      <c r="H3190" s="47" t="s">
        <v>14727</v>
      </c>
      <c r="I3190" s="7" t="s">
        <v>160</v>
      </c>
      <c r="J3190" s="7" t="s">
        <v>148</v>
      </c>
      <c r="K3190" s="7"/>
      <c r="L3190" s="7"/>
      <c r="M3190" s="7"/>
    </row>
    <row r="3191" ht="15.75" customHeight="1">
      <c r="A3191" s="7" t="s">
        <v>15993</v>
      </c>
      <c r="B3191" s="45" t="s">
        <v>15994</v>
      </c>
      <c r="C3191" s="7" t="s">
        <v>2945</v>
      </c>
      <c r="D3191" s="7" t="s">
        <v>15995</v>
      </c>
      <c r="E3191" s="7" t="s">
        <v>15996</v>
      </c>
      <c r="F3191" s="7"/>
      <c r="G3191" s="7"/>
      <c r="H3191" s="47" t="s">
        <v>14727</v>
      </c>
      <c r="I3191" s="7" t="s">
        <v>154</v>
      </c>
      <c r="J3191" s="7" t="s">
        <v>148</v>
      </c>
      <c r="K3191" s="7"/>
      <c r="L3191" s="7"/>
      <c r="M3191" s="7"/>
    </row>
    <row r="3192" ht="15.75" customHeight="1">
      <c r="A3192" s="7" t="s">
        <v>15997</v>
      </c>
      <c r="B3192" s="45" t="s">
        <v>15998</v>
      </c>
      <c r="C3192" s="7"/>
      <c r="D3192" s="7" t="s">
        <v>9981</v>
      </c>
      <c r="E3192" s="7" t="s">
        <v>15999</v>
      </c>
      <c r="F3192" s="7" t="s">
        <v>9983</v>
      </c>
      <c r="G3192" s="7" t="s">
        <v>16000</v>
      </c>
      <c r="H3192" s="47" t="s">
        <v>14727</v>
      </c>
      <c r="I3192" s="7" t="s">
        <v>160</v>
      </c>
      <c r="J3192" s="7" t="s">
        <v>148</v>
      </c>
      <c r="K3192" s="7"/>
      <c r="L3192" s="7"/>
      <c r="M3192" s="7"/>
    </row>
    <row r="3193" ht="15.75" customHeight="1">
      <c r="A3193" s="7" t="s">
        <v>16001</v>
      </c>
      <c r="B3193" s="45" t="s">
        <v>16002</v>
      </c>
      <c r="C3193" s="7"/>
      <c r="D3193" s="7" t="s">
        <v>16003</v>
      </c>
      <c r="E3193" s="7" t="s">
        <v>9994</v>
      </c>
      <c r="F3193" s="7" t="s">
        <v>9995</v>
      </c>
      <c r="G3193" s="7" t="s">
        <v>16004</v>
      </c>
      <c r="H3193" s="47" t="s">
        <v>14727</v>
      </c>
      <c r="I3193" s="7" t="s">
        <v>160</v>
      </c>
      <c r="J3193" s="7" t="s">
        <v>148</v>
      </c>
      <c r="K3193" s="7"/>
      <c r="L3193" s="7"/>
      <c r="M3193" s="7"/>
    </row>
    <row r="3194" ht="15.75" customHeight="1">
      <c r="A3194" s="7" t="s">
        <v>16005</v>
      </c>
      <c r="B3194" s="45" t="s">
        <v>16006</v>
      </c>
      <c r="C3194" s="7"/>
      <c r="D3194" s="7" t="s">
        <v>438</v>
      </c>
      <c r="E3194" s="7" t="s">
        <v>439</v>
      </c>
      <c r="F3194" s="7" t="s">
        <v>440</v>
      </c>
      <c r="G3194" s="7" t="s">
        <v>16007</v>
      </c>
      <c r="H3194" s="47" t="s">
        <v>14727</v>
      </c>
      <c r="I3194" s="7" t="s">
        <v>160</v>
      </c>
      <c r="J3194" s="7" t="s">
        <v>148</v>
      </c>
      <c r="K3194" s="7"/>
      <c r="L3194" s="7"/>
      <c r="M3194" s="7"/>
    </row>
    <row r="3195" ht="15.75" customHeight="1">
      <c r="A3195" s="7" t="s">
        <v>16008</v>
      </c>
      <c r="B3195" s="45" t="s">
        <v>16009</v>
      </c>
      <c r="C3195" s="7"/>
      <c r="D3195" s="7" t="s">
        <v>10049</v>
      </c>
      <c r="E3195" s="7" t="s">
        <v>16010</v>
      </c>
      <c r="F3195" s="7" t="s">
        <v>10051</v>
      </c>
      <c r="G3195" s="7"/>
      <c r="H3195" s="47" t="s">
        <v>14727</v>
      </c>
      <c r="I3195" s="7" t="s">
        <v>160</v>
      </c>
      <c r="J3195" s="7" t="s">
        <v>148</v>
      </c>
      <c r="K3195" s="7"/>
      <c r="L3195" s="7"/>
      <c r="M3195" s="7"/>
    </row>
    <row r="3196" ht="15.75" customHeight="1">
      <c r="A3196" s="7" t="s">
        <v>16011</v>
      </c>
      <c r="B3196" s="45" t="s">
        <v>16012</v>
      </c>
      <c r="C3196" s="7"/>
      <c r="D3196" s="7" t="s">
        <v>16013</v>
      </c>
      <c r="E3196" s="7" t="s">
        <v>11516</v>
      </c>
      <c r="F3196" s="7" t="s">
        <v>3121</v>
      </c>
      <c r="G3196" s="7"/>
      <c r="H3196" s="47" t="s">
        <v>14727</v>
      </c>
      <c r="I3196" s="7" t="s">
        <v>160</v>
      </c>
      <c r="J3196" s="7" t="s">
        <v>148</v>
      </c>
      <c r="K3196" s="7"/>
      <c r="L3196" s="7"/>
      <c r="M3196" s="7"/>
    </row>
    <row r="3197" ht="15.75" customHeight="1">
      <c r="A3197" s="7" t="s">
        <v>16014</v>
      </c>
      <c r="B3197" s="45" t="s">
        <v>16015</v>
      </c>
      <c r="C3197" s="7"/>
      <c r="D3197" s="7" t="s">
        <v>16016</v>
      </c>
      <c r="E3197" s="7" t="s">
        <v>10107</v>
      </c>
      <c r="F3197" s="7" t="s">
        <v>10108</v>
      </c>
      <c r="G3197" s="7"/>
      <c r="H3197" s="47" t="s">
        <v>14727</v>
      </c>
      <c r="I3197" s="7" t="s">
        <v>160</v>
      </c>
      <c r="J3197" s="7" t="s">
        <v>148</v>
      </c>
      <c r="K3197" s="7"/>
      <c r="L3197" s="7"/>
      <c r="M3197" s="7"/>
    </row>
    <row r="3198" ht="15.75" customHeight="1">
      <c r="A3198" s="7" t="s">
        <v>16017</v>
      </c>
      <c r="B3198" s="45" t="s">
        <v>16018</v>
      </c>
      <c r="C3198" s="7"/>
      <c r="D3198" s="7" t="s">
        <v>1418</v>
      </c>
      <c r="E3198" s="7" t="s">
        <v>16019</v>
      </c>
      <c r="F3198" s="7" t="s">
        <v>1420</v>
      </c>
      <c r="G3198" s="7" t="s">
        <v>16020</v>
      </c>
      <c r="H3198" s="47" t="s">
        <v>14727</v>
      </c>
      <c r="I3198" s="7" t="s">
        <v>160</v>
      </c>
      <c r="J3198" s="7" t="s">
        <v>148</v>
      </c>
      <c r="K3198" s="7"/>
      <c r="L3198" s="7"/>
      <c r="M3198" s="7"/>
    </row>
    <row r="3199" ht="15.75" customHeight="1">
      <c r="A3199" s="7" t="s">
        <v>16021</v>
      </c>
      <c r="B3199" s="45" t="s">
        <v>16022</v>
      </c>
      <c r="C3199" s="7"/>
      <c r="D3199" s="7" t="s">
        <v>16023</v>
      </c>
      <c r="E3199" s="7" t="s">
        <v>4545</v>
      </c>
      <c r="F3199" s="7" t="s">
        <v>4546</v>
      </c>
      <c r="G3199" s="7" t="s">
        <v>16024</v>
      </c>
      <c r="H3199" s="47" t="s">
        <v>14727</v>
      </c>
      <c r="I3199" s="7" t="s">
        <v>160</v>
      </c>
      <c r="J3199" s="7" t="s">
        <v>148</v>
      </c>
      <c r="K3199" s="7"/>
      <c r="L3199" s="7"/>
      <c r="M3199" s="7"/>
    </row>
    <row r="3200" ht="15.75" customHeight="1">
      <c r="A3200" s="7" t="s">
        <v>16025</v>
      </c>
      <c r="B3200" s="45" t="s">
        <v>16026</v>
      </c>
      <c r="C3200" s="7"/>
      <c r="D3200" s="7" t="s">
        <v>16027</v>
      </c>
      <c r="E3200" s="7" t="s">
        <v>10140</v>
      </c>
      <c r="F3200" s="7" t="s">
        <v>10141</v>
      </c>
      <c r="G3200" s="7"/>
      <c r="H3200" s="47" t="s">
        <v>14727</v>
      </c>
      <c r="I3200" s="7" t="s">
        <v>160</v>
      </c>
      <c r="J3200" s="7" t="s">
        <v>148</v>
      </c>
      <c r="K3200" s="7"/>
      <c r="L3200" s="7"/>
      <c r="M3200" s="7"/>
    </row>
    <row r="3201" ht="15.75" customHeight="1">
      <c r="A3201" s="7" t="s">
        <v>16028</v>
      </c>
      <c r="B3201" s="45" t="s">
        <v>16029</v>
      </c>
      <c r="C3201" s="7"/>
      <c r="D3201" s="7" t="s">
        <v>16030</v>
      </c>
      <c r="E3201" s="7" t="s">
        <v>16031</v>
      </c>
      <c r="F3201" s="7" t="s">
        <v>16032</v>
      </c>
      <c r="G3201" s="7"/>
      <c r="H3201" s="47" t="s">
        <v>14727</v>
      </c>
      <c r="I3201" s="7" t="s">
        <v>160</v>
      </c>
      <c r="J3201" s="7" t="s">
        <v>148</v>
      </c>
      <c r="K3201" s="7"/>
      <c r="L3201" s="7"/>
      <c r="M3201" s="7"/>
    </row>
    <row r="3202" ht="15.75" customHeight="1">
      <c r="A3202" s="7" t="s">
        <v>16033</v>
      </c>
      <c r="B3202" s="45" t="s">
        <v>16034</v>
      </c>
      <c r="C3202" s="7"/>
      <c r="D3202" s="7" t="s">
        <v>10151</v>
      </c>
      <c r="E3202" s="7" t="s">
        <v>10152</v>
      </c>
      <c r="F3202" s="7" t="s">
        <v>10153</v>
      </c>
      <c r="G3202" s="7" t="s">
        <v>16035</v>
      </c>
      <c r="H3202" s="47" t="s">
        <v>14727</v>
      </c>
      <c r="I3202" s="7" t="s">
        <v>160</v>
      </c>
      <c r="J3202" s="7" t="s">
        <v>148</v>
      </c>
      <c r="K3202" s="7"/>
      <c r="L3202" s="7"/>
      <c r="M3202" s="7"/>
    </row>
    <row r="3203" ht="15.75" customHeight="1">
      <c r="A3203" s="7" t="s">
        <v>16036</v>
      </c>
      <c r="B3203" s="45" t="s">
        <v>16037</v>
      </c>
      <c r="C3203" s="7"/>
      <c r="D3203" s="7" t="s">
        <v>10157</v>
      </c>
      <c r="E3203" s="7" t="s">
        <v>10158</v>
      </c>
      <c r="F3203" s="7" t="s">
        <v>10159</v>
      </c>
      <c r="G3203" s="7"/>
      <c r="H3203" s="47" t="s">
        <v>14727</v>
      </c>
      <c r="I3203" s="7" t="s">
        <v>160</v>
      </c>
      <c r="J3203" s="7" t="s">
        <v>148</v>
      </c>
      <c r="K3203" s="7"/>
      <c r="L3203" s="7"/>
      <c r="M3203" s="7"/>
    </row>
    <row r="3204" ht="15.75" customHeight="1">
      <c r="A3204" s="7" t="s">
        <v>16038</v>
      </c>
      <c r="B3204" s="45" t="s">
        <v>16039</v>
      </c>
      <c r="C3204" s="7"/>
      <c r="D3204" s="7" t="s">
        <v>16040</v>
      </c>
      <c r="E3204" s="7" t="s">
        <v>16041</v>
      </c>
      <c r="F3204" s="7" t="s">
        <v>16042</v>
      </c>
      <c r="G3204" s="7" t="s">
        <v>16043</v>
      </c>
      <c r="H3204" s="47" t="s">
        <v>14727</v>
      </c>
      <c r="I3204" s="7" t="s">
        <v>160</v>
      </c>
      <c r="J3204" s="7" t="s">
        <v>148</v>
      </c>
      <c r="K3204" s="7"/>
      <c r="L3204" s="7"/>
      <c r="M3204" s="7"/>
    </row>
    <row r="3205" ht="15.75" customHeight="1">
      <c r="A3205" s="7" t="s">
        <v>16044</v>
      </c>
      <c r="B3205" s="45" t="s">
        <v>16045</v>
      </c>
      <c r="C3205" s="7"/>
      <c r="D3205" s="7" t="s">
        <v>10184</v>
      </c>
      <c r="E3205" s="7" t="s">
        <v>10185</v>
      </c>
      <c r="F3205" s="7" t="s">
        <v>10186</v>
      </c>
      <c r="G3205" s="7" t="s">
        <v>16046</v>
      </c>
      <c r="H3205" s="47" t="s">
        <v>14727</v>
      </c>
      <c r="I3205" s="7" t="s">
        <v>160</v>
      </c>
      <c r="J3205" s="7" t="s">
        <v>148</v>
      </c>
      <c r="K3205" s="7"/>
      <c r="L3205" s="7"/>
      <c r="M3205" s="7"/>
    </row>
    <row r="3206" ht="15.75" customHeight="1">
      <c r="A3206" s="7" t="s">
        <v>16047</v>
      </c>
      <c r="B3206" s="45" t="s">
        <v>16048</v>
      </c>
      <c r="C3206" s="7"/>
      <c r="D3206" s="7" t="s">
        <v>16049</v>
      </c>
      <c r="E3206" s="7" t="s">
        <v>10195</v>
      </c>
      <c r="F3206" s="7" t="s">
        <v>10196</v>
      </c>
      <c r="G3206" s="7"/>
      <c r="H3206" s="47" t="s">
        <v>14727</v>
      </c>
      <c r="I3206" s="7" t="s">
        <v>160</v>
      </c>
      <c r="J3206" s="7" t="s">
        <v>148</v>
      </c>
      <c r="K3206" s="7"/>
      <c r="L3206" s="7"/>
      <c r="M3206" s="7"/>
    </row>
    <row r="3207" ht="15.75" customHeight="1">
      <c r="A3207" s="7" t="s">
        <v>16050</v>
      </c>
      <c r="B3207" s="45" t="s">
        <v>16051</v>
      </c>
      <c r="C3207" s="7"/>
      <c r="D3207" s="7" t="s">
        <v>16052</v>
      </c>
      <c r="E3207" s="7" t="s">
        <v>3964</v>
      </c>
      <c r="F3207" s="7" t="s">
        <v>3965</v>
      </c>
      <c r="G3207" s="7" t="s">
        <v>16053</v>
      </c>
      <c r="H3207" s="47" t="s">
        <v>14727</v>
      </c>
      <c r="I3207" s="7" t="s">
        <v>160</v>
      </c>
      <c r="J3207" s="7" t="s">
        <v>148</v>
      </c>
      <c r="K3207" s="7"/>
      <c r="L3207" s="7"/>
      <c r="M3207" s="7"/>
    </row>
    <row r="3208" ht="15.75" customHeight="1">
      <c r="A3208" s="7" t="s">
        <v>16054</v>
      </c>
      <c r="B3208" s="45" t="s">
        <v>16055</v>
      </c>
      <c r="C3208" s="7"/>
      <c r="D3208" s="7" t="s">
        <v>10221</v>
      </c>
      <c r="E3208" s="7" t="s">
        <v>10222</v>
      </c>
      <c r="F3208" s="7" t="s">
        <v>10223</v>
      </c>
      <c r="G3208" s="7"/>
      <c r="H3208" s="47" t="s">
        <v>14727</v>
      </c>
      <c r="I3208" s="7" t="s">
        <v>160</v>
      </c>
      <c r="J3208" s="7" t="s">
        <v>148</v>
      </c>
      <c r="K3208" s="7"/>
      <c r="L3208" s="7"/>
      <c r="M3208" s="7"/>
    </row>
    <row r="3209" ht="15.75" customHeight="1">
      <c r="A3209" s="7" t="s">
        <v>16056</v>
      </c>
      <c r="B3209" s="45" t="s">
        <v>16057</v>
      </c>
      <c r="C3209" s="7"/>
      <c r="D3209" s="7" t="s">
        <v>16058</v>
      </c>
      <c r="E3209" s="7" t="s">
        <v>10246</v>
      </c>
      <c r="F3209" s="7" t="s">
        <v>16059</v>
      </c>
      <c r="G3209" s="7"/>
      <c r="H3209" s="47" t="s">
        <v>14727</v>
      </c>
      <c r="I3209" s="7" t="s">
        <v>160</v>
      </c>
      <c r="J3209" s="7" t="s">
        <v>148</v>
      </c>
      <c r="K3209" s="7"/>
      <c r="L3209" s="7"/>
      <c r="M3209" s="7"/>
    </row>
    <row r="3210" ht="15.75" customHeight="1">
      <c r="A3210" s="7" t="s">
        <v>16060</v>
      </c>
      <c r="B3210" s="45" t="s">
        <v>16061</v>
      </c>
      <c r="C3210" s="7"/>
      <c r="D3210" s="7" t="s">
        <v>16062</v>
      </c>
      <c r="E3210" s="7" t="s">
        <v>16063</v>
      </c>
      <c r="F3210" s="7" t="s">
        <v>16064</v>
      </c>
      <c r="G3210" s="7"/>
      <c r="H3210" s="47" t="s">
        <v>14727</v>
      </c>
      <c r="I3210" s="7" t="s">
        <v>160</v>
      </c>
      <c r="J3210" s="7" t="s">
        <v>148</v>
      </c>
      <c r="K3210" s="7"/>
      <c r="L3210" s="7"/>
      <c r="M3210" s="7"/>
    </row>
    <row r="3211" ht="15.75" customHeight="1">
      <c r="A3211" s="7" t="s">
        <v>16065</v>
      </c>
      <c r="B3211" s="45" t="s">
        <v>16066</v>
      </c>
      <c r="C3211" s="7"/>
      <c r="D3211" s="7" t="s">
        <v>10290</v>
      </c>
      <c r="E3211" s="7" t="s">
        <v>16067</v>
      </c>
      <c r="F3211" s="7" t="s">
        <v>10292</v>
      </c>
      <c r="G3211" s="7"/>
      <c r="H3211" s="47" t="s">
        <v>14727</v>
      </c>
      <c r="I3211" s="7" t="s">
        <v>160</v>
      </c>
      <c r="J3211" s="7" t="s">
        <v>148</v>
      </c>
      <c r="K3211" s="7"/>
      <c r="L3211" s="7"/>
      <c r="M3211" s="7"/>
    </row>
    <row r="3212" ht="15.75" customHeight="1">
      <c r="A3212" s="7" t="s">
        <v>16068</v>
      </c>
      <c r="B3212" s="45" t="s">
        <v>16069</v>
      </c>
      <c r="C3212" s="7"/>
      <c r="D3212" s="7" t="s">
        <v>16070</v>
      </c>
      <c r="E3212" s="7" t="s">
        <v>10366</v>
      </c>
      <c r="F3212" s="7" t="s">
        <v>10367</v>
      </c>
      <c r="G3212" s="7"/>
      <c r="H3212" s="47" t="s">
        <v>14727</v>
      </c>
      <c r="I3212" s="7" t="s">
        <v>160</v>
      </c>
      <c r="J3212" s="7" t="s">
        <v>148</v>
      </c>
      <c r="K3212" s="7"/>
      <c r="L3212" s="7"/>
      <c r="M3212" s="7"/>
    </row>
    <row r="3213" ht="15.75" customHeight="1">
      <c r="A3213" s="7" t="s">
        <v>16071</v>
      </c>
      <c r="B3213" s="45" t="s">
        <v>16072</v>
      </c>
      <c r="C3213" s="7"/>
      <c r="D3213" s="7" t="s">
        <v>10411</v>
      </c>
      <c r="E3213" s="7" t="s">
        <v>10412</v>
      </c>
      <c r="F3213" s="7" t="s">
        <v>10413</v>
      </c>
      <c r="G3213" s="7"/>
      <c r="H3213" s="47" t="s">
        <v>14727</v>
      </c>
      <c r="I3213" s="7" t="s">
        <v>160</v>
      </c>
      <c r="J3213" s="7" t="s">
        <v>148</v>
      </c>
      <c r="K3213" s="7"/>
      <c r="L3213" s="7"/>
      <c r="M3213" s="7"/>
    </row>
    <row r="3214" ht="15.75" customHeight="1">
      <c r="A3214" s="7" t="s">
        <v>16073</v>
      </c>
      <c r="B3214" s="45" t="s">
        <v>16074</v>
      </c>
      <c r="C3214" s="7"/>
      <c r="D3214" s="7" t="s">
        <v>16075</v>
      </c>
      <c r="E3214" s="7" t="s">
        <v>16076</v>
      </c>
      <c r="F3214" s="7" t="s">
        <v>16077</v>
      </c>
      <c r="G3214" s="7" t="s">
        <v>16078</v>
      </c>
      <c r="H3214" s="47" t="s">
        <v>14727</v>
      </c>
      <c r="I3214" s="7" t="s">
        <v>160</v>
      </c>
      <c r="J3214" s="7" t="s">
        <v>148</v>
      </c>
      <c r="K3214" s="7"/>
      <c r="L3214" s="7"/>
      <c r="M3214" s="7"/>
    </row>
    <row r="3215" ht="15.75" customHeight="1">
      <c r="A3215" s="7" t="s">
        <v>16079</v>
      </c>
      <c r="B3215" s="45" t="s">
        <v>16080</v>
      </c>
      <c r="C3215" s="7"/>
      <c r="D3215" s="7" t="s">
        <v>16081</v>
      </c>
      <c r="E3215" s="7" t="s">
        <v>10607</v>
      </c>
      <c r="F3215" s="7" t="s">
        <v>10608</v>
      </c>
      <c r="G3215" s="7"/>
      <c r="H3215" s="47" t="s">
        <v>14727</v>
      </c>
      <c r="I3215" s="7" t="s">
        <v>160</v>
      </c>
      <c r="J3215" s="7" t="s">
        <v>148</v>
      </c>
      <c r="K3215" s="7"/>
      <c r="L3215" s="7"/>
      <c r="M3215" s="7"/>
    </row>
    <row r="3216" ht="15.75" customHeight="1">
      <c r="A3216" s="7" t="s">
        <v>16082</v>
      </c>
      <c r="B3216" s="45" t="s">
        <v>16083</v>
      </c>
      <c r="C3216" s="7"/>
      <c r="D3216" s="7" t="s">
        <v>2832</v>
      </c>
      <c r="E3216" s="7" t="s">
        <v>2833</v>
      </c>
      <c r="F3216" s="7" t="s">
        <v>2834</v>
      </c>
      <c r="G3216" s="7"/>
      <c r="H3216" s="47" t="s">
        <v>14727</v>
      </c>
      <c r="I3216" s="7" t="s">
        <v>160</v>
      </c>
      <c r="J3216" s="7" t="s">
        <v>148</v>
      </c>
      <c r="K3216" s="7"/>
      <c r="L3216" s="7"/>
      <c r="M3216" s="7"/>
    </row>
    <row r="3217" ht="15.75" customHeight="1">
      <c r="A3217" s="7" t="s">
        <v>16084</v>
      </c>
      <c r="B3217" s="45" t="s">
        <v>16085</v>
      </c>
      <c r="C3217" s="7" t="s">
        <v>16086</v>
      </c>
      <c r="D3217" s="7" t="s">
        <v>16087</v>
      </c>
      <c r="E3217" s="7" t="s">
        <v>16088</v>
      </c>
      <c r="F3217" s="7"/>
      <c r="G3217" s="7"/>
      <c r="H3217" s="47" t="s">
        <v>14727</v>
      </c>
      <c r="I3217" s="7" t="s">
        <v>154</v>
      </c>
      <c r="J3217" s="7" t="s">
        <v>148</v>
      </c>
      <c r="K3217" s="7"/>
      <c r="L3217" s="7"/>
      <c r="M3217" s="7"/>
    </row>
    <row r="3218" ht="15.75" customHeight="1">
      <c r="A3218" s="7" t="s">
        <v>16089</v>
      </c>
      <c r="B3218" s="45" t="s">
        <v>16090</v>
      </c>
      <c r="C3218" s="7" t="s">
        <v>2945</v>
      </c>
      <c r="D3218" s="7" t="s">
        <v>16091</v>
      </c>
      <c r="E3218" s="7" t="s">
        <v>2947</v>
      </c>
      <c r="F3218" s="7"/>
      <c r="G3218" s="7"/>
      <c r="H3218" s="47" t="s">
        <v>14727</v>
      </c>
      <c r="I3218" s="7" t="s">
        <v>154</v>
      </c>
      <c r="J3218" s="7" t="s">
        <v>148</v>
      </c>
      <c r="K3218" s="7"/>
      <c r="L3218" s="7"/>
      <c r="M3218" s="7"/>
    </row>
    <row r="3219" ht="15.75" customHeight="1">
      <c r="A3219" s="7" t="s">
        <v>16092</v>
      </c>
      <c r="B3219" s="45" t="s">
        <v>16093</v>
      </c>
      <c r="C3219" s="7" t="s">
        <v>2945</v>
      </c>
      <c r="D3219" s="7" t="s">
        <v>16094</v>
      </c>
      <c r="E3219" s="7" t="s">
        <v>15996</v>
      </c>
      <c r="F3219" s="7"/>
      <c r="G3219" s="7"/>
      <c r="H3219" s="47" t="s">
        <v>14727</v>
      </c>
      <c r="I3219" s="7" t="s">
        <v>154</v>
      </c>
      <c r="J3219" s="7" t="s">
        <v>148</v>
      </c>
      <c r="K3219" s="7"/>
      <c r="L3219" s="7"/>
      <c r="M3219" s="7"/>
    </row>
    <row r="3220" ht="15.75" customHeight="1">
      <c r="A3220" s="7" t="s">
        <v>16095</v>
      </c>
      <c r="B3220" s="45" t="s">
        <v>16096</v>
      </c>
      <c r="C3220" s="7" t="s">
        <v>16086</v>
      </c>
      <c r="D3220" s="7" t="s">
        <v>16097</v>
      </c>
      <c r="E3220" s="7" t="s">
        <v>16098</v>
      </c>
      <c r="F3220" s="7"/>
      <c r="G3220" s="7"/>
      <c r="H3220" s="47" t="s">
        <v>14727</v>
      </c>
      <c r="I3220" s="7" t="s">
        <v>154</v>
      </c>
      <c r="J3220" s="7" t="s">
        <v>148</v>
      </c>
      <c r="K3220" s="7"/>
      <c r="L3220" s="7"/>
      <c r="M3220" s="7"/>
    </row>
    <row r="3221" ht="15.75" customHeight="1">
      <c r="A3221" s="7" t="s">
        <v>16099</v>
      </c>
      <c r="B3221" s="45" t="s">
        <v>16100</v>
      </c>
      <c r="C3221" s="7" t="s">
        <v>16086</v>
      </c>
      <c r="D3221" s="7" t="s">
        <v>16101</v>
      </c>
      <c r="E3221" s="7" t="s">
        <v>16102</v>
      </c>
      <c r="F3221" s="7"/>
      <c r="G3221" s="7"/>
      <c r="H3221" s="47" t="s">
        <v>14727</v>
      </c>
      <c r="I3221" s="7" t="s">
        <v>154</v>
      </c>
      <c r="J3221" s="7" t="s">
        <v>148</v>
      </c>
      <c r="K3221" s="7"/>
      <c r="L3221" s="7"/>
      <c r="M3221" s="7"/>
    </row>
    <row r="3222" ht="15.75" customHeight="1">
      <c r="A3222" s="7" t="s">
        <v>16103</v>
      </c>
      <c r="B3222" s="45" t="s">
        <v>16104</v>
      </c>
      <c r="C3222" s="7"/>
      <c r="D3222" s="7" t="s">
        <v>10845</v>
      </c>
      <c r="E3222" s="7" t="s">
        <v>10846</v>
      </c>
      <c r="F3222" s="7" t="s">
        <v>10847</v>
      </c>
      <c r="G3222" s="7" t="s">
        <v>16105</v>
      </c>
      <c r="H3222" s="47" t="s">
        <v>14727</v>
      </c>
      <c r="I3222" s="7" t="s">
        <v>160</v>
      </c>
      <c r="J3222" s="7" t="s">
        <v>148</v>
      </c>
      <c r="K3222" s="7"/>
      <c r="L3222" s="7"/>
      <c r="M3222" s="7"/>
    </row>
    <row r="3223" ht="15.75" customHeight="1">
      <c r="A3223" s="7" t="s">
        <v>16106</v>
      </c>
      <c r="B3223" s="45" t="s">
        <v>16107</v>
      </c>
      <c r="C3223" s="7"/>
      <c r="D3223" s="7" t="s">
        <v>10866</v>
      </c>
      <c r="E3223" s="7" t="s">
        <v>16108</v>
      </c>
      <c r="F3223" s="7" t="s">
        <v>10868</v>
      </c>
      <c r="G3223" s="7"/>
      <c r="H3223" s="47" t="s">
        <v>14727</v>
      </c>
      <c r="I3223" s="7" t="s">
        <v>160</v>
      </c>
      <c r="J3223" s="7" t="s">
        <v>148</v>
      </c>
      <c r="K3223" s="7"/>
      <c r="L3223" s="7"/>
      <c r="M3223" s="7"/>
    </row>
    <row r="3224" ht="15.75" customHeight="1">
      <c r="A3224" s="7" t="s">
        <v>16109</v>
      </c>
      <c r="B3224" s="45" t="s">
        <v>16110</v>
      </c>
      <c r="C3224" s="7"/>
      <c r="D3224" s="7" t="s">
        <v>16111</v>
      </c>
      <c r="E3224" s="7" t="s">
        <v>11108</v>
      </c>
      <c r="F3224" s="7" t="s">
        <v>11109</v>
      </c>
      <c r="G3224" s="7" t="s">
        <v>16112</v>
      </c>
      <c r="H3224" s="47" t="s">
        <v>14727</v>
      </c>
      <c r="I3224" s="7" t="s">
        <v>160</v>
      </c>
      <c r="J3224" s="7" t="s">
        <v>148</v>
      </c>
      <c r="K3224" s="7"/>
      <c r="L3224" s="7"/>
      <c r="M3224" s="7"/>
    </row>
    <row r="3225" ht="15.75" customHeight="1">
      <c r="A3225" s="7" t="s">
        <v>16113</v>
      </c>
      <c r="B3225" s="45" t="s">
        <v>16114</v>
      </c>
      <c r="C3225" s="7"/>
      <c r="D3225" s="7" t="s">
        <v>16115</v>
      </c>
      <c r="E3225" s="7" t="s">
        <v>5131</v>
      </c>
      <c r="F3225" s="7" t="s">
        <v>5132</v>
      </c>
      <c r="G3225" s="7" t="s">
        <v>16116</v>
      </c>
      <c r="H3225" s="47" t="s">
        <v>14727</v>
      </c>
      <c r="I3225" s="7" t="s">
        <v>160</v>
      </c>
      <c r="J3225" s="7" t="s">
        <v>148</v>
      </c>
      <c r="K3225" s="7"/>
      <c r="L3225" s="7"/>
      <c r="M3225" s="7"/>
    </row>
    <row r="3226" ht="15.75" customHeight="1">
      <c r="A3226" s="7" t="s">
        <v>16117</v>
      </c>
      <c r="B3226" s="45" t="s">
        <v>16118</v>
      </c>
      <c r="C3226" s="7"/>
      <c r="D3226" s="7" t="s">
        <v>10921</v>
      </c>
      <c r="E3226" s="7" t="s">
        <v>10922</v>
      </c>
      <c r="F3226" s="7" t="s">
        <v>10923</v>
      </c>
      <c r="G3226" s="7" t="s">
        <v>16119</v>
      </c>
      <c r="H3226" s="47" t="s">
        <v>14727</v>
      </c>
      <c r="I3226" s="7" t="s">
        <v>160</v>
      </c>
      <c r="J3226" s="7" t="s">
        <v>148</v>
      </c>
      <c r="K3226" s="7"/>
      <c r="L3226" s="7"/>
      <c r="M3226" s="7"/>
    </row>
    <row r="3227" ht="15.75" customHeight="1">
      <c r="A3227" s="7" t="s">
        <v>16120</v>
      </c>
      <c r="B3227" s="45" t="s">
        <v>16121</v>
      </c>
      <c r="C3227" s="7"/>
      <c r="D3227" s="7" t="s">
        <v>16122</v>
      </c>
      <c r="E3227" s="7" t="s">
        <v>10613</v>
      </c>
      <c r="F3227" s="7" t="s">
        <v>16123</v>
      </c>
      <c r="G3227" s="7" t="s">
        <v>16124</v>
      </c>
      <c r="H3227" s="47" t="s">
        <v>14727</v>
      </c>
      <c r="I3227" s="7" t="s">
        <v>160</v>
      </c>
      <c r="J3227" s="7" t="s">
        <v>148</v>
      </c>
      <c r="K3227" s="7"/>
      <c r="L3227" s="7"/>
      <c r="M3227" s="7"/>
    </row>
    <row r="3228" ht="15.75" customHeight="1">
      <c r="A3228" s="7" t="s">
        <v>16125</v>
      </c>
      <c r="B3228" s="45" t="s">
        <v>16126</v>
      </c>
      <c r="C3228" s="7"/>
      <c r="D3228" s="7" t="s">
        <v>10945</v>
      </c>
      <c r="E3228" s="7" t="s">
        <v>10916</v>
      </c>
      <c r="F3228" s="7" t="s">
        <v>10917</v>
      </c>
      <c r="G3228" s="7"/>
      <c r="H3228" s="47" t="s">
        <v>14727</v>
      </c>
      <c r="I3228" s="7" t="s">
        <v>160</v>
      </c>
      <c r="J3228" s="7" t="s">
        <v>148</v>
      </c>
      <c r="K3228" s="7"/>
      <c r="L3228" s="7"/>
      <c r="M3228" s="7"/>
    </row>
    <row r="3229" ht="15.75" customHeight="1">
      <c r="A3229" s="7" t="s">
        <v>16127</v>
      </c>
      <c r="B3229" s="45" t="s">
        <v>16128</v>
      </c>
      <c r="C3229" s="7"/>
      <c r="D3229" s="7" t="s">
        <v>10993</v>
      </c>
      <c r="E3229" s="7" t="s">
        <v>10994</v>
      </c>
      <c r="F3229" s="7" t="s">
        <v>10995</v>
      </c>
      <c r="G3229" s="7"/>
      <c r="H3229" s="47" t="s">
        <v>14727</v>
      </c>
      <c r="I3229" s="7" t="s">
        <v>160</v>
      </c>
      <c r="J3229" s="7" t="s">
        <v>148</v>
      </c>
      <c r="K3229" s="7"/>
      <c r="L3229" s="7"/>
      <c r="M3229" s="7"/>
    </row>
    <row r="3230" ht="15.75" customHeight="1">
      <c r="A3230" s="7" t="s">
        <v>16129</v>
      </c>
      <c r="B3230" s="45" t="s">
        <v>16130</v>
      </c>
      <c r="C3230" s="7"/>
      <c r="D3230" s="7" t="s">
        <v>16131</v>
      </c>
      <c r="E3230" s="7" t="s">
        <v>11024</v>
      </c>
      <c r="F3230" s="7" t="s">
        <v>11025</v>
      </c>
      <c r="G3230" s="7"/>
      <c r="H3230" s="47" t="s">
        <v>14727</v>
      </c>
      <c r="I3230" s="7" t="s">
        <v>160</v>
      </c>
      <c r="J3230" s="7" t="s">
        <v>148</v>
      </c>
      <c r="K3230" s="7"/>
      <c r="L3230" s="7"/>
      <c r="M3230" s="7"/>
    </row>
    <row r="3231" ht="15.75" customHeight="1">
      <c r="A3231" s="7" t="s">
        <v>16132</v>
      </c>
      <c r="B3231" s="45" t="s">
        <v>16133</v>
      </c>
      <c r="C3231" s="7"/>
      <c r="D3231" s="7" t="s">
        <v>16134</v>
      </c>
      <c r="E3231" s="7" t="s">
        <v>16135</v>
      </c>
      <c r="F3231" s="7" t="s">
        <v>11037</v>
      </c>
      <c r="G3231" s="7"/>
      <c r="H3231" s="47" t="s">
        <v>14727</v>
      </c>
      <c r="I3231" s="7" t="s">
        <v>160</v>
      </c>
      <c r="J3231" s="7" t="s">
        <v>148</v>
      </c>
      <c r="K3231" s="7"/>
      <c r="L3231" s="7"/>
      <c r="M3231" s="7"/>
    </row>
    <row r="3232" ht="15.75" customHeight="1">
      <c r="A3232" s="7" t="s">
        <v>16136</v>
      </c>
      <c r="B3232" s="45" t="s">
        <v>16137</v>
      </c>
      <c r="C3232" s="7"/>
      <c r="D3232" s="7" t="s">
        <v>11041</v>
      </c>
      <c r="E3232" s="7" t="s">
        <v>16138</v>
      </c>
      <c r="F3232" s="7" t="s">
        <v>11043</v>
      </c>
      <c r="G3232" s="7"/>
      <c r="H3232" s="47" t="s">
        <v>14727</v>
      </c>
      <c r="I3232" s="7" t="s">
        <v>160</v>
      </c>
      <c r="J3232" s="7" t="s">
        <v>148</v>
      </c>
      <c r="K3232" s="7"/>
      <c r="L3232" s="7"/>
      <c r="M3232" s="7"/>
    </row>
    <row r="3233" ht="15.75" customHeight="1">
      <c r="A3233" s="7" t="s">
        <v>16139</v>
      </c>
      <c r="B3233" s="45" t="s">
        <v>16140</v>
      </c>
      <c r="C3233" s="7"/>
      <c r="D3233" s="7" t="s">
        <v>11071</v>
      </c>
      <c r="E3233" s="7" t="s">
        <v>11072</v>
      </c>
      <c r="F3233" s="7" t="s">
        <v>11073</v>
      </c>
      <c r="G3233" s="7"/>
      <c r="H3233" s="47" t="s">
        <v>14727</v>
      </c>
      <c r="I3233" s="7" t="s">
        <v>160</v>
      </c>
      <c r="J3233" s="7" t="s">
        <v>148</v>
      </c>
      <c r="K3233" s="7"/>
      <c r="L3233" s="7"/>
      <c r="M3233" s="7"/>
    </row>
    <row r="3234" ht="15.75" customHeight="1">
      <c r="A3234" s="7" t="s">
        <v>16141</v>
      </c>
      <c r="B3234" s="45" t="s">
        <v>16142</v>
      </c>
      <c r="C3234" s="7"/>
      <c r="D3234" s="7" t="s">
        <v>16143</v>
      </c>
      <c r="E3234" s="7" t="s">
        <v>11078</v>
      </c>
      <c r="F3234" s="7" t="s">
        <v>16144</v>
      </c>
      <c r="G3234" s="7" t="s">
        <v>16145</v>
      </c>
      <c r="H3234" s="47" t="s">
        <v>14727</v>
      </c>
      <c r="I3234" s="7" t="s">
        <v>160</v>
      </c>
      <c r="J3234" s="7" t="s">
        <v>148</v>
      </c>
      <c r="K3234" s="7"/>
      <c r="L3234" s="7"/>
      <c r="M3234" s="7"/>
    </row>
    <row r="3235" ht="15.75" customHeight="1">
      <c r="A3235" s="7" t="s">
        <v>16146</v>
      </c>
      <c r="B3235" s="45" t="s">
        <v>16147</v>
      </c>
      <c r="C3235" s="7"/>
      <c r="D3235" s="7" t="s">
        <v>16148</v>
      </c>
      <c r="E3235" s="7" t="s">
        <v>16149</v>
      </c>
      <c r="F3235" s="7" t="s">
        <v>11094</v>
      </c>
      <c r="G3235" s="7"/>
      <c r="H3235" s="47" t="s">
        <v>14727</v>
      </c>
      <c r="I3235" s="7" t="s">
        <v>160</v>
      </c>
      <c r="J3235" s="7" t="s">
        <v>148</v>
      </c>
      <c r="K3235" s="7"/>
      <c r="L3235" s="7"/>
      <c r="M3235" s="7"/>
    </row>
    <row r="3236" ht="15.75" customHeight="1">
      <c r="A3236" s="7" t="s">
        <v>16150</v>
      </c>
      <c r="B3236" s="45" t="s">
        <v>16151</v>
      </c>
      <c r="C3236" s="7"/>
      <c r="D3236" s="7" t="s">
        <v>11142</v>
      </c>
      <c r="E3236" s="7" t="s">
        <v>16152</v>
      </c>
      <c r="F3236" s="7" t="s">
        <v>11134</v>
      </c>
      <c r="G3236" s="7"/>
      <c r="H3236" s="47" t="s">
        <v>14727</v>
      </c>
      <c r="I3236" s="7" t="s">
        <v>160</v>
      </c>
      <c r="J3236" s="7" t="s">
        <v>148</v>
      </c>
      <c r="K3236" s="7"/>
      <c r="L3236" s="7"/>
      <c r="M3236" s="7"/>
    </row>
    <row r="3237" ht="15.75" customHeight="1">
      <c r="A3237" s="7" t="s">
        <v>16153</v>
      </c>
      <c r="B3237" s="45" t="s">
        <v>16154</v>
      </c>
      <c r="C3237" s="7"/>
      <c r="D3237" s="7" t="s">
        <v>16155</v>
      </c>
      <c r="E3237" s="7" t="s">
        <v>16156</v>
      </c>
      <c r="F3237" s="7" t="s">
        <v>8888</v>
      </c>
      <c r="G3237" s="7"/>
      <c r="H3237" s="47" t="s">
        <v>14727</v>
      </c>
      <c r="I3237" s="7" t="s">
        <v>160</v>
      </c>
      <c r="J3237" s="7" t="s">
        <v>148</v>
      </c>
      <c r="K3237" s="7"/>
      <c r="L3237" s="7"/>
      <c r="M3237" s="7"/>
    </row>
    <row r="3238" ht="15.75" customHeight="1">
      <c r="A3238" s="7" t="s">
        <v>16157</v>
      </c>
      <c r="B3238" s="45" t="s">
        <v>16158</v>
      </c>
      <c r="C3238" s="7"/>
      <c r="D3238" s="7" t="s">
        <v>11181</v>
      </c>
      <c r="E3238" s="7" t="s">
        <v>11182</v>
      </c>
      <c r="F3238" s="7" t="s">
        <v>11183</v>
      </c>
      <c r="G3238" s="7"/>
      <c r="H3238" s="47" t="s">
        <v>14727</v>
      </c>
      <c r="I3238" s="7" t="s">
        <v>160</v>
      </c>
      <c r="J3238" s="7" t="s">
        <v>148</v>
      </c>
      <c r="K3238" s="7"/>
      <c r="L3238" s="7"/>
      <c r="M3238" s="7"/>
    </row>
    <row r="3239" ht="15.75" customHeight="1">
      <c r="A3239" s="7" t="s">
        <v>16159</v>
      </c>
      <c r="B3239" s="45" t="s">
        <v>16160</v>
      </c>
      <c r="C3239" s="7"/>
      <c r="D3239" s="7" t="s">
        <v>11199</v>
      </c>
      <c r="E3239" s="7" t="s">
        <v>16161</v>
      </c>
      <c r="F3239" s="7" t="s">
        <v>11201</v>
      </c>
      <c r="G3239" s="7"/>
      <c r="H3239" s="47" t="s">
        <v>14727</v>
      </c>
      <c r="I3239" s="7" t="s">
        <v>160</v>
      </c>
      <c r="J3239" s="7" t="s">
        <v>148</v>
      </c>
      <c r="K3239" s="7"/>
      <c r="L3239" s="7"/>
      <c r="M3239" s="7"/>
    </row>
    <row r="3240" ht="15.75" customHeight="1">
      <c r="A3240" s="7" t="s">
        <v>16162</v>
      </c>
      <c r="B3240" s="45" t="s">
        <v>16163</v>
      </c>
      <c r="C3240" s="7"/>
      <c r="D3240" s="7" t="s">
        <v>8512</v>
      </c>
      <c r="E3240" s="7" t="s">
        <v>8513</v>
      </c>
      <c r="F3240" s="7" t="s">
        <v>8514</v>
      </c>
      <c r="G3240" s="7"/>
      <c r="H3240" s="47" t="s">
        <v>14727</v>
      </c>
      <c r="I3240" s="7" t="s">
        <v>160</v>
      </c>
      <c r="J3240" s="7" t="s">
        <v>148</v>
      </c>
      <c r="K3240" s="7"/>
      <c r="L3240" s="7"/>
      <c r="M3240" s="7"/>
    </row>
    <row r="3241" ht="15.75" customHeight="1">
      <c r="A3241" s="7" t="s">
        <v>16164</v>
      </c>
      <c r="B3241" s="45" t="s">
        <v>16165</v>
      </c>
      <c r="C3241" s="7"/>
      <c r="D3241" s="7" t="s">
        <v>16166</v>
      </c>
      <c r="E3241" s="7" t="s">
        <v>16167</v>
      </c>
      <c r="F3241" s="7" t="s">
        <v>4207</v>
      </c>
      <c r="G3241" s="7"/>
      <c r="H3241" s="47" t="s">
        <v>14727</v>
      </c>
      <c r="I3241" s="7" t="s">
        <v>160</v>
      </c>
      <c r="J3241" s="7" t="s">
        <v>148</v>
      </c>
      <c r="K3241" s="7"/>
      <c r="L3241" s="7"/>
      <c r="M3241" s="7"/>
    </row>
    <row r="3242" ht="15.75" customHeight="1">
      <c r="A3242" s="7" t="s">
        <v>16168</v>
      </c>
      <c r="B3242" s="45" t="s">
        <v>16169</v>
      </c>
      <c r="C3242" s="7"/>
      <c r="D3242" s="7" t="s">
        <v>8576</v>
      </c>
      <c r="E3242" s="7" t="s">
        <v>16170</v>
      </c>
      <c r="F3242" s="7" t="s">
        <v>8578</v>
      </c>
      <c r="G3242" s="7" t="s">
        <v>16171</v>
      </c>
      <c r="H3242" s="47" t="s">
        <v>14727</v>
      </c>
      <c r="I3242" s="7" t="s">
        <v>160</v>
      </c>
      <c r="J3242" s="7" t="s">
        <v>148</v>
      </c>
      <c r="K3242" s="7"/>
      <c r="L3242" s="7"/>
      <c r="M3242" s="7"/>
    </row>
    <row r="3243" ht="15.75" customHeight="1">
      <c r="A3243" s="7" t="s">
        <v>16172</v>
      </c>
      <c r="B3243" s="45" t="s">
        <v>16173</v>
      </c>
      <c r="C3243" s="7"/>
      <c r="D3243" s="7" t="s">
        <v>16174</v>
      </c>
      <c r="E3243" s="7" t="s">
        <v>13470</v>
      </c>
      <c r="F3243" s="7" t="s">
        <v>13471</v>
      </c>
      <c r="G3243" s="7" t="s">
        <v>16175</v>
      </c>
      <c r="H3243" s="47" t="s">
        <v>14727</v>
      </c>
      <c r="I3243" s="7" t="s">
        <v>160</v>
      </c>
      <c r="J3243" s="7" t="s">
        <v>148</v>
      </c>
      <c r="K3243" s="7"/>
      <c r="L3243" s="7"/>
      <c r="M3243" s="7"/>
    </row>
    <row r="3244" ht="15.75" customHeight="1">
      <c r="A3244" s="7" t="s">
        <v>16176</v>
      </c>
      <c r="B3244" s="45" t="s">
        <v>16177</v>
      </c>
      <c r="C3244" s="7"/>
      <c r="D3244" s="7" t="s">
        <v>16178</v>
      </c>
      <c r="E3244" s="7" t="s">
        <v>11393</v>
      </c>
      <c r="F3244" s="7" t="s">
        <v>11394</v>
      </c>
      <c r="G3244" s="7" t="s">
        <v>16179</v>
      </c>
      <c r="H3244" s="47" t="s">
        <v>14727</v>
      </c>
      <c r="I3244" s="7" t="s">
        <v>160</v>
      </c>
      <c r="J3244" s="7" t="s">
        <v>148</v>
      </c>
      <c r="K3244" s="7"/>
      <c r="L3244" s="7"/>
      <c r="M3244" s="7"/>
    </row>
    <row r="3245" ht="15.75" customHeight="1">
      <c r="A3245" s="7" t="s">
        <v>16180</v>
      </c>
      <c r="B3245" s="45" t="s">
        <v>16181</v>
      </c>
      <c r="C3245" s="7"/>
      <c r="D3245" s="7" t="s">
        <v>11193</v>
      </c>
      <c r="E3245" s="7" t="s">
        <v>11194</v>
      </c>
      <c r="F3245" s="7" t="s">
        <v>11195</v>
      </c>
      <c r="G3245" s="7" t="s">
        <v>15919</v>
      </c>
      <c r="H3245" s="47" t="s">
        <v>14727</v>
      </c>
      <c r="I3245" s="7" t="s">
        <v>160</v>
      </c>
      <c r="J3245" s="7" t="s">
        <v>148</v>
      </c>
      <c r="K3245" s="7"/>
      <c r="L3245" s="7"/>
      <c r="M3245" s="7"/>
    </row>
    <row r="3246" ht="15.75" customHeight="1">
      <c r="A3246" s="7" t="s">
        <v>16182</v>
      </c>
      <c r="B3246" s="45" t="s">
        <v>16183</v>
      </c>
      <c r="C3246" s="7"/>
      <c r="D3246" s="7" t="s">
        <v>16184</v>
      </c>
      <c r="E3246" s="7" t="s">
        <v>16185</v>
      </c>
      <c r="F3246" s="7" t="s">
        <v>11424</v>
      </c>
      <c r="G3246" s="7" t="s">
        <v>16186</v>
      </c>
      <c r="H3246" s="47" t="s">
        <v>14727</v>
      </c>
      <c r="I3246" s="7" t="s">
        <v>160</v>
      </c>
      <c r="J3246" s="7" t="s">
        <v>148</v>
      </c>
      <c r="K3246" s="7"/>
      <c r="L3246" s="7"/>
      <c r="M3246" s="7"/>
    </row>
    <row r="3247" ht="15.75" customHeight="1">
      <c r="A3247" s="7" t="s">
        <v>16187</v>
      </c>
      <c r="B3247" s="45" t="s">
        <v>16188</v>
      </c>
      <c r="C3247" s="7"/>
      <c r="D3247" s="7" t="s">
        <v>16189</v>
      </c>
      <c r="E3247" s="7" t="s">
        <v>11488</v>
      </c>
      <c r="F3247" s="7" t="s">
        <v>11489</v>
      </c>
      <c r="G3247" s="7"/>
      <c r="H3247" s="47" t="s">
        <v>14727</v>
      </c>
      <c r="I3247" s="7" t="s">
        <v>160</v>
      </c>
      <c r="J3247" s="7" t="s">
        <v>148</v>
      </c>
      <c r="K3247" s="7"/>
      <c r="L3247" s="7"/>
      <c r="M3247" s="7"/>
    </row>
    <row r="3248" ht="15.75" customHeight="1">
      <c r="A3248" s="7" t="s">
        <v>16190</v>
      </c>
      <c r="B3248" s="45" t="s">
        <v>16191</v>
      </c>
      <c r="C3248" s="7"/>
      <c r="D3248" s="7" t="s">
        <v>11493</v>
      </c>
      <c r="E3248" s="7" t="s">
        <v>11494</v>
      </c>
      <c r="F3248" s="7" t="s">
        <v>11495</v>
      </c>
      <c r="G3248" s="7"/>
      <c r="H3248" s="47" t="s">
        <v>14727</v>
      </c>
      <c r="I3248" s="7" t="s">
        <v>160</v>
      </c>
      <c r="J3248" s="7" t="s">
        <v>148</v>
      </c>
      <c r="K3248" s="7"/>
      <c r="L3248" s="7"/>
      <c r="M3248" s="7"/>
    </row>
    <row r="3249" ht="15.75" customHeight="1">
      <c r="A3249" s="7" t="s">
        <v>16192</v>
      </c>
      <c r="B3249" s="45" t="s">
        <v>16193</v>
      </c>
      <c r="C3249" s="7"/>
      <c r="D3249" s="7" t="s">
        <v>11509</v>
      </c>
      <c r="E3249" s="7" t="s">
        <v>11510</v>
      </c>
      <c r="F3249" s="7" t="s">
        <v>11511</v>
      </c>
      <c r="G3249" s="7"/>
      <c r="H3249" s="47" t="s">
        <v>14727</v>
      </c>
      <c r="I3249" s="7" t="s">
        <v>160</v>
      </c>
      <c r="J3249" s="7" t="s">
        <v>148</v>
      </c>
      <c r="K3249" s="7"/>
      <c r="L3249" s="7"/>
      <c r="M3249" s="7"/>
    </row>
    <row r="3250" ht="15.75" customHeight="1">
      <c r="A3250" s="7" t="s">
        <v>16194</v>
      </c>
      <c r="B3250" s="45" t="s">
        <v>16195</v>
      </c>
      <c r="C3250" s="7" t="s">
        <v>16086</v>
      </c>
      <c r="D3250" s="7" t="s">
        <v>16087</v>
      </c>
      <c r="E3250" s="7" t="s">
        <v>16088</v>
      </c>
      <c r="F3250" s="7"/>
      <c r="G3250" s="7"/>
      <c r="H3250" s="47" t="s">
        <v>14727</v>
      </c>
      <c r="I3250" s="7" t="s">
        <v>154</v>
      </c>
      <c r="J3250" s="7" t="s">
        <v>148</v>
      </c>
      <c r="K3250" s="7"/>
      <c r="L3250" s="7"/>
      <c r="M3250" s="7"/>
    </row>
    <row r="3251" ht="15.75" customHeight="1">
      <c r="A3251" s="7" t="s">
        <v>16196</v>
      </c>
      <c r="B3251" s="45" t="s">
        <v>16197</v>
      </c>
      <c r="C3251" s="7"/>
      <c r="D3251" s="7" t="s">
        <v>16198</v>
      </c>
      <c r="E3251" s="7" t="s">
        <v>11728</v>
      </c>
      <c r="F3251" s="7" t="s">
        <v>16199</v>
      </c>
      <c r="G3251" s="7"/>
      <c r="H3251" s="47" t="s">
        <v>14727</v>
      </c>
      <c r="I3251" s="7" t="s">
        <v>160</v>
      </c>
      <c r="J3251" s="7" t="s">
        <v>148</v>
      </c>
      <c r="K3251" s="7"/>
      <c r="L3251" s="7"/>
      <c r="M3251" s="7"/>
    </row>
    <row r="3252" ht="15.75" customHeight="1">
      <c r="A3252" s="7" t="s">
        <v>16200</v>
      </c>
      <c r="B3252" s="45" t="s">
        <v>16201</v>
      </c>
      <c r="C3252" s="7"/>
      <c r="D3252" s="7" t="s">
        <v>16202</v>
      </c>
      <c r="E3252" s="7" t="s">
        <v>3833</v>
      </c>
      <c r="F3252" s="7" t="s">
        <v>3834</v>
      </c>
      <c r="G3252" s="7" t="s">
        <v>16203</v>
      </c>
      <c r="H3252" s="47" t="s">
        <v>14727</v>
      </c>
      <c r="I3252" s="7" t="s">
        <v>160</v>
      </c>
      <c r="J3252" s="7" t="s">
        <v>148</v>
      </c>
      <c r="K3252" s="7"/>
      <c r="L3252" s="7"/>
      <c r="M3252" s="7"/>
    </row>
    <row r="3253" ht="15.75" customHeight="1">
      <c r="A3253" s="7" t="s">
        <v>16204</v>
      </c>
      <c r="B3253" s="45" t="s">
        <v>16205</v>
      </c>
      <c r="C3253" s="7"/>
      <c r="D3253" s="7" t="s">
        <v>16206</v>
      </c>
      <c r="E3253" s="7" t="s">
        <v>16207</v>
      </c>
      <c r="F3253" s="7" t="s">
        <v>3878</v>
      </c>
      <c r="G3253" s="7"/>
      <c r="H3253" s="47" t="s">
        <v>14727</v>
      </c>
      <c r="I3253" s="7" t="s">
        <v>160</v>
      </c>
      <c r="J3253" s="7" t="s">
        <v>148</v>
      </c>
      <c r="K3253" s="7"/>
      <c r="L3253" s="7"/>
      <c r="M3253" s="7"/>
    </row>
    <row r="3254" ht="15.75" customHeight="1">
      <c r="A3254" s="7" t="s">
        <v>16208</v>
      </c>
      <c r="B3254" s="45" t="s">
        <v>16209</v>
      </c>
      <c r="C3254" s="7"/>
      <c r="D3254" s="7" t="s">
        <v>16210</v>
      </c>
      <c r="E3254" s="7" t="s">
        <v>11602</v>
      </c>
      <c r="F3254" s="7" t="s">
        <v>11603</v>
      </c>
      <c r="G3254" s="7" t="s">
        <v>16211</v>
      </c>
      <c r="H3254" s="47" t="s">
        <v>14727</v>
      </c>
      <c r="I3254" s="7" t="s">
        <v>160</v>
      </c>
      <c r="J3254" s="7" t="s">
        <v>148</v>
      </c>
      <c r="K3254" s="7"/>
      <c r="L3254" s="7"/>
      <c r="M3254" s="7"/>
    </row>
    <row r="3255" ht="15.75" customHeight="1">
      <c r="A3255" s="7" t="s">
        <v>16212</v>
      </c>
      <c r="B3255" s="45" t="s">
        <v>16213</v>
      </c>
      <c r="C3255" s="7"/>
      <c r="D3255" s="7" t="s">
        <v>16214</v>
      </c>
      <c r="E3255" s="7" t="s">
        <v>13240</v>
      </c>
      <c r="F3255" s="7" t="s">
        <v>13241</v>
      </c>
      <c r="G3255" s="7" t="s">
        <v>16215</v>
      </c>
      <c r="H3255" s="47" t="s">
        <v>14727</v>
      </c>
      <c r="I3255" s="7" t="s">
        <v>160</v>
      </c>
      <c r="J3255" s="7" t="s">
        <v>148</v>
      </c>
      <c r="K3255" s="7"/>
      <c r="L3255" s="7"/>
      <c r="M3255" s="7"/>
    </row>
    <row r="3256" ht="15.75" customHeight="1">
      <c r="A3256" s="7" t="s">
        <v>16216</v>
      </c>
      <c r="B3256" s="45" t="s">
        <v>16217</v>
      </c>
      <c r="C3256" s="7"/>
      <c r="D3256" s="7" t="s">
        <v>16218</v>
      </c>
      <c r="E3256" s="7" t="s">
        <v>10095</v>
      </c>
      <c r="F3256" s="7" t="s">
        <v>10096</v>
      </c>
      <c r="G3256" s="7" t="s">
        <v>16219</v>
      </c>
      <c r="H3256" s="47" t="s">
        <v>14727</v>
      </c>
      <c r="I3256" s="7" t="s">
        <v>160</v>
      </c>
      <c r="J3256" s="7" t="s">
        <v>148</v>
      </c>
      <c r="K3256" s="7"/>
      <c r="L3256" s="7"/>
      <c r="M3256" s="7"/>
    </row>
    <row r="3257" ht="15.75" customHeight="1">
      <c r="A3257" s="7" t="s">
        <v>16220</v>
      </c>
      <c r="B3257" s="45" t="s">
        <v>16221</v>
      </c>
      <c r="C3257" s="7"/>
      <c r="D3257" s="7" t="s">
        <v>16222</v>
      </c>
      <c r="E3257" s="7" t="s">
        <v>6312</v>
      </c>
      <c r="F3257" s="7" t="s">
        <v>6313</v>
      </c>
      <c r="G3257" s="7"/>
      <c r="H3257" s="47" t="s">
        <v>14727</v>
      </c>
      <c r="I3257" s="7" t="s">
        <v>160</v>
      </c>
      <c r="J3257" s="7" t="s">
        <v>148</v>
      </c>
      <c r="K3257" s="7"/>
      <c r="L3257" s="7"/>
      <c r="M3257" s="7"/>
    </row>
    <row r="3258" ht="15.75" customHeight="1">
      <c r="A3258" s="7" t="s">
        <v>16223</v>
      </c>
      <c r="B3258" s="45" t="s">
        <v>16224</v>
      </c>
      <c r="C3258" s="7"/>
      <c r="D3258" s="7" t="s">
        <v>16225</v>
      </c>
      <c r="E3258" s="7" t="s">
        <v>16226</v>
      </c>
      <c r="F3258" s="7" t="s">
        <v>11641</v>
      </c>
      <c r="G3258" s="7" t="s">
        <v>16227</v>
      </c>
      <c r="H3258" s="47" t="s">
        <v>14727</v>
      </c>
      <c r="I3258" s="7" t="s">
        <v>160</v>
      </c>
      <c r="J3258" s="7" t="s">
        <v>148</v>
      </c>
      <c r="K3258" s="7"/>
      <c r="L3258" s="7"/>
      <c r="M3258" s="7"/>
    </row>
    <row r="3259" ht="15.75" customHeight="1">
      <c r="A3259" s="7" t="s">
        <v>16228</v>
      </c>
      <c r="B3259" s="45" t="s">
        <v>16229</v>
      </c>
      <c r="C3259" s="7"/>
      <c r="D3259" s="7" t="s">
        <v>11645</v>
      </c>
      <c r="E3259" s="7" t="s">
        <v>11646</v>
      </c>
      <c r="F3259" s="7" t="s">
        <v>11647</v>
      </c>
      <c r="G3259" s="7" t="s">
        <v>14800</v>
      </c>
      <c r="H3259" s="47" t="s">
        <v>14727</v>
      </c>
      <c r="I3259" s="7" t="s">
        <v>160</v>
      </c>
      <c r="J3259" s="7" t="s">
        <v>148</v>
      </c>
      <c r="K3259" s="7"/>
      <c r="L3259" s="7"/>
      <c r="M3259" s="7"/>
    </row>
    <row r="3260" ht="15.75" customHeight="1">
      <c r="A3260" s="7" t="s">
        <v>16230</v>
      </c>
      <c r="B3260" s="45" t="s">
        <v>16231</v>
      </c>
      <c r="C3260" s="7"/>
      <c r="D3260" s="7" t="s">
        <v>11669</v>
      </c>
      <c r="E3260" s="7" t="s">
        <v>16232</v>
      </c>
      <c r="F3260" s="7" t="s">
        <v>11671</v>
      </c>
      <c r="G3260" s="7" t="s">
        <v>16233</v>
      </c>
      <c r="H3260" s="47" t="s">
        <v>14727</v>
      </c>
      <c r="I3260" s="7" t="s">
        <v>160</v>
      </c>
      <c r="J3260" s="7" t="s">
        <v>148</v>
      </c>
      <c r="K3260" s="7"/>
      <c r="L3260" s="7"/>
      <c r="M3260" s="7"/>
    </row>
    <row r="3261" ht="15.75" customHeight="1">
      <c r="A3261" s="7" t="s">
        <v>16234</v>
      </c>
      <c r="B3261" s="45" t="s">
        <v>16235</v>
      </c>
      <c r="C3261" s="7"/>
      <c r="D3261" s="7" t="s">
        <v>16236</v>
      </c>
      <c r="E3261" s="7" t="s">
        <v>4506</v>
      </c>
      <c r="F3261" s="7" t="s">
        <v>16237</v>
      </c>
      <c r="G3261" s="7" t="s">
        <v>16238</v>
      </c>
      <c r="H3261" s="47" t="s">
        <v>14727</v>
      </c>
      <c r="I3261" s="7" t="s">
        <v>160</v>
      </c>
      <c r="J3261" s="7" t="s">
        <v>148</v>
      </c>
      <c r="K3261" s="7"/>
      <c r="L3261" s="7"/>
      <c r="M3261" s="7"/>
    </row>
    <row r="3262" ht="15.75" customHeight="1">
      <c r="A3262" s="7" t="s">
        <v>16239</v>
      </c>
      <c r="B3262" s="45" t="s">
        <v>16240</v>
      </c>
      <c r="C3262" s="7"/>
      <c r="D3262" s="7" t="s">
        <v>11733</v>
      </c>
      <c r="E3262" s="7" t="s">
        <v>11734</v>
      </c>
      <c r="F3262" s="7" t="s">
        <v>11735</v>
      </c>
      <c r="G3262" s="7"/>
      <c r="H3262" s="47" t="s">
        <v>14727</v>
      </c>
      <c r="I3262" s="7" t="s">
        <v>160</v>
      </c>
      <c r="J3262" s="7" t="s">
        <v>148</v>
      </c>
      <c r="K3262" s="7"/>
      <c r="L3262" s="7"/>
      <c r="M3262" s="7"/>
    </row>
    <row r="3263" ht="15.75" customHeight="1">
      <c r="A3263" s="7" t="s">
        <v>16241</v>
      </c>
      <c r="B3263" s="45" t="s">
        <v>16242</v>
      </c>
      <c r="C3263" s="7"/>
      <c r="D3263" s="7" t="s">
        <v>16243</v>
      </c>
      <c r="E3263" s="7" t="s">
        <v>405</v>
      </c>
      <c r="F3263" s="7" t="s">
        <v>406</v>
      </c>
      <c r="G3263" s="7"/>
      <c r="H3263" s="47" t="s">
        <v>14727</v>
      </c>
      <c r="I3263" s="7" t="s">
        <v>160</v>
      </c>
      <c r="J3263" s="7" t="s">
        <v>148</v>
      </c>
      <c r="K3263" s="7"/>
      <c r="L3263" s="7"/>
      <c r="M3263" s="7"/>
    </row>
    <row r="3264" ht="15.75" customHeight="1">
      <c r="A3264" s="7" t="s">
        <v>16244</v>
      </c>
      <c r="B3264" s="45" t="s">
        <v>16245</v>
      </c>
      <c r="C3264" s="7"/>
      <c r="D3264" s="7" t="s">
        <v>13915</v>
      </c>
      <c r="E3264" s="7" t="s">
        <v>13916</v>
      </c>
      <c r="F3264" s="7" t="s">
        <v>13917</v>
      </c>
      <c r="G3264" s="7"/>
      <c r="H3264" s="47" t="s">
        <v>14727</v>
      </c>
      <c r="I3264" s="7" t="s">
        <v>160</v>
      </c>
      <c r="J3264" s="7" t="s">
        <v>148</v>
      </c>
      <c r="K3264" s="7"/>
      <c r="L3264" s="7"/>
      <c r="M3264" s="7"/>
    </row>
    <row r="3265" ht="15.75" customHeight="1">
      <c r="A3265" s="7" t="s">
        <v>16246</v>
      </c>
      <c r="B3265" s="45" t="s">
        <v>16247</v>
      </c>
      <c r="C3265" s="7"/>
      <c r="D3265" s="7" t="s">
        <v>16248</v>
      </c>
      <c r="E3265" s="7" t="s">
        <v>11770</v>
      </c>
      <c r="F3265" s="7" t="s">
        <v>16249</v>
      </c>
      <c r="G3265" s="7"/>
      <c r="H3265" s="47" t="s">
        <v>14727</v>
      </c>
      <c r="I3265" s="7" t="s">
        <v>160</v>
      </c>
      <c r="J3265" s="7" t="s">
        <v>148</v>
      </c>
      <c r="K3265" s="7"/>
      <c r="L3265" s="7"/>
      <c r="M3265" s="7"/>
    </row>
    <row r="3266" ht="15.75" customHeight="1">
      <c r="A3266" s="7" t="s">
        <v>16250</v>
      </c>
      <c r="B3266" s="45" t="s">
        <v>16251</v>
      </c>
      <c r="C3266" s="7"/>
      <c r="D3266" s="7" t="s">
        <v>16252</v>
      </c>
      <c r="E3266" s="7" t="s">
        <v>11836</v>
      </c>
      <c r="F3266" s="7" t="s">
        <v>11837</v>
      </c>
      <c r="G3266" s="7"/>
      <c r="H3266" s="47" t="s">
        <v>14727</v>
      </c>
      <c r="I3266" s="7" t="s">
        <v>160</v>
      </c>
      <c r="J3266" s="7" t="s">
        <v>148</v>
      </c>
      <c r="K3266" s="7"/>
      <c r="L3266" s="7"/>
      <c r="M3266" s="7"/>
    </row>
    <row r="3267" ht="15.75" customHeight="1">
      <c r="A3267" s="7" t="s">
        <v>16253</v>
      </c>
      <c r="B3267" s="45" t="s">
        <v>16254</v>
      </c>
      <c r="C3267" s="7"/>
      <c r="D3267" s="7" t="s">
        <v>16255</v>
      </c>
      <c r="E3267" s="7" t="s">
        <v>11853</v>
      </c>
      <c r="F3267" s="7" t="s">
        <v>11854</v>
      </c>
      <c r="G3267" s="7"/>
      <c r="H3267" s="47" t="s">
        <v>14727</v>
      </c>
      <c r="I3267" s="7" t="s">
        <v>160</v>
      </c>
      <c r="J3267" s="7" t="s">
        <v>148</v>
      </c>
      <c r="K3267" s="7"/>
      <c r="L3267" s="7"/>
      <c r="M3267" s="7"/>
    </row>
    <row r="3268" ht="15.75" customHeight="1">
      <c r="A3268" s="7" t="s">
        <v>16256</v>
      </c>
      <c r="B3268" s="45" t="s">
        <v>16257</v>
      </c>
      <c r="C3268" s="7"/>
      <c r="D3268" s="7" t="s">
        <v>16258</v>
      </c>
      <c r="E3268" s="7" t="s">
        <v>247</v>
      </c>
      <c r="F3268" s="7" t="s">
        <v>16259</v>
      </c>
      <c r="G3268" s="7" t="s">
        <v>16260</v>
      </c>
      <c r="H3268" s="47" t="s">
        <v>14727</v>
      </c>
      <c r="I3268" s="7" t="s">
        <v>160</v>
      </c>
      <c r="J3268" s="7" t="s">
        <v>148</v>
      </c>
      <c r="K3268" s="7"/>
      <c r="L3268" s="7"/>
      <c r="M3268" s="7"/>
    </row>
    <row r="3269" ht="15.75" customHeight="1">
      <c r="A3269" s="7" t="s">
        <v>16261</v>
      </c>
      <c r="B3269" s="45" t="s">
        <v>16262</v>
      </c>
      <c r="C3269" s="7"/>
      <c r="D3269" s="7" t="s">
        <v>11868</v>
      </c>
      <c r="E3269" s="7" t="s">
        <v>11869</v>
      </c>
      <c r="F3269" s="7" t="s">
        <v>11870</v>
      </c>
      <c r="G3269" s="7" t="s">
        <v>16263</v>
      </c>
      <c r="H3269" s="47" t="s">
        <v>14727</v>
      </c>
      <c r="I3269" s="7" t="s">
        <v>160</v>
      </c>
      <c r="J3269" s="7" t="s">
        <v>148</v>
      </c>
      <c r="K3269" s="7"/>
      <c r="L3269" s="7"/>
      <c r="M3269" s="7"/>
    </row>
    <row r="3270" ht="15.75" customHeight="1">
      <c r="A3270" s="7" t="s">
        <v>16264</v>
      </c>
      <c r="B3270" s="45" t="s">
        <v>16265</v>
      </c>
      <c r="C3270" s="7"/>
      <c r="D3270" s="7" t="s">
        <v>16266</v>
      </c>
      <c r="E3270" s="7" t="s">
        <v>11881</v>
      </c>
      <c r="F3270" s="7" t="s">
        <v>11882</v>
      </c>
      <c r="G3270" s="7"/>
      <c r="H3270" s="47" t="s">
        <v>14727</v>
      </c>
      <c r="I3270" s="7" t="s">
        <v>160</v>
      </c>
      <c r="J3270" s="7" t="s">
        <v>148</v>
      </c>
      <c r="K3270" s="7"/>
      <c r="L3270" s="7"/>
      <c r="M3270" s="7"/>
    </row>
    <row r="3271" ht="15.75" customHeight="1">
      <c r="A3271" s="7" t="s">
        <v>16267</v>
      </c>
      <c r="B3271" s="45" t="s">
        <v>16268</v>
      </c>
      <c r="C3271" s="7"/>
      <c r="D3271" s="7" t="s">
        <v>16269</v>
      </c>
      <c r="E3271" s="7" t="s">
        <v>16270</v>
      </c>
      <c r="F3271" s="7" t="s">
        <v>11888</v>
      </c>
      <c r="G3271" s="7"/>
      <c r="H3271" s="47" t="s">
        <v>14727</v>
      </c>
      <c r="I3271" s="7" t="s">
        <v>160</v>
      </c>
      <c r="J3271" s="7" t="s">
        <v>148</v>
      </c>
      <c r="K3271" s="7"/>
      <c r="L3271" s="7"/>
      <c r="M3271" s="7"/>
    </row>
    <row r="3272" ht="15.75" customHeight="1">
      <c r="A3272" s="7" t="s">
        <v>16271</v>
      </c>
      <c r="B3272" s="45" t="s">
        <v>16272</v>
      </c>
      <c r="C3272" s="7"/>
      <c r="D3272" s="7" t="s">
        <v>11858</v>
      </c>
      <c r="E3272" s="7" t="s">
        <v>16273</v>
      </c>
      <c r="F3272" s="7" t="s">
        <v>11860</v>
      </c>
      <c r="G3272" s="7"/>
      <c r="H3272" s="47" t="s">
        <v>14727</v>
      </c>
      <c r="I3272" s="7" t="s">
        <v>160</v>
      </c>
      <c r="J3272" s="7" t="s">
        <v>148</v>
      </c>
      <c r="K3272" s="7"/>
      <c r="L3272" s="7"/>
      <c r="M3272" s="7"/>
    </row>
    <row r="3273" ht="15.75" customHeight="1">
      <c r="A3273" s="7" t="s">
        <v>16274</v>
      </c>
      <c r="B3273" s="45" t="s">
        <v>16275</v>
      </c>
      <c r="C3273" s="7"/>
      <c r="D3273" s="7" t="s">
        <v>16276</v>
      </c>
      <c r="E3273" s="7" t="s">
        <v>11950</v>
      </c>
      <c r="F3273" s="7" t="s">
        <v>11951</v>
      </c>
      <c r="G3273" s="7" t="s">
        <v>16277</v>
      </c>
      <c r="H3273" s="47" t="s">
        <v>14727</v>
      </c>
      <c r="I3273" s="7" t="s">
        <v>160</v>
      </c>
      <c r="J3273" s="7" t="s">
        <v>148</v>
      </c>
      <c r="K3273" s="7"/>
      <c r="L3273" s="7"/>
      <c r="M3273" s="7"/>
    </row>
    <row r="3274" ht="15.75" customHeight="1">
      <c r="A3274" s="7" t="s">
        <v>16278</v>
      </c>
      <c r="B3274" s="45" t="s">
        <v>16279</v>
      </c>
      <c r="C3274" s="7"/>
      <c r="D3274" s="7" t="s">
        <v>16280</v>
      </c>
      <c r="E3274" s="7" t="s">
        <v>11974</v>
      </c>
      <c r="F3274" s="7" t="s">
        <v>11975</v>
      </c>
      <c r="G3274" s="7"/>
      <c r="H3274" s="47" t="s">
        <v>14727</v>
      </c>
      <c r="I3274" s="7" t="s">
        <v>160</v>
      </c>
      <c r="J3274" s="7" t="s">
        <v>148</v>
      </c>
      <c r="K3274" s="7"/>
      <c r="L3274" s="7"/>
      <c r="M3274" s="7"/>
    </row>
    <row r="3275" ht="15.75" customHeight="1">
      <c r="A3275" s="7" t="s">
        <v>16281</v>
      </c>
      <c r="B3275" s="45" t="s">
        <v>16282</v>
      </c>
      <c r="C3275" s="7"/>
      <c r="D3275" s="7" t="s">
        <v>11998</v>
      </c>
      <c r="E3275" s="7" t="s">
        <v>16283</v>
      </c>
      <c r="F3275" s="7" t="s">
        <v>16284</v>
      </c>
      <c r="G3275" s="7"/>
      <c r="H3275" s="47" t="s">
        <v>14727</v>
      </c>
      <c r="I3275" s="7" t="s">
        <v>160</v>
      </c>
      <c r="J3275" s="7" t="s">
        <v>148</v>
      </c>
      <c r="K3275" s="7"/>
      <c r="L3275" s="7"/>
      <c r="M3275" s="7"/>
    </row>
    <row r="3276" ht="15.75" customHeight="1">
      <c r="A3276" s="7" t="s">
        <v>16285</v>
      </c>
      <c r="B3276" s="45" t="s">
        <v>16286</v>
      </c>
      <c r="C3276" s="7"/>
      <c r="D3276" s="7" t="s">
        <v>12024</v>
      </c>
      <c r="E3276" s="7" t="s">
        <v>16287</v>
      </c>
      <c r="F3276" s="7" t="s">
        <v>12026</v>
      </c>
      <c r="G3276" s="7" t="s">
        <v>16288</v>
      </c>
      <c r="H3276" s="47" t="s">
        <v>14727</v>
      </c>
      <c r="I3276" s="7" t="s">
        <v>160</v>
      </c>
      <c r="J3276" s="7" t="s">
        <v>148</v>
      </c>
      <c r="K3276" s="7"/>
      <c r="L3276" s="7"/>
      <c r="M3276" s="7"/>
    </row>
    <row r="3277" ht="15.75" customHeight="1">
      <c r="A3277" s="7" t="s">
        <v>16289</v>
      </c>
      <c r="B3277" s="45" t="s">
        <v>16290</v>
      </c>
      <c r="C3277" s="7"/>
      <c r="D3277" s="7" t="s">
        <v>9408</v>
      </c>
      <c r="E3277" s="7" t="s">
        <v>9409</v>
      </c>
      <c r="F3277" s="7" t="s">
        <v>9410</v>
      </c>
      <c r="G3277" s="7"/>
      <c r="H3277" s="47" t="s">
        <v>14727</v>
      </c>
      <c r="I3277" s="7" t="s">
        <v>160</v>
      </c>
      <c r="J3277" s="7" t="s">
        <v>148</v>
      </c>
      <c r="K3277" s="7"/>
      <c r="L3277" s="7"/>
      <c r="M3277" s="7"/>
    </row>
    <row r="3278" ht="15.75" customHeight="1">
      <c r="A3278" s="7" t="s">
        <v>16291</v>
      </c>
      <c r="B3278" s="45" t="s">
        <v>16292</v>
      </c>
      <c r="C3278" s="7"/>
      <c r="D3278" s="7" t="s">
        <v>12131</v>
      </c>
      <c r="E3278" s="7" t="s">
        <v>12132</v>
      </c>
      <c r="F3278" s="7" t="s">
        <v>12133</v>
      </c>
      <c r="G3278" s="7" t="s">
        <v>16293</v>
      </c>
      <c r="H3278" s="47" t="s">
        <v>14727</v>
      </c>
      <c r="I3278" s="7" t="s">
        <v>160</v>
      </c>
      <c r="J3278" s="7" t="s">
        <v>148</v>
      </c>
      <c r="K3278" s="7"/>
      <c r="L3278" s="7"/>
      <c r="M3278" s="7"/>
    </row>
    <row r="3279" ht="15.75" customHeight="1">
      <c r="A3279" s="7" t="s">
        <v>16294</v>
      </c>
      <c r="B3279" s="45" t="s">
        <v>16295</v>
      </c>
      <c r="C3279" s="7"/>
      <c r="D3279" s="7" t="s">
        <v>12054</v>
      </c>
      <c r="E3279" s="7" t="s">
        <v>12055</v>
      </c>
      <c r="F3279" s="7" t="s">
        <v>12056</v>
      </c>
      <c r="G3279" s="7"/>
      <c r="H3279" s="47" t="s">
        <v>14727</v>
      </c>
      <c r="I3279" s="7" t="s">
        <v>160</v>
      </c>
      <c r="J3279" s="7" t="s">
        <v>148</v>
      </c>
      <c r="K3279" s="7"/>
      <c r="L3279" s="7"/>
      <c r="M3279" s="7"/>
    </row>
    <row r="3280" ht="15.75" customHeight="1">
      <c r="A3280" s="7" t="s">
        <v>16296</v>
      </c>
      <c r="B3280" s="45" t="s">
        <v>16297</v>
      </c>
      <c r="C3280" s="7"/>
      <c r="D3280" s="7" t="s">
        <v>12066</v>
      </c>
      <c r="E3280" s="7" t="s">
        <v>16298</v>
      </c>
      <c r="F3280" s="7" t="s">
        <v>16299</v>
      </c>
      <c r="G3280" s="7" t="s">
        <v>16300</v>
      </c>
      <c r="H3280" s="47" t="s">
        <v>14727</v>
      </c>
      <c r="I3280" s="7" t="s">
        <v>160</v>
      </c>
      <c r="J3280" s="7" t="s">
        <v>148</v>
      </c>
      <c r="K3280" s="7"/>
      <c r="L3280" s="7"/>
      <c r="M3280" s="7"/>
    </row>
    <row r="3281" ht="15.75" customHeight="1">
      <c r="A3281" s="7" t="s">
        <v>16301</v>
      </c>
      <c r="B3281" s="45" t="s">
        <v>16302</v>
      </c>
      <c r="C3281" s="7"/>
      <c r="D3281" s="7" t="s">
        <v>16303</v>
      </c>
      <c r="E3281" s="7" t="s">
        <v>16304</v>
      </c>
      <c r="F3281" s="7" t="s">
        <v>16305</v>
      </c>
      <c r="G3281" s="7"/>
      <c r="H3281" s="47" t="s">
        <v>14727</v>
      </c>
      <c r="I3281" s="7" t="s">
        <v>160</v>
      </c>
      <c r="J3281" s="7" t="s">
        <v>148</v>
      </c>
      <c r="K3281" s="7"/>
      <c r="L3281" s="7"/>
      <c r="M3281" s="7"/>
    </row>
    <row r="3282" ht="15.75" customHeight="1">
      <c r="A3282" s="7" t="s">
        <v>16306</v>
      </c>
      <c r="B3282" s="45" t="s">
        <v>16307</v>
      </c>
      <c r="C3282" s="7"/>
      <c r="D3282" s="7" t="s">
        <v>16308</v>
      </c>
      <c r="E3282" s="7" t="s">
        <v>16309</v>
      </c>
      <c r="F3282" s="7" t="s">
        <v>10788</v>
      </c>
      <c r="G3282" s="7" t="s">
        <v>16310</v>
      </c>
      <c r="H3282" s="47" t="s">
        <v>14727</v>
      </c>
      <c r="I3282" s="7" t="s">
        <v>160</v>
      </c>
      <c r="J3282" s="7" t="s">
        <v>148</v>
      </c>
      <c r="K3282" s="7"/>
      <c r="L3282" s="7"/>
      <c r="M3282" s="7"/>
    </row>
    <row r="3283" ht="15.75" customHeight="1">
      <c r="A3283" s="7" t="s">
        <v>16311</v>
      </c>
      <c r="B3283" s="45" t="s">
        <v>16312</v>
      </c>
      <c r="C3283" s="7"/>
      <c r="D3283" s="7" t="s">
        <v>12109</v>
      </c>
      <c r="E3283" s="7" t="s">
        <v>12110</v>
      </c>
      <c r="F3283" s="7" t="s">
        <v>12111</v>
      </c>
      <c r="G3283" s="7" t="s">
        <v>16313</v>
      </c>
      <c r="H3283" s="47" t="s">
        <v>14727</v>
      </c>
      <c r="I3283" s="7" t="s">
        <v>160</v>
      </c>
      <c r="J3283" s="7" t="s">
        <v>148</v>
      </c>
      <c r="K3283" s="7"/>
      <c r="L3283" s="7"/>
      <c r="M3283" s="7"/>
    </row>
    <row r="3284" ht="15.75" customHeight="1">
      <c r="A3284" s="7" t="s">
        <v>16314</v>
      </c>
      <c r="B3284" s="45" t="s">
        <v>16315</v>
      </c>
      <c r="C3284" s="7"/>
      <c r="D3284" s="7" t="s">
        <v>16316</v>
      </c>
      <c r="E3284" s="7" t="s">
        <v>12138</v>
      </c>
      <c r="F3284" s="7" t="s">
        <v>12139</v>
      </c>
      <c r="G3284" s="7"/>
      <c r="H3284" s="47" t="s">
        <v>14727</v>
      </c>
      <c r="I3284" s="7" t="s">
        <v>160</v>
      </c>
      <c r="J3284" s="7" t="s">
        <v>148</v>
      </c>
      <c r="K3284" s="7"/>
      <c r="L3284" s="7"/>
      <c r="M3284" s="7"/>
    </row>
    <row r="3285" ht="15.75" customHeight="1">
      <c r="A3285" s="7" t="s">
        <v>16317</v>
      </c>
      <c r="B3285" s="45" t="s">
        <v>16318</v>
      </c>
      <c r="C3285" s="7"/>
      <c r="D3285" s="7" t="s">
        <v>12149</v>
      </c>
      <c r="E3285" s="7" t="s">
        <v>7428</v>
      </c>
      <c r="F3285" s="7" t="s">
        <v>12150</v>
      </c>
      <c r="G3285" s="7" t="s">
        <v>16319</v>
      </c>
      <c r="H3285" s="47" t="s">
        <v>14727</v>
      </c>
      <c r="I3285" s="7" t="s">
        <v>160</v>
      </c>
      <c r="J3285" s="7" t="s">
        <v>148</v>
      </c>
      <c r="K3285" s="7"/>
      <c r="L3285" s="7"/>
      <c r="M3285" s="7"/>
    </row>
    <row r="3286" ht="15.75" customHeight="1">
      <c r="A3286" s="7" t="s">
        <v>16320</v>
      </c>
      <c r="B3286" s="45" t="s">
        <v>16321</v>
      </c>
      <c r="C3286" s="7"/>
      <c r="D3286" s="7" t="s">
        <v>16322</v>
      </c>
      <c r="E3286" s="7" t="s">
        <v>12167</v>
      </c>
      <c r="F3286" s="7" t="s">
        <v>12168</v>
      </c>
      <c r="G3286" s="7"/>
      <c r="H3286" s="47" t="s">
        <v>14727</v>
      </c>
      <c r="I3286" s="7" t="s">
        <v>160</v>
      </c>
      <c r="J3286" s="7" t="s">
        <v>148</v>
      </c>
      <c r="K3286" s="7"/>
      <c r="L3286" s="7"/>
      <c r="M3286" s="7"/>
    </row>
    <row r="3287" ht="15.75" customHeight="1">
      <c r="A3287" s="7" t="s">
        <v>16323</v>
      </c>
      <c r="B3287" s="45" t="s">
        <v>16324</v>
      </c>
      <c r="C3287" s="7"/>
      <c r="D3287" s="7" t="s">
        <v>16325</v>
      </c>
      <c r="E3287" s="7" t="s">
        <v>13272</v>
      </c>
      <c r="F3287" s="7" t="s">
        <v>13277</v>
      </c>
      <c r="G3287" s="7" t="s">
        <v>16326</v>
      </c>
      <c r="H3287" s="47" t="s">
        <v>14727</v>
      </c>
      <c r="I3287" s="7" t="s">
        <v>160</v>
      </c>
      <c r="J3287" s="7" t="s">
        <v>148</v>
      </c>
      <c r="K3287" s="7"/>
      <c r="L3287" s="7"/>
      <c r="M3287" s="7"/>
    </row>
    <row r="3288" ht="15.75" customHeight="1">
      <c r="A3288" s="7" t="s">
        <v>16327</v>
      </c>
      <c r="B3288" s="45" t="s">
        <v>16328</v>
      </c>
      <c r="C3288" s="7"/>
      <c r="D3288" s="7" t="s">
        <v>16329</v>
      </c>
      <c r="E3288" s="7" t="s">
        <v>16330</v>
      </c>
      <c r="F3288" s="7" t="s">
        <v>16331</v>
      </c>
      <c r="G3288" s="7" t="s">
        <v>16332</v>
      </c>
      <c r="H3288" s="47" t="s">
        <v>14727</v>
      </c>
      <c r="I3288" s="7" t="s">
        <v>160</v>
      </c>
      <c r="J3288" s="7" t="s">
        <v>148</v>
      </c>
      <c r="K3288" s="7"/>
      <c r="L3288" s="7"/>
      <c r="M3288" s="7"/>
    </row>
    <row r="3289" ht="15.75" customHeight="1">
      <c r="A3289" s="7" t="s">
        <v>16333</v>
      </c>
      <c r="B3289" s="45" t="s">
        <v>16334</v>
      </c>
      <c r="C3289" s="7"/>
      <c r="D3289" s="7" t="s">
        <v>12357</v>
      </c>
      <c r="E3289" s="7" t="s">
        <v>12358</v>
      </c>
      <c r="F3289" s="7" t="s">
        <v>12359</v>
      </c>
      <c r="G3289" s="7" t="s">
        <v>16335</v>
      </c>
      <c r="H3289" s="47" t="s">
        <v>14727</v>
      </c>
      <c r="I3289" s="7" t="s">
        <v>160</v>
      </c>
      <c r="J3289" s="7" t="s">
        <v>148</v>
      </c>
      <c r="K3289" s="7"/>
      <c r="L3289" s="7"/>
      <c r="M3289" s="7"/>
    </row>
    <row r="3290" ht="15.75" customHeight="1">
      <c r="A3290" s="7" t="s">
        <v>16336</v>
      </c>
      <c r="B3290" s="45" t="s">
        <v>16337</v>
      </c>
      <c r="C3290" s="7"/>
      <c r="D3290" s="7" t="s">
        <v>16338</v>
      </c>
      <c r="E3290" s="7" t="s">
        <v>16339</v>
      </c>
      <c r="F3290" s="7" t="s">
        <v>12377</v>
      </c>
      <c r="G3290" s="7" t="s">
        <v>16340</v>
      </c>
      <c r="H3290" s="47" t="s">
        <v>14727</v>
      </c>
      <c r="I3290" s="7" t="s">
        <v>160</v>
      </c>
      <c r="J3290" s="7" t="s">
        <v>148</v>
      </c>
      <c r="K3290" s="7"/>
      <c r="L3290" s="7"/>
      <c r="M3290" s="7"/>
    </row>
    <row r="3291" ht="15.75" customHeight="1">
      <c r="A3291" s="7" t="s">
        <v>16341</v>
      </c>
      <c r="B3291" s="45" t="s">
        <v>16342</v>
      </c>
      <c r="C3291" s="7"/>
      <c r="D3291" s="7" t="s">
        <v>16343</v>
      </c>
      <c r="E3291" s="7" t="s">
        <v>2020</v>
      </c>
      <c r="F3291" s="7" t="s">
        <v>2021</v>
      </c>
      <c r="G3291" s="7" t="s">
        <v>16344</v>
      </c>
      <c r="H3291" s="47" t="s">
        <v>14727</v>
      </c>
      <c r="I3291" s="7" t="s">
        <v>160</v>
      </c>
      <c r="J3291" s="7" t="s">
        <v>148</v>
      </c>
      <c r="K3291" s="7"/>
      <c r="L3291" s="7"/>
      <c r="M3291" s="7"/>
    </row>
    <row r="3292" ht="15.75" customHeight="1">
      <c r="A3292" s="7" t="s">
        <v>16345</v>
      </c>
      <c r="B3292" s="45" t="s">
        <v>16346</v>
      </c>
      <c r="C3292" s="7"/>
      <c r="D3292" s="7" t="s">
        <v>16347</v>
      </c>
      <c r="E3292" s="7" t="s">
        <v>369</v>
      </c>
      <c r="F3292" s="7" t="s">
        <v>370</v>
      </c>
      <c r="G3292" s="7" t="s">
        <v>16348</v>
      </c>
      <c r="H3292" s="47" t="s">
        <v>14727</v>
      </c>
      <c r="I3292" s="7" t="s">
        <v>160</v>
      </c>
      <c r="J3292" s="7" t="s">
        <v>148</v>
      </c>
      <c r="K3292" s="7"/>
      <c r="L3292" s="7"/>
      <c r="M3292" s="7"/>
    </row>
    <row r="3293" ht="15.75" customHeight="1">
      <c r="A3293" s="7" t="s">
        <v>16349</v>
      </c>
      <c r="B3293" s="45" t="s">
        <v>16350</v>
      </c>
      <c r="C3293" s="7"/>
      <c r="D3293" s="7" t="s">
        <v>16351</v>
      </c>
      <c r="E3293" s="7" t="s">
        <v>8501</v>
      </c>
      <c r="F3293" s="7" t="s">
        <v>16352</v>
      </c>
      <c r="G3293" s="7" t="s">
        <v>16353</v>
      </c>
      <c r="H3293" s="47" t="s">
        <v>14727</v>
      </c>
      <c r="I3293" s="7" t="s">
        <v>160</v>
      </c>
      <c r="J3293" s="7" t="s">
        <v>148</v>
      </c>
      <c r="K3293" s="7"/>
      <c r="L3293" s="7"/>
      <c r="M3293" s="7"/>
    </row>
    <row r="3294" ht="15.75" customHeight="1">
      <c r="A3294" s="7" t="s">
        <v>16354</v>
      </c>
      <c r="B3294" s="45" t="s">
        <v>16355</v>
      </c>
      <c r="C3294" s="7"/>
      <c r="D3294" s="7" t="s">
        <v>16356</v>
      </c>
      <c r="E3294" s="7" t="s">
        <v>16357</v>
      </c>
      <c r="F3294" s="7" t="s">
        <v>16358</v>
      </c>
      <c r="G3294" s="7"/>
      <c r="H3294" s="47" t="s">
        <v>14727</v>
      </c>
      <c r="I3294" s="7" t="s">
        <v>160</v>
      </c>
      <c r="J3294" s="7" t="s">
        <v>148</v>
      </c>
      <c r="K3294" s="7"/>
      <c r="L3294" s="7"/>
      <c r="M3294" s="7"/>
    </row>
    <row r="3295" ht="15.75" customHeight="1">
      <c r="A3295" s="7" t="s">
        <v>16359</v>
      </c>
      <c r="B3295" s="45" t="s">
        <v>16360</v>
      </c>
      <c r="C3295" s="7"/>
      <c r="D3295" s="7" t="s">
        <v>16361</v>
      </c>
      <c r="E3295" s="7" t="s">
        <v>12447</v>
      </c>
      <c r="F3295" s="7" t="s">
        <v>12448</v>
      </c>
      <c r="G3295" s="7"/>
      <c r="H3295" s="47" t="s">
        <v>14727</v>
      </c>
      <c r="I3295" s="7" t="s">
        <v>160</v>
      </c>
      <c r="J3295" s="7" t="s">
        <v>148</v>
      </c>
      <c r="K3295" s="7"/>
      <c r="L3295" s="7"/>
      <c r="M3295" s="7"/>
    </row>
    <row r="3296" ht="15.75" customHeight="1">
      <c r="A3296" s="7" t="s">
        <v>16362</v>
      </c>
      <c r="B3296" s="45" t="s">
        <v>16363</v>
      </c>
      <c r="C3296" s="7"/>
      <c r="D3296" s="7" t="s">
        <v>13173</v>
      </c>
      <c r="E3296" s="7" t="s">
        <v>13174</v>
      </c>
      <c r="F3296" s="7" t="s">
        <v>13175</v>
      </c>
      <c r="G3296" s="7"/>
      <c r="H3296" s="47" t="s">
        <v>14727</v>
      </c>
      <c r="I3296" s="7" t="s">
        <v>160</v>
      </c>
      <c r="J3296" s="7" t="s">
        <v>148</v>
      </c>
      <c r="K3296" s="7"/>
      <c r="L3296" s="7"/>
      <c r="M3296" s="7"/>
    </row>
    <row r="3297" ht="15.75" customHeight="1">
      <c r="A3297" s="7" t="s">
        <v>16364</v>
      </c>
      <c r="B3297" s="45" t="s">
        <v>16365</v>
      </c>
      <c r="C3297" s="7"/>
      <c r="D3297" s="7" t="s">
        <v>1508</v>
      </c>
      <c r="E3297" s="7" t="s">
        <v>16366</v>
      </c>
      <c r="F3297" s="7" t="s">
        <v>1397</v>
      </c>
      <c r="G3297" s="7" t="s">
        <v>16367</v>
      </c>
      <c r="H3297" s="47" t="s">
        <v>14727</v>
      </c>
      <c r="I3297" s="7" t="s">
        <v>160</v>
      </c>
      <c r="J3297" s="7" t="s">
        <v>148</v>
      </c>
      <c r="K3297" s="7"/>
      <c r="L3297" s="7"/>
      <c r="M3297" s="7"/>
    </row>
    <row r="3298" ht="15.75" customHeight="1">
      <c r="A3298" s="7" t="s">
        <v>16368</v>
      </c>
      <c r="B3298" s="45" t="s">
        <v>16369</v>
      </c>
      <c r="C3298" s="7"/>
      <c r="D3298" s="7" t="s">
        <v>16370</v>
      </c>
      <c r="E3298" s="7" t="s">
        <v>12611</v>
      </c>
      <c r="F3298" s="7" t="s">
        <v>12612</v>
      </c>
      <c r="G3298" s="7"/>
      <c r="H3298" s="47" t="s">
        <v>14727</v>
      </c>
      <c r="I3298" s="7" t="s">
        <v>160</v>
      </c>
      <c r="J3298" s="7" t="s">
        <v>148</v>
      </c>
      <c r="K3298" s="7"/>
      <c r="L3298" s="7"/>
      <c r="M3298" s="7"/>
    </row>
    <row r="3299" ht="15.75" customHeight="1">
      <c r="A3299" s="7" t="s">
        <v>16371</v>
      </c>
      <c r="B3299" s="45" t="s">
        <v>16372</v>
      </c>
      <c r="C3299" s="7"/>
      <c r="D3299" s="7" t="s">
        <v>12630</v>
      </c>
      <c r="E3299" s="7" t="s">
        <v>12631</v>
      </c>
      <c r="F3299" s="7" t="s">
        <v>12632</v>
      </c>
      <c r="G3299" s="7" t="s">
        <v>16373</v>
      </c>
      <c r="H3299" s="47" t="s">
        <v>14727</v>
      </c>
      <c r="I3299" s="7" t="s">
        <v>160</v>
      </c>
      <c r="J3299" s="7" t="s">
        <v>148</v>
      </c>
      <c r="K3299" s="7"/>
      <c r="L3299" s="7"/>
      <c r="M3299" s="7"/>
    </row>
    <row r="3300" ht="15.75" customHeight="1">
      <c r="A3300" s="7" t="s">
        <v>16374</v>
      </c>
      <c r="B3300" s="45" t="s">
        <v>16375</v>
      </c>
      <c r="C3300" s="7"/>
      <c r="D3300" s="7" t="s">
        <v>16376</v>
      </c>
      <c r="E3300" s="7" t="s">
        <v>12653</v>
      </c>
      <c r="F3300" s="7" t="s">
        <v>12654</v>
      </c>
      <c r="G3300" s="7" t="s">
        <v>16377</v>
      </c>
      <c r="H3300" s="47" t="s">
        <v>14727</v>
      </c>
      <c r="I3300" s="7" t="s">
        <v>160</v>
      </c>
      <c r="J3300" s="7" t="s">
        <v>148</v>
      </c>
      <c r="K3300" s="7"/>
      <c r="L3300" s="7"/>
      <c r="M3300" s="7"/>
    </row>
    <row r="3301" ht="15.75" customHeight="1">
      <c r="A3301" s="7" t="s">
        <v>16378</v>
      </c>
      <c r="B3301" s="45" t="s">
        <v>16379</v>
      </c>
      <c r="C3301" s="7"/>
      <c r="D3301" s="7" t="s">
        <v>4060</v>
      </c>
      <c r="E3301" s="7" t="s">
        <v>4061</v>
      </c>
      <c r="F3301" s="7" t="s">
        <v>4062</v>
      </c>
      <c r="G3301" s="7"/>
      <c r="H3301" s="47" t="s">
        <v>14727</v>
      </c>
      <c r="I3301" s="7" t="s">
        <v>160</v>
      </c>
      <c r="J3301" s="7" t="s">
        <v>148</v>
      </c>
      <c r="K3301" s="7"/>
      <c r="L3301" s="7"/>
      <c r="M3301" s="7"/>
    </row>
    <row r="3302" ht="15.75" customHeight="1">
      <c r="A3302" s="7" t="s">
        <v>16380</v>
      </c>
      <c r="B3302" s="45" t="s">
        <v>16381</v>
      </c>
      <c r="C3302" s="7"/>
      <c r="D3302" s="7" t="s">
        <v>16382</v>
      </c>
      <c r="E3302" s="7" t="s">
        <v>12659</v>
      </c>
      <c r="F3302" s="7" t="s">
        <v>16383</v>
      </c>
      <c r="G3302" s="7"/>
      <c r="H3302" s="47" t="s">
        <v>14727</v>
      </c>
      <c r="I3302" s="7" t="s">
        <v>160</v>
      </c>
      <c r="J3302" s="7" t="s">
        <v>148</v>
      </c>
      <c r="K3302" s="7"/>
      <c r="L3302" s="7"/>
      <c r="M3302" s="7"/>
    </row>
    <row r="3303" ht="15.75" customHeight="1">
      <c r="A3303" s="7" t="s">
        <v>16384</v>
      </c>
      <c r="B3303" s="45" t="s">
        <v>16385</v>
      </c>
      <c r="C3303" s="7"/>
      <c r="D3303" s="7" t="s">
        <v>6844</v>
      </c>
      <c r="E3303" s="7" t="s">
        <v>6845</v>
      </c>
      <c r="F3303" s="7" t="s">
        <v>6846</v>
      </c>
      <c r="G3303" s="7"/>
      <c r="H3303" s="47" t="s">
        <v>14727</v>
      </c>
      <c r="I3303" s="7" t="s">
        <v>160</v>
      </c>
      <c r="J3303" s="7" t="s">
        <v>148</v>
      </c>
      <c r="K3303" s="7"/>
      <c r="L3303" s="7"/>
      <c r="M3303" s="7"/>
    </row>
    <row r="3304" ht="15.75" customHeight="1">
      <c r="A3304" s="7" t="s">
        <v>16386</v>
      </c>
      <c r="B3304" s="45" t="s">
        <v>16387</v>
      </c>
      <c r="C3304" s="7"/>
      <c r="D3304" s="7" t="s">
        <v>12670</v>
      </c>
      <c r="E3304" s="7" t="s">
        <v>12671</v>
      </c>
      <c r="F3304" s="7" t="s">
        <v>12672</v>
      </c>
      <c r="G3304" s="7" t="s">
        <v>16388</v>
      </c>
      <c r="H3304" s="47" t="s">
        <v>14727</v>
      </c>
      <c r="I3304" s="7" t="s">
        <v>160</v>
      </c>
      <c r="J3304" s="7" t="s">
        <v>148</v>
      </c>
      <c r="K3304" s="7"/>
      <c r="L3304" s="7"/>
      <c r="M3304" s="7"/>
    </row>
    <row r="3305" ht="15.75" customHeight="1">
      <c r="A3305" s="7" t="s">
        <v>16389</v>
      </c>
      <c r="B3305" s="45" t="s">
        <v>16390</v>
      </c>
      <c r="C3305" s="7"/>
      <c r="D3305" s="7" t="s">
        <v>16391</v>
      </c>
      <c r="E3305" s="7" t="s">
        <v>3775</v>
      </c>
      <c r="F3305" s="7" t="s">
        <v>3776</v>
      </c>
      <c r="G3305" s="7" t="s">
        <v>16392</v>
      </c>
      <c r="H3305" s="47" t="s">
        <v>14727</v>
      </c>
      <c r="I3305" s="7" t="s">
        <v>160</v>
      </c>
      <c r="J3305" s="7" t="s">
        <v>148</v>
      </c>
      <c r="K3305" s="7"/>
      <c r="L3305" s="7"/>
      <c r="M3305" s="7"/>
    </row>
    <row r="3306" ht="15.75" customHeight="1">
      <c r="A3306" s="7" t="s">
        <v>16393</v>
      </c>
      <c r="B3306" s="45" t="s">
        <v>16394</v>
      </c>
      <c r="C3306" s="7"/>
      <c r="D3306" s="7" t="s">
        <v>12727</v>
      </c>
      <c r="E3306" s="7" t="s">
        <v>12728</v>
      </c>
      <c r="F3306" s="7" t="s">
        <v>12729</v>
      </c>
      <c r="G3306" s="7"/>
      <c r="H3306" s="47" t="s">
        <v>14727</v>
      </c>
      <c r="I3306" s="7" t="s">
        <v>160</v>
      </c>
      <c r="J3306" s="7" t="s">
        <v>148</v>
      </c>
      <c r="K3306" s="7"/>
      <c r="L3306" s="7"/>
      <c r="M3306" s="7"/>
    </row>
    <row r="3307" ht="15.75" customHeight="1">
      <c r="A3307" s="7" t="s">
        <v>16395</v>
      </c>
      <c r="B3307" s="45" t="s">
        <v>16396</v>
      </c>
      <c r="C3307" s="7"/>
      <c r="D3307" s="7" t="s">
        <v>16397</v>
      </c>
      <c r="E3307" s="7" t="s">
        <v>3461</v>
      </c>
      <c r="F3307" s="7" t="s">
        <v>3462</v>
      </c>
      <c r="G3307" s="7"/>
      <c r="H3307" s="47" t="s">
        <v>14727</v>
      </c>
      <c r="I3307" s="7" t="s">
        <v>160</v>
      </c>
      <c r="J3307" s="7" t="s">
        <v>148</v>
      </c>
      <c r="K3307" s="7"/>
      <c r="L3307" s="7"/>
      <c r="M3307" s="7"/>
    </row>
    <row r="3308" ht="15.75" customHeight="1">
      <c r="A3308" s="7" t="s">
        <v>16398</v>
      </c>
      <c r="B3308" s="45" t="s">
        <v>16399</v>
      </c>
      <c r="C3308" s="7"/>
      <c r="D3308" s="7" t="s">
        <v>16400</v>
      </c>
      <c r="E3308" s="7" t="s">
        <v>12791</v>
      </c>
      <c r="F3308" s="7" t="s">
        <v>16401</v>
      </c>
      <c r="G3308" s="7"/>
      <c r="H3308" s="47" t="s">
        <v>14727</v>
      </c>
      <c r="I3308" s="7" t="s">
        <v>160</v>
      </c>
      <c r="J3308" s="7" t="s">
        <v>148</v>
      </c>
      <c r="K3308" s="7"/>
      <c r="L3308" s="7"/>
      <c r="M3308" s="7"/>
    </row>
    <row r="3309" ht="15.75" customHeight="1">
      <c r="A3309" s="7" t="s">
        <v>16402</v>
      </c>
      <c r="B3309" s="45" t="s">
        <v>16403</v>
      </c>
      <c r="C3309" s="7"/>
      <c r="D3309" s="7" t="s">
        <v>16404</v>
      </c>
      <c r="E3309" s="7" t="s">
        <v>3939</v>
      </c>
      <c r="F3309" s="7" t="s">
        <v>3940</v>
      </c>
      <c r="G3309" s="7" t="s">
        <v>16405</v>
      </c>
      <c r="H3309" s="47" t="s">
        <v>14727</v>
      </c>
      <c r="I3309" s="7" t="s">
        <v>160</v>
      </c>
      <c r="J3309" s="7" t="s">
        <v>148</v>
      </c>
      <c r="K3309" s="7"/>
      <c r="L3309" s="7"/>
      <c r="M3309" s="7"/>
    </row>
    <row r="3310" ht="15.75" customHeight="1">
      <c r="A3310" s="7" t="s">
        <v>16406</v>
      </c>
      <c r="B3310" s="45" t="s">
        <v>16407</v>
      </c>
      <c r="C3310" s="7"/>
      <c r="D3310" s="7" t="s">
        <v>16408</v>
      </c>
      <c r="E3310" s="7" t="s">
        <v>12589</v>
      </c>
      <c r="F3310" s="7" t="s">
        <v>9035</v>
      </c>
      <c r="G3310" s="7" t="s">
        <v>16409</v>
      </c>
      <c r="H3310" s="47" t="s">
        <v>14727</v>
      </c>
      <c r="I3310" s="7" t="s">
        <v>160</v>
      </c>
      <c r="J3310" s="7" t="s">
        <v>148</v>
      </c>
      <c r="K3310" s="7"/>
      <c r="L3310" s="7"/>
      <c r="M3310" s="7"/>
    </row>
    <row r="3311" ht="15.75" customHeight="1">
      <c r="A3311" s="7" t="s">
        <v>16410</v>
      </c>
      <c r="B3311" s="45" t="s">
        <v>16411</v>
      </c>
      <c r="C3311" s="7"/>
      <c r="D3311" s="7" t="s">
        <v>16412</v>
      </c>
      <c r="E3311" s="7" t="s">
        <v>7928</v>
      </c>
      <c r="F3311" s="7" t="s">
        <v>7929</v>
      </c>
      <c r="G3311" s="7"/>
      <c r="H3311" s="47" t="s">
        <v>14727</v>
      </c>
      <c r="I3311" s="7" t="s">
        <v>160</v>
      </c>
      <c r="J3311" s="7" t="s">
        <v>148</v>
      </c>
      <c r="K3311" s="7"/>
      <c r="L3311" s="7"/>
      <c r="M3311" s="7"/>
    </row>
    <row r="3312" ht="15.75" customHeight="1">
      <c r="A3312" s="7" t="s">
        <v>16413</v>
      </c>
      <c r="B3312" s="45" t="s">
        <v>16414</v>
      </c>
      <c r="C3312" s="7"/>
      <c r="D3312" s="7" t="s">
        <v>12828</v>
      </c>
      <c r="E3312" s="7" t="s">
        <v>12829</v>
      </c>
      <c r="F3312" s="7" t="s">
        <v>12830</v>
      </c>
      <c r="G3312" s="7" t="s">
        <v>16415</v>
      </c>
      <c r="H3312" s="47" t="s">
        <v>14727</v>
      </c>
      <c r="I3312" s="7" t="s">
        <v>160</v>
      </c>
      <c r="J3312" s="7" t="s">
        <v>148</v>
      </c>
      <c r="K3312" s="7"/>
      <c r="L3312" s="7"/>
      <c r="M3312" s="7"/>
    </row>
    <row r="3313" ht="15.75" customHeight="1">
      <c r="A3313" s="7" t="s">
        <v>16416</v>
      </c>
      <c r="B3313" s="45" t="s">
        <v>16417</v>
      </c>
      <c r="C3313" s="7"/>
      <c r="D3313" s="7" t="s">
        <v>16418</v>
      </c>
      <c r="E3313" s="7" t="s">
        <v>12842</v>
      </c>
      <c r="F3313" s="7" t="s">
        <v>12843</v>
      </c>
      <c r="G3313" s="7"/>
      <c r="H3313" s="47" t="s">
        <v>14727</v>
      </c>
      <c r="I3313" s="7" t="s">
        <v>160</v>
      </c>
      <c r="J3313" s="7" t="s">
        <v>148</v>
      </c>
      <c r="K3313" s="7"/>
      <c r="L3313" s="7"/>
      <c r="M3313" s="7"/>
    </row>
    <row r="3314" ht="15.75" customHeight="1">
      <c r="A3314" s="7" t="s">
        <v>16419</v>
      </c>
      <c r="B3314" s="45" t="s">
        <v>16420</v>
      </c>
      <c r="C3314" s="7"/>
      <c r="D3314" s="7" t="s">
        <v>16421</v>
      </c>
      <c r="E3314" s="7" t="s">
        <v>16422</v>
      </c>
      <c r="F3314" s="7" t="s">
        <v>16423</v>
      </c>
      <c r="G3314" s="7" t="s">
        <v>16424</v>
      </c>
      <c r="H3314" s="47" t="s">
        <v>14727</v>
      </c>
      <c r="I3314" s="7" t="s">
        <v>160</v>
      </c>
      <c r="J3314" s="7" t="s">
        <v>148</v>
      </c>
      <c r="K3314" s="7"/>
      <c r="L3314" s="7"/>
      <c r="M3314" s="7"/>
    </row>
    <row r="3315" ht="15.75" customHeight="1">
      <c r="A3315" s="7" t="s">
        <v>16425</v>
      </c>
      <c r="B3315" s="45" t="s">
        <v>16426</v>
      </c>
      <c r="C3315" s="7"/>
      <c r="D3315" s="7" t="s">
        <v>16427</v>
      </c>
      <c r="E3315" s="7" t="s">
        <v>16428</v>
      </c>
      <c r="F3315" s="7" t="s">
        <v>16429</v>
      </c>
      <c r="G3315" s="7"/>
      <c r="H3315" s="47" t="s">
        <v>14727</v>
      </c>
      <c r="I3315" s="7" t="s">
        <v>160</v>
      </c>
      <c r="J3315" s="7" t="s">
        <v>148</v>
      </c>
      <c r="K3315" s="7"/>
      <c r="L3315" s="7"/>
      <c r="M3315" s="7"/>
    </row>
    <row r="3316" ht="15.75" customHeight="1">
      <c r="A3316" s="7" t="s">
        <v>16430</v>
      </c>
      <c r="B3316" s="45" t="s">
        <v>16431</v>
      </c>
      <c r="C3316" s="7"/>
      <c r="D3316" s="7" t="s">
        <v>16432</v>
      </c>
      <c r="E3316" s="7" t="s">
        <v>13196</v>
      </c>
      <c r="F3316" s="7" t="s">
        <v>13181</v>
      </c>
      <c r="G3316" s="7" t="s">
        <v>16433</v>
      </c>
      <c r="H3316" s="47" t="s">
        <v>14727</v>
      </c>
      <c r="I3316" s="7" t="s">
        <v>160</v>
      </c>
      <c r="J3316" s="7" t="s">
        <v>148</v>
      </c>
      <c r="K3316" s="7"/>
      <c r="L3316" s="7"/>
      <c r="M3316" s="7"/>
    </row>
    <row r="3317" ht="15.75" customHeight="1">
      <c r="A3317" s="7" t="s">
        <v>16434</v>
      </c>
      <c r="B3317" s="45" t="s">
        <v>16435</v>
      </c>
      <c r="C3317" s="7"/>
      <c r="D3317" s="7" t="s">
        <v>16436</v>
      </c>
      <c r="E3317" s="7" t="s">
        <v>13151</v>
      </c>
      <c r="F3317" s="7" t="s">
        <v>16437</v>
      </c>
      <c r="G3317" s="7" t="s">
        <v>16438</v>
      </c>
      <c r="H3317" s="47" t="s">
        <v>14727</v>
      </c>
      <c r="I3317" s="7" t="s">
        <v>160</v>
      </c>
      <c r="J3317" s="7" t="s">
        <v>148</v>
      </c>
      <c r="K3317" s="7"/>
      <c r="L3317" s="7"/>
      <c r="M3317" s="7"/>
    </row>
    <row r="3318" ht="15.75" customHeight="1">
      <c r="A3318" s="7" t="s">
        <v>16439</v>
      </c>
      <c r="B3318" s="45" t="s">
        <v>16440</v>
      </c>
      <c r="C3318" s="7"/>
      <c r="D3318" s="7" t="s">
        <v>13221</v>
      </c>
      <c r="E3318" s="7" t="s">
        <v>16441</v>
      </c>
      <c r="F3318" s="7" t="s">
        <v>13223</v>
      </c>
      <c r="G3318" s="7"/>
      <c r="H3318" s="47" t="s">
        <v>14727</v>
      </c>
      <c r="I3318" s="7" t="s">
        <v>160</v>
      </c>
      <c r="J3318" s="7" t="s">
        <v>148</v>
      </c>
      <c r="K3318" s="7"/>
      <c r="L3318" s="7"/>
      <c r="M3318" s="7"/>
    </row>
    <row r="3319" ht="15.75" customHeight="1">
      <c r="A3319" s="7" t="s">
        <v>16442</v>
      </c>
      <c r="B3319" s="45" t="s">
        <v>16443</v>
      </c>
      <c r="C3319" s="7" t="s">
        <v>16444</v>
      </c>
      <c r="D3319" s="7" t="s">
        <v>16445</v>
      </c>
      <c r="E3319" s="7" t="s">
        <v>16446</v>
      </c>
      <c r="F3319" s="7"/>
      <c r="G3319" s="7"/>
      <c r="H3319" s="47" t="s">
        <v>14727</v>
      </c>
      <c r="I3319" s="7" t="s">
        <v>154</v>
      </c>
      <c r="J3319" s="7" t="s">
        <v>148</v>
      </c>
      <c r="K3319" s="7"/>
      <c r="L3319" s="7"/>
      <c r="M3319" s="7"/>
    </row>
    <row r="3320" ht="15.75" customHeight="1">
      <c r="A3320" s="7" t="s">
        <v>16447</v>
      </c>
      <c r="B3320" s="45" t="s">
        <v>16448</v>
      </c>
      <c r="C3320" s="7"/>
      <c r="D3320" s="7" t="s">
        <v>16449</v>
      </c>
      <c r="E3320" s="7" t="s">
        <v>553</v>
      </c>
      <c r="F3320" s="7" t="s">
        <v>562</v>
      </c>
      <c r="G3320" s="7" t="s">
        <v>16450</v>
      </c>
      <c r="H3320" s="47" t="s">
        <v>14727</v>
      </c>
      <c r="I3320" s="7" t="s">
        <v>160</v>
      </c>
      <c r="J3320" s="7" t="s">
        <v>148</v>
      </c>
      <c r="K3320" s="7"/>
      <c r="L3320" s="7"/>
      <c r="M3320" s="7"/>
    </row>
    <row r="3321" ht="15.75" customHeight="1">
      <c r="A3321" s="7" t="s">
        <v>16451</v>
      </c>
      <c r="B3321" s="45" t="s">
        <v>16452</v>
      </c>
      <c r="C3321" s="7"/>
      <c r="D3321" s="7" t="s">
        <v>16453</v>
      </c>
      <c r="E3321" s="7" t="s">
        <v>13266</v>
      </c>
      <c r="F3321" s="7" t="s">
        <v>13267</v>
      </c>
      <c r="G3321" s="7" t="s">
        <v>16454</v>
      </c>
      <c r="H3321" s="47" t="s">
        <v>14727</v>
      </c>
      <c r="I3321" s="7" t="s">
        <v>160</v>
      </c>
      <c r="J3321" s="7" t="s">
        <v>148</v>
      </c>
      <c r="K3321" s="7"/>
      <c r="L3321" s="7"/>
      <c r="M3321" s="7"/>
    </row>
    <row r="3322" ht="15.75" customHeight="1">
      <c r="A3322" s="7" t="s">
        <v>16455</v>
      </c>
      <c r="B3322" s="45" t="s">
        <v>16456</v>
      </c>
      <c r="C3322" s="7"/>
      <c r="D3322" s="7" t="s">
        <v>11961</v>
      </c>
      <c r="E3322" s="7" t="s">
        <v>11962</v>
      </c>
      <c r="F3322" s="7" t="s">
        <v>16457</v>
      </c>
      <c r="G3322" s="7" t="s">
        <v>16458</v>
      </c>
      <c r="H3322" s="47" t="s">
        <v>14727</v>
      </c>
      <c r="I3322" s="7" t="s">
        <v>160</v>
      </c>
      <c r="J3322" s="7" t="s">
        <v>148</v>
      </c>
      <c r="K3322" s="7"/>
      <c r="L3322" s="7"/>
      <c r="M3322" s="7"/>
    </row>
    <row r="3323" ht="15.75" customHeight="1">
      <c r="A3323" s="7" t="s">
        <v>16459</v>
      </c>
      <c r="B3323" s="45" t="s">
        <v>16460</v>
      </c>
      <c r="C3323" s="7"/>
      <c r="D3323" s="7" t="s">
        <v>12082</v>
      </c>
      <c r="E3323" s="7" t="s">
        <v>16461</v>
      </c>
      <c r="F3323" s="7" t="s">
        <v>16462</v>
      </c>
      <c r="G3323" s="7"/>
      <c r="H3323" s="47" t="s">
        <v>14727</v>
      </c>
      <c r="I3323" s="7" t="s">
        <v>160</v>
      </c>
      <c r="J3323" s="7" t="s">
        <v>148</v>
      </c>
      <c r="K3323" s="7"/>
      <c r="L3323" s="7"/>
      <c r="M3323" s="7"/>
    </row>
    <row r="3324" ht="15.75" customHeight="1">
      <c r="A3324" s="7" t="s">
        <v>16463</v>
      </c>
      <c r="B3324" s="45" t="s">
        <v>16464</v>
      </c>
      <c r="C3324" s="7"/>
      <c r="D3324" s="7" t="s">
        <v>16465</v>
      </c>
      <c r="E3324" s="7" t="s">
        <v>13317</v>
      </c>
      <c r="F3324" s="7" t="s">
        <v>13318</v>
      </c>
      <c r="G3324" s="7"/>
      <c r="H3324" s="47" t="s">
        <v>14727</v>
      </c>
      <c r="I3324" s="7" t="s">
        <v>160</v>
      </c>
      <c r="J3324" s="7" t="s">
        <v>148</v>
      </c>
      <c r="K3324" s="7"/>
      <c r="L3324" s="7"/>
      <c r="M3324" s="7"/>
    </row>
    <row r="3325" ht="15.75" customHeight="1">
      <c r="A3325" s="7" t="s">
        <v>16466</v>
      </c>
      <c r="B3325" s="45" t="s">
        <v>16467</v>
      </c>
      <c r="C3325" s="7"/>
      <c r="D3325" s="7" t="s">
        <v>13322</v>
      </c>
      <c r="E3325" s="7" t="s">
        <v>13323</v>
      </c>
      <c r="F3325" s="7" t="s">
        <v>13324</v>
      </c>
      <c r="G3325" s="7"/>
      <c r="H3325" s="47" t="s">
        <v>14727</v>
      </c>
      <c r="I3325" s="7" t="s">
        <v>160</v>
      </c>
      <c r="J3325" s="7" t="s">
        <v>148</v>
      </c>
      <c r="K3325" s="7"/>
      <c r="L3325" s="7"/>
      <c r="M3325" s="7"/>
    </row>
    <row r="3326" ht="15.75" customHeight="1">
      <c r="A3326" s="7" t="s">
        <v>16468</v>
      </c>
      <c r="B3326" s="45" t="s">
        <v>16469</v>
      </c>
      <c r="C3326" s="7"/>
      <c r="D3326" s="7" t="s">
        <v>16470</v>
      </c>
      <c r="E3326" s="7" t="s">
        <v>6740</v>
      </c>
      <c r="F3326" s="7" t="s">
        <v>6741</v>
      </c>
      <c r="G3326" s="7" t="s">
        <v>16471</v>
      </c>
      <c r="H3326" s="47" t="s">
        <v>14727</v>
      </c>
      <c r="I3326" s="7" t="s">
        <v>160</v>
      </c>
      <c r="J3326" s="7" t="s">
        <v>148</v>
      </c>
      <c r="K3326" s="7"/>
      <c r="L3326" s="7"/>
      <c r="M3326" s="7"/>
    </row>
    <row r="3327" ht="15.75" customHeight="1">
      <c r="A3327" s="7" t="s">
        <v>16472</v>
      </c>
      <c r="B3327" s="45" t="s">
        <v>16473</v>
      </c>
      <c r="C3327" s="7"/>
      <c r="D3327" s="7" t="s">
        <v>16474</v>
      </c>
      <c r="E3327" s="7" t="s">
        <v>16475</v>
      </c>
      <c r="F3327" s="7" t="s">
        <v>13347</v>
      </c>
      <c r="G3327" s="7" t="s">
        <v>16476</v>
      </c>
      <c r="H3327" s="47" t="s">
        <v>14727</v>
      </c>
      <c r="I3327" s="7" t="s">
        <v>160</v>
      </c>
      <c r="J3327" s="7" t="s">
        <v>148</v>
      </c>
      <c r="K3327" s="7"/>
      <c r="L3327" s="7"/>
      <c r="M3327" s="7"/>
    </row>
    <row r="3328" ht="15.75" customHeight="1">
      <c r="A3328" s="7" t="s">
        <v>16477</v>
      </c>
      <c r="B3328" s="45" t="s">
        <v>16478</v>
      </c>
      <c r="C3328" s="7"/>
      <c r="D3328" s="7" t="s">
        <v>16479</v>
      </c>
      <c r="E3328" s="7" t="s">
        <v>1339</v>
      </c>
      <c r="F3328" s="7" t="s">
        <v>12200</v>
      </c>
      <c r="G3328" s="7" t="s">
        <v>16480</v>
      </c>
      <c r="H3328" s="47" t="s">
        <v>14727</v>
      </c>
      <c r="I3328" s="7" t="s">
        <v>160</v>
      </c>
      <c r="J3328" s="7" t="s">
        <v>148</v>
      </c>
      <c r="K3328" s="7"/>
      <c r="L3328" s="7"/>
      <c r="M3328" s="7"/>
    </row>
    <row r="3329" ht="15.75" customHeight="1">
      <c r="A3329" s="7" t="s">
        <v>16481</v>
      </c>
      <c r="B3329" s="45" t="s">
        <v>16482</v>
      </c>
      <c r="C3329" s="7"/>
      <c r="D3329" s="7" t="s">
        <v>16483</v>
      </c>
      <c r="E3329" s="7" t="s">
        <v>8669</v>
      </c>
      <c r="F3329" s="7" t="s">
        <v>16484</v>
      </c>
      <c r="G3329" s="7" t="s">
        <v>16485</v>
      </c>
      <c r="H3329" s="47" t="s">
        <v>14727</v>
      </c>
      <c r="I3329" s="7" t="s">
        <v>160</v>
      </c>
      <c r="J3329" s="7" t="s">
        <v>148</v>
      </c>
      <c r="K3329" s="7"/>
      <c r="L3329" s="7"/>
      <c r="M3329" s="7"/>
    </row>
    <row r="3330" ht="15.75" customHeight="1">
      <c r="A3330" s="7" t="s">
        <v>16486</v>
      </c>
      <c r="B3330" s="45" t="s">
        <v>16487</v>
      </c>
      <c r="C3330" s="7"/>
      <c r="D3330" s="7" t="s">
        <v>13458</v>
      </c>
      <c r="E3330" s="7" t="s">
        <v>13459</v>
      </c>
      <c r="F3330" s="7" t="s">
        <v>13460</v>
      </c>
      <c r="G3330" s="7"/>
      <c r="H3330" s="47" t="s">
        <v>14727</v>
      </c>
      <c r="I3330" s="7" t="s">
        <v>160</v>
      </c>
      <c r="J3330" s="7" t="s">
        <v>148</v>
      </c>
      <c r="K3330" s="7"/>
      <c r="L3330" s="7"/>
      <c r="M3330" s="7"/>
    </row>
    <row r="3331" ht="15.75" customHeight="1">
      <c r="A3331" s="7" t="s">
        <v>16488</v>
      </c>
      <c r="B3331" s="45" t="s">
        <v>16489</v>
      </c>
      <c r="C3331" s="7"/>
      <c r="D3331" s="7" t="s">
        <v>16490</v>
      </c>
      <c r="E3331" s="7" t="s">
        <v>16491</v>
      </c>
      <c r="F3331" s="7" t="s">
        <v>16492</v>
      </c>
      <c r="G3331" s="7"/>
      <c r="H3331" s="47" t="s">
        <v>14727</v>
      </c>
      <c r="I3331" s="7" t="s">
        <v>160</v>
      </c>
      <c r="J3331" s="7" t="s">
        <v>148</v>
      </c>
      <c r="K3331" s="7"/>
      <c r="L3331" s="7"/>
      <c r="M3331" s="7"/>
    </row>
    <row r="3332" ht="15.75" customHeight="1">
      <c r="A3332" s="7" t="s">
        <v>16493</v>
      </c>
      <c r="B3332" s="45" t="s">
        <v>16494</v>
      </c>
      <c r="C3332" s="7"/>
      <c r="D3332" s="7" t="s">
        <v>13479</v>
      </c>
      <c r="E3332" s="7" t="s">
        <v>13480</v>
      </c>
      <c r="F3332" s="7" t="s">
        <v>13481</v>
      </c>
      <c r="G3332" s="7"/>
      <c r="H3332" s="47" t="s">
        <v>14727</v>
      </c>
      <c r="I3332" s="7" t="s">
        <v>160</v>
      </c>
      <c r="J3332" s="7" t="s">
        <v>148</v>
      </c>
      <c r="K3332" s="7"/>
      <c r="L3332" s="7"/>
      <c r="M3332" s="7"/>
    </row>
    <row r="3333" ht="15.75" customHeight="1">
      <c r="A3333" s="7" t="s">
        <v>16495</v>
      </c>
      <c r="B3333" s="45" t="s">
        <v>16496</v>
      </c>
      <c r="C3333" s="7"/>
      <c r="D3333" s="7" t="s">
        <v>16497</v>
      </c>
      <c r="E3333" s="7" t="s">
        <v>13492</v>
      </c>
      <c r="F3333" s="7" t="s">
        <v>13493</v>
      </c>
      <c r="G3333" s="7" t="s">
        <v>16498</v>
      </c>
      <c r="H3333" s="47" t="s">
        <v>14727</v>
      </c>
      <c r="I3333" s="7" t="s">
        <v>160</v>
      </c>
      <c r="J3333" s="7" t="s">
        <v>148</v>
      </c>
      <c r="K3333" s="7"/>
      <c r="L3333" s="7"/>
      <c r="M3333" s="7"/>
    </row>
    <row r="3334" ht="15.75" customHeight="1">
      <c r="A3334" s="7" t="s">
        <v>16499</v>
      </c>
      <c r="B3334" s="45" t="s">
        <v>16500</v>
      </c>
      <c r="C3334" s="7"/>
      <c r="D3334" s="7" t="s">
        <v>4867</v>
      </c>
      <c r="E3334" s="7" t="s">
        <v>4868</v>
      </c>
      <c r="F3334" s="7" t="s">
        <v>4869</v>
      </c>
      <c r="G3334" s="7" t="s">
        <v>16501</v>
      </c>
      <c r="H3334" s="47" t="s">
        <v>14727</v>
      </c>
      <c r="I3334" s="7" t="s">
        <v>160</v>
      </c>
      <c r="J3334" s="7" t="s">
        <v>148</v>
      </c>
      <c r="K3334" s="7"/>
      <c r="L3334" s="7"/>
      <c r="M3334" s="7"/>
    </row>
    <row r="3335" ht="15.75" customHeight="1">
      <c r="A3335" s="7" t="s">
        <v>16502</v>
      </c>
      <c r="B3335" s="45" t="s">
        <v>16503</v>
      </c>
      <c r="C3335" s="7"/>
      <c r="D3335" s="7" t="s">
        <v>16504</v>
      </c>
      <c r="E3335" s="7" t="s">
        <v>16505</v>
      </c>
      <c r="F3335" s="7" t="s">
        <v>13526</v>
      </c>
      <c r="G3335" s="7" t="s">
        <v>16506</v>
      </c>
      <c r="H3335" s="47" t="s">
        <v>14727</v>
      </c>
      <c r="I3335" s="7" t="s">
        <v>160</v>
      </c>
      <c r="J3335" s="7" t="s">
        <v>148</v>
      </c>
      <c r="K3335" s="7"/>
      <c r="L3335" s="7"/>
      <c r="M3335" s="7"/>
    </row>
    <row r="3336" ht="15.75" customHeight="1">
      <c r="A3336" s="7" t="s">
        <v>16507</v>
      </c>
      <c r="B3336" s="45" t="s">
        <v>16508</v>
      </c>
      <c r="C3336" s="7"/>
      <c r="D3336" s="7" t="s">
        <v>16509</v>
      </c>
      <c r="E3336" s="7" t="s">
        <v>16510</v>
      </c>
      <c r="F3336" s="7" t="s">
        <v>2682</v>
      </c>
      <c r="G3336" s="7" t="s">
        <v>16511</v>
      </c>
      <c r="H3336" s="47" t="s">
        <v>14727</v>
      </c>
      <c r="I3336" s="7" t="s">
        <v>160</v>
      </c>
      <c r="J3336" s="7" t="s">
        <v>148</v>
      </c>
      <c r="K3336" s="7"/>
      <c r="L3336" s="7"/>
      <c r="M3336" s="7"/>
    </row>
    <row r="3337" ht="15.75" customHeight="1">
      <c r="A3337" s="7" t="s">
        <v>16512</v>
      </c>
      <c r="B3337" s="45" t="s">
        <v>16513</v>
      </c>
      <c r="C3337" s="7"/>
      <c r="D3337" s="7" t="s">
        <v>10314</v>
      </c>
      <c r="E3337" s="7" t="s">
        <v>10315</v>
      </c>
      <c r="F3337" s="7" t="s">
        <v>16514</v>
      </c>
      <c r="G3337" s="7"/>
      <c r="H3337" s="47" t="s">
        <v>14727</v>
      </c>
      <c r="I3337" s="7" t="s">
        <v>160</v>
      </c>
      <c r="J3337" s="7" t="s">
        <v>148</v>
      </c>
      <c r="K3337" s="7"/>
      <c r="L3337" s="7"/>
      <c r="M3337" s="7"/>
    </row>
    <row r="3338" ht="15.75" customHeight="1">
      <c r="A3338" s="7" t="s">
        <v>16515</v>
      </c>
      <c r="B3338" s="45" t="s">
        <v>16516</v>
      </c>
      <c r="C3338" s="7"/>
      <c r="D3338" s="7" t="s">
        <v>13742</v>
      </c>
      <c r="E3338" s="7" t="s">
        <v>13743</v>
      </c>
      <c r="F3338" s="7" t="s">
        <v>13744</v>
      </c>
      <c r="G3338" s="7" t="s">
        <v>16517</v>
      </c>
      <c r="H3338" s="47" t="s">
        <v>14727</v>
      </c>
      <c r="I3338" s="7" t="s">
        <v>160</v>
      </c>
      <c r="J3338" s="7" t="s">
        <v>148</v>
      </c>
      <c r="K3338" s="7"/>
      <c r="L3338" s="7"/>
      <c r="M3338" s="7"/>
    </row>
    <row r="3339" ht="15.75" customHeight="1">
      <c r="A3339" s="7" t="s">
        <v>16518</v>
      </c>
      <c r="B3339" s="45" t="s">
        <v>16519</v>
      </c>
      <c r="C3339" s="7"/>
      <c r="D3339" s="7" t="s">
        <v>462</v>
      </c>
      <c r="E3339" s="7" t="s">
        <v>16520</v>
      </c>
      <c r="F3339" s="7" t="s">
        <v>16521</v>
      </c>
      <c r="G3339" s="7"/>
      <c r="H3339" s="47" t="s">
        <v>14727</v>
      </c>
      <c r="I3339" s="7" t="s">
        <v>160</v>
      </c>
      <c r="J3339" s="7" t="s">
        <v>148</v>
      </c>
      <c r="K3339" s="7"/>
      <c r="L3339" s="7"/>
      <c r="M3339" s="7"/>
    </row>
    <row r="3340" ht="15.75" customHeight="1">
      <c r="A3340" s="7" t="s">
        <v>16522</v>
      </c>
      <c r="B3340" s="45" t="s">
        <v>16523</v>
      </c>
      <c r="C3340" s="7"/>
      <c r="D3340" s="7" t="s">
        <v>16524</v>
      </c>
      <c r="E3340" s="7" t="s">
        <v>16525</v>
      </c>
      <c r="F3340" s="7" t="s">
        <v>13540</v>
      </c>
      <c r="G3340" s="7" t="s">
        <v>16526</v>
      </c>
      <c r="H3340" s="47" t="s">
        <v>14727</v>
      </c>
      <c r="I3340" s="7" t="s">
        <v>160</v>
      </c>
      <c r="J3340" s="7" t="s">
        <v>148</v>
      </c>
      <c r="K3340" s="7"/>
      <c r="L3340" s="7"/>
      <c r="M3340" s="7"/>
    </row>
    <row r="3341" ht="15.75" customHeight="1">
      <c r="A3341" s="7" t="s">
        <v>16527</v>
      </c>
      <c r="B3341" s="45" t="s">
        <v>16528</v>
      </c>
      <c r="C3341" s="7"/>
      <c r="D3341" s="7" t="s">
        <v>16529</v>
      </c>
      <c r="E3341" s="7" t="s">
        <v>13666</v>
      </c>
      <c r="F3341" s="7" t="s">
        <v>13667</v>
      </c>
      <c r="G3341" s="7" t="s">
        <v>16530</v>
      </c>
      <c r="H3341" s="47" t="s">
        <v>14727</v>
      </c>
      <c r="I3341" s="7" t="s">
        <v>160</v>
      </c>
      <c r="J3341" s="7" t="s">
        <v>148</v>
      </c>
      <c r="K3341" s="7"/>
      <c r="L3341" s="7"/>
      <c r="M3341" s="7"/>
    </row>
    <row r="3342" ht="15.75" customHeight="1">
      <c r="A3342" s="7" t="s">
        <v>16531</v>
      </c>
      <c r="B3342" s="45" t="s">
        <v>16532</v>
      </c>
      <c r="C3342" s="7"/>
      <c r="D3342" s="7" t="s">
        <v>16533</v>
      </c>
      <c r="E3342" s="7" t="s">
        <v>16534</v>
      </c>
      <c r="F3342" s="7" t="s">
        <v>16535</v>
      </c>
      <c r="G3342" s="7" t="s">
        <v>16536</v>
      </c>
      <c r="H3342" s="47" t="s">
        <v>14727</v>
      </c>
      <c r="I3342" s="7" t="s">
        <v>160</v>
      </c>
      <c r="J3342" s="7" t="s">
        <v>148</v>
      </c>
      <c r="K3342" s="7"/>
      <c r="L3342" s="7"/>
      <c r="M3342" s="7"/>
    </row>
    <row r="3343" ht="15.75" customHeight="1">
      <c r="A3343" s="7" t="s">
        <v>16537</v>
      </c>
      <c r="B3343" s="45" t="s">
        <v>16538</v>
      </c>
      <c r="C3343" s="7"/>
      <c r="D3343" s="7" t="s">
        <v>13900</v>
      </c>
      <c r="E3343" s="7" t="s">
        <v>16539</v>
      </c>
      <c r="F3343" s="7" t="s">
        <v>13902</v>
      </c>
      <c r="G3343" s="7"/>
      <c r="H3343" s="47" t="s">
        <v>14727</v>
      </c>
      <c r="I3343" s="7" t="s">
        <v>160</v>
      </c>
      <c r="J3343" s="7" t="s">
        <v>148</v>
      </c>
      <c r="K3343" s="7"/>
      <c r="L3343" s="7"/>
      <c r="M3343" s="7"/>
    </row>
    <row r="3344" ht="15.75" customHeight="1">
      <c r="A3344" s="7" t="s">
        <v>16540</v>
      </c>
      <c r="B3344" s="45" t="s">
        <v>16541</v>
      </c>
      <c r="C3344" s="7"/>
      <c r="D3344" s="7" t="s">
        <v>14062</v>
      </c>
      <c r="E3344" s="7" t="s">
        <v>16542</v>
      </c>
      <c r="F3344" s="7" t="s">
        <v>14064</v>
      </c>
      <c r="G3344" s="7" t="s">
        <v>16543</v>
      </c>
      <c r="H3344" s="47" t="s">
        <v>14727</v>
      </c>
      <c r="I3344" s="7" t="s">
        <v>160</v>
      </c>
      <c r="J3344" s="7" t="s">
        <v>148</v>
      </c>
      <c r="K3344" s="7"/>
      <c r="L3344" s="7"/>
      <c r="M3344" s="7"/>
    </row>
    <row r="3345" ht="15.75" customHeight="1">
      <c r="A3345" s="7" t="s">
        <v>16544</v>
      </c>
      <c r="B3345" s="45" t="s">
        <v>16545</v>
      </c>
      <c r="C3345" s="7"/>
      <c r="D3345" s="7" t="s">
        <v>13594</v>
      </c>
      <c r="E3345" s="7" t="s">
        <v>16546</v>
      </c>
      <c r="F3345" s="7" t="s">
        <v>13596</v>
      </c>
      <c r="G3345" s="7"/>
      <c r="H3345" s="47" t="s">
        <v>14727</v>
      </c>
      <c r="I3345" s="7" t="s">
        <v>160</v>
      </c>
      <c r="J3345" s="7" t="s">
        <v>148</v>
      </c>
      <c r="K3345" s="7"/>
      <c r="L3345" s="7"/>
      <c r="M3345" s="7"/>
    </row>
    <row r="3346" ht="15.75" customHeight="1">
      <c r="A3346" s="7" t="s">
        <v>16547</v>
      </c>
      <c r="B3346" s="45" t="s">
        <v>16548</v>
      </c>
      <c r="C3346" s="7"/>
      <c r="D3346" s="7" t="s">
        <v>14074</v>
      </c>
      <c r="E3346" s="7" t="s">
        <v>14075</v>
      </c>
      <c r="F3346" s="7" t="s">
        <v>14076</v>
      </c>
      <c r="G3346" s="7" t="s">
        <v>16549</v>
      </c>
      <c r="H3346" s="47" t="s">
        <v>14727</v>
      </c>
      <c r="I3346" s="7" t="s">
        <v>160</v>
      </c>
      <c r="J3346" s="7" t="s">
        <v>148</v>
      </c>
      <c r="K3346" s="7"/>
      <c r="L3346" s="7"/>
      <c r="M3346" s="7"/>
    </row>
    <row r="3347" ht="15.75" customHeight="1">
      <c r="A3347" s="7" t="s">
        <v>16550</v>
      </c>
      <c r="B3347" s="45" t="s">
        <v>16551</v>
      </c>
      <c r="C3347" s="7"/>
      <c r="D3347" s="7" t="s">
        <v>14086</v>
      </c>
      <c r="E3347" s="7" t="s">
        <v>14087</v>
      </c>
      <c r="F3347" s="7" t="s">
        <v>14088</v>
      </c>
      <c r="G3347" s="7" t="s">
        <v>16552</v>
      </c>
      <c r="H3347" s="47" t="s">
        <v>14727</v>
      </c>
      <c r="I3347" s="7" t="s">
        <v>160</v>
      </c>
      <c r="J3347" s="7" t="s">
        <v>148</v>
      </c>
      <c r="K3347" s="7"/>
      <c r="L3347" s="7"/>
      <c r="M3347" s="7"/>
    </row>
    <row r="3348" ht="15.75" customHeight="1">
      <c r="A3348" s="7" t="s">
        <v>16553</v>
      </c>
      <c r="B3348" s="45" t="s">
        <v>16554</v>
      </c>
      <c r="C3348" s="7"/>
      <c r="D3348" s="7" t="s">
        <v>16555</v>
      </c>
      <c r="E3348" s="7" t="s">
        <v>14108</v>
      </c>
      <c r="F3348" s="7" t="s">
        <v>13596</v>
      </c>
      <c r="G3348" s="7" t="s">
        <v>16556</v>
      </c>
      <c r="H3348" s="47" t="s">
        <v>14727</v>
      </c>
      <c r="I3348" s="7" t="s">
        <v>160</v>
      </c>
      <c r="J3348" s="7" t="s">
        <v>148</v>
      </c>
      <c r="K3348" s="7"/>
      <c r="L3348" s="7"/>
      <c r="M3348" s="7"/>
    </row>
    <row r="3349" ht="15.75" customHeight="1">
      <c r="A3349" s="7" t="s">
        <v>16557</v>
      </c>
      <c r="B3349" s="45" t="s">
        <v>16558</v>
      </c>
      <c r="C3349" s="7"/>
      <c r="D3349" s="7" t="s">
        <v>16559</v>
      </c>
      <c r="E3349" s="7" t="s">
        <v>16560</v>
      </c>
      <c r="F3349" s="7" t="s">
        <v>16561</v>
      </c>
      <c r="G3349" s="7" t="s">
        <v>16562</v>
      </c>
      <c r="H3349" s="47" t="s">
        <v>14727</v>
      </c>
      <c r="I3349" s="7" t="s">
        <v>160</v>
      </c>
      <c r="J3349" s="7" t="s">
        <v>148</v>
      </c>
      <c r="K3349" s="7"/>
      <c r="L3349" s="7"/>
      <c r="M3349" s="7"/>
    </row>
    <row r="3350" ht="15.75" customHeight="1">
      <c r="A3350" s="7" t="s">
        <v>16563</v>
      </c>
      <c r="B3350" s="45" t="s">
        <v>16564</v>
      </c>
      <c r="C3350" s="7"/>
      <c r="D3350" s="7" t="s">
        <v>16565</v>
      </c>
      <c r="E3350" s="7" t="s">
        <v>14113</v>
      </c>
      <c r="F3350" s="7" t="s">
        <v>14114</v>
      </c>
      <c r="G3350" s="7"/>
      <c r="H3350" s="47" t="s">
        <v>14727</v>
      </c>
      <c r="I3350" s="7" t="s">
        <v>160</v>
      </c>
      <c r="J3350" s="7" t="s">
        <v>148</v>
      </c>
      <c r="K3350" s="7"/>
      <c r="L3350" s="7"/>
      <c r="M3350" s="7"/>
    </row>
    <row r="3351" ht="15.75" customHeight="1">
      <c r="A3351" s="7" t="s">
        <v>16566</v>
      </c>
      <c r="B3351" s="45" t="s">
        <v>16567</v>
      </c>
      <c r="C3351" s="7"/>
      <c r="D3351" s="7" t="s">
        <v>16568</v>
      </c>
      <c r="E3351" s="7" t="s">
        <v>16569</v>
      </c>
      <c r="F3351" s="7" t="s">
        <v>16570</v>
      </c>
      <c r="G3351" s="7" t="s">
        <v>16571</v>
      </c>
      <c r="H3351" s="47" t="s">
        <v>14727</v>
      </c>
      <c r="I3351" s="7" t="s">
        <v>160</v>
      </c>
      <c r="J3351" s="7" t="s">
        <v>148</v>
      </c>
      <c r="K3351" s="7"/>
      <c r="L3351" s="7"/>
      <c r="M3351" s="7"/>
    </row>
    <row r="3352" ht="15.75" customHeight="1">
      <c r="A3352" s="7" t="s">
        <v>16572</v>
      </c>
      <c r="B3352" s="45" t="s">
        <v>16573</v>
      </c>
      <c r="C3352" s="7"/>
      <c r="D3352" s="7" t="s">
        <v>16574</v>
      </c>
      <c r="E3352" s="7" t="s">
        <v>14131</v>
      </c>
      <c r="F3352" s="7" t="s">
        <v>14132</v>
      </c>
      <c r="G3352" s="7" t="s">
        <v>16575</v>
      </c>
      <c r="H3352" s="47" t="s">
        <v>14727</v>
      </c>
      <c r="I3352" s="7" t="s">
        <v>160</v>
      </c>
      <c r="J3352" s="7" t="s">
        <v>148</v>
      </c>
      <c r="K3352" s="7"/>
      <c r="L3352" s="7"/>
      <c r="M3352" s="7"/>
    </row>
    <row r="3353" ht="15.75" customHeight="1">
      <c r="A3353" s="7" t="s">
        <v>16576</v>
      </c>
      <c r="B3353" s="45" t="s">
        <v>16577</v>
      </c>
      <c r="C3353" s="7"/>
      <c r="D3353" s="7" t="s">
        <v>16578</v>
      </c>
      <c r="E3353" s="7" t="s">
        <v>14235</v>
      </c>
      <c r="F3353" s="7" t="s">
        <v>14236</v>
      </c>
      <c r="G3353" s="7" t="s">
        <v>16579</v>
      </c>
      <c r="H3353" s="47" t="s">
        <v>14727</v>
      </c>
      <c r="I3353" s="7" t="s">
        <v>160</v>
      </c>
      <c r="J3353" s="7" t="s">
        <v>148</v>
      </c>
      <c r="K3353" s="7"/>
      <c r="L3353" s="7"/>
      <c r="M3353" s="7"/>
    </row>
    <row r="3354" ht="15.75" customHeight="1">
      <c r="A3354" s="7" t="s">
        <v>16580</v>
      </c>
      <c r="B3354" s="45" t="s">
        <v>16581</v>
      </c>
      <c r="C3354" s="7"/>
      <c r="D3354" s="7" t="s">
        <v>16582</v>
      </c>
      <c r="E3354" s="7" t="s">
        <v>16583</v>
      </c>
      <c r="F3354" s="7" t="s">
        <v>3130</v>
      </c>
      <c r="G3354" s="7"/>
      <c r="H3354" s="47" t="s">
        <v>14727</v>
      </c>
      <c r="I3354" s="7" t="s">
        <v>160</v>
      </c>
      <c r="J3354" s="7" t="s">
        <v>148</v>
      </c>
      <c r="K3354" s="7"/>
      <c r="L3354" s="7"/>
      <c r="M3354" s="7"/>
    </row>
    <row r="3355" ht="15.75" customHeight="1">
      <c r="A3355" s="7" t="s">
        <v>16584</v>
      </c>
      <c r="B3355" s="45" t="s">
        <v>16585</v>
      </c>
      <c r="C3355" s="7"/>
      <c r="D3355" s="7" t="s">
        <v>14291</v>
      </c>
      <c r="E3355" s="7" t="s">
        <v>16586</v>
      </c>
      <c r="F3355" s="7" t="s">
        <v>16587</v>
      </c>
      <c r="G3355" s="7" t="s">
        <v>16588</v>
      </c>
      <c r="H3355" s="47" t="s">
        <v>14727</v>
      </c>
      <c r="I3355" s="7" t="s">
        <v>160</v>
      </c>
      <c r="J3355" s="7" t="s">
        <v>148</v>
      </c>
      <c r="K3355" s="7"/>
      <c r="L3355" s="7"/>
      <c r="M3355" s="7"/>
    </row>
    <row r="3356" ht="15.75" customHeight="1">
      <c r="A3356" s="7" t="s">
        <v>16589</v>
      </c>
      <c r="B3356" s="45" t="s">
        <v>16590</v>
      </c>
      <c r="C3356" s="7"/>
      <c r="D3356" s="7" t="s">
        <v>14377</v>
      </c>
      <c r="E3356" s="7" t="s">
        <v>14378</v>
      </c>
      <c r="F3356" s="7" t="s">
        <v>14379</v>
      </c>
      <c r="G3356" s="7"/>
      <c r="H3356" s="47" t="s">
        <v>14727</v>
      </c>
      <c r="I3356" s="7" t="s">
        <v>160</v>
      </c>
      <c r="J3356" s="7" t="s">
        <v>148</v>
      </c>
      <c r="K3356" s="7"/>
      <c r="L3356" s="7"/>
      <c r="M3356" s="7"/>
    </row>
    <row r="3357" ht="15.75" customHeight="1">
      <c r="A3357" s="7" t="s">
        <v>16591</v>
      </c>
      <c r="B3357" s="45" t="s">
        <v>16592</v>
      </c>
      <c r="C3357" s="7"/>
      <c r="D3357" s="7" t="s">
        <v>16593</v>
      </c>
      <c r="E3357" s="7" t="s">
        <v>9255</v>
      </c>
      <c r="F3357" s="7" t="s">
        <v>9256</v>
      </c>
      <c r="G3357" s="7" t="s">
        <v>16594</v>
      </c>
      <c r="H3357" s="47" t="s">
        <v>14727</v>
      </c>
      <c r="I3357" s="7" t="s">
        <v>160</v>
      </c>
      <c r="J3357" s="7" t="s">
        <v>148</v>
      </c>
      <c r="K3357" s="7"/>
      <c r="L3357" s="7"/>
      <c r="M3357" s="7"/>
    </row>
    <row r="3358" ht="15.75" customHeight="1">
      <c r="A3358" s="7" t="s">
        <v>16595</v>
      </c>
      <c r="B3358" s="45" t="s">
        <v>16596</v>
      </c>
      <c r="C3358" s="7"/>
      <c r="D3358" s="7" t="s">
        <v>14228</v>
      </c>
      <c r="E3358" s="7" t="s">
        <v>14229</v>
      </c>
      <c r="F3358" s="7" t="s">
        <v>14230</v>
      </c>
      <c r="G3358" s="7"/>
      <c r="H3358" s="47" t="s">
        <v>14727</v>
      </c>
      <c r="I3358" s="7" t="s">
        <v>160</v>
      </c>
      <c r="J3358" s="7" t="s">
        <v>148</v>
      </c>
      <c r="K3358" s="7"/>
      <c r="L3358" s="7"/>
      <c r="M3358" s="7"/>
    </row>
    <row r="3359" ht="15.75" customHeight="1">
      <c r="A3359" s="7" t="s">
        <v>16597</v>
      </c>
      <c r="B3359" s="45" t="s">
        <v>16598</v>
      </c>
      <c r="C3359" s="7"/>
      <c r="D3359" s="7" t="s">
        <v>14510</v>
      </c>
      <c r="E3359" s="7" t="s">
        <v>16599</v>
      </c>
      <c r="F3359" s="7" t="s">
        <v>14512</v>
      </c>
      <c r="G3359" s="7"/>
      <c r="H3359" s="47" t="s">
        <v>14727</v>
      </c>
      <c r="I3359" s="7" t="s">
        <v>160</v>
      </c>
      <c r="J3359" s="7" t="s">
        <v>148</v>
      </c>
      <c r="K3359" s="7"/>
      <c r="L3359" s="7"/>
      <c r="M3359" s="7"/>
    </row>
    <row r="3360" ht="15.75" customHeight="1">
      <c r="A3360" s="7" t="s">
        <v>16600</v>
      </c>
      <c r="B3360" s="45" t="s">
        <v>16601</v>
      </c>
      <c r="C3360" s="7"/>
      <c r="D3360" s="7" t="s">
        <v>14520</v>
      </c>
      <c r="E3360" s="7" t="s">
        <v>12465</v>
      </c>
      <c r="F3360" s="7" t="s">
        <v>14521</v>
      </c>
      <c r="G3360" s="7" t="s">
        <v>16602</v>
      </c>
      <c r="H3360" s="47" t="s">
        <v>14727</v>
      </c>
      <c r="I3360" s="7" t="s">
        <v>160</v>
      </c>
      <c r="J3360" s="7" t="s">
        <v>148</v>
      </c>
      <c r="K3360" s="7"/>
      <c r="L3360" s="7"/>
      <c r="M3360" s="7"/>
    </row>
    <row r="3361" ht="15.75" customHeight="1">
      <c r="A3361" s="7" t="s">
        <v>16603</v>
      </c>
      <c r="B3361" s="45" t="s">
        <v>16604</v>
      </c>
      <c r="C3361" s="7"/>
      <c r="D3361" s="7" t="s">
        <v>16605</v>
      </c>
      <c r="E3361" s="7" t="s">
        <v>9453</v>
      </c>
      <c r="F3361" s="7" t="s">
        <v>9454</v>
      </c>
      <c r="G3361" s="7" t="s">
        <v>16606</v>
      </c>
      <c r="H3361" s="47" t="s">
        <v>14727</v>
      </c>
      <c r="I3361" s="7" t="s">
        <v>160</v>
      </c>
      <c r="J3361" s="7" t="s">
        <v>148</v>
      </c>
      <c r="K3361" s="7"/>
      <c r="L3361" s="7"/>
      <c r="M3361" s="7"/>
    </row>
    <row r="3362" ht="15.75" customHeight="1">
      <c r="A3362" s="7" t="s">
        <v>16607</v>
      </c>
      <c r="B3362" s="45" t="s">
        <v>16608</v>
      </c>
      <c r="C3362" s="7"/>
      <c r="D3362" s="7" t="s">
        <v>16609</v>
      </c>
      <c r="E3362" s="7" t="s">
        <v>975</v>
      </c>
      <c r="F3362" s="7" t="s">
        <v>973</v>
      </c>
      <c r="G3362" s="7" t="s">
        <v>16610</v>
      </c>
      <c r="H3362" s="47" t="s">
        <v>14727</v>
      </c>
      <c r="I3362" s="7" t="s">
        <v>160</v>
      </c>
      <c r="J3362" s="7" t="s">
        <v>148</v>
      </c>
      <c r="K3362" s="7"/>
      <c r="L3362" s="7"/>
      <c r="M3362" s="7"/>
    </row>
    <row r="3363" ht="15.75" customHeight="1">
      <c r="A3363" s="7" t="s">
        <v>16611</v>
      </c>
      <c r="B3363" s="45" t="s">
        <v>16612</v>
      </c>
      <c r="C3363" s="7"/>
      <c r="D3363" s="7" t="s">
        <v>16613</v>
      </c>
      <c r="E3363" s="7" t="s">
        <v>11411</v>
      </c>
      <c r="F3363" s="7" t="s">
        <v>11412</v>
      </c>
      <c r="G3363" s="7" t="s">
        <v>16614</v>
      </c>
      <c r="H3363" s="47" t="s">
        <v>14727</v>
      </c>
      <c r="I3363" s="7" t="s">
        <v>160</v>
      </c>
      <c r="J3363" s="7" t="s">
        <v>148</v>
      </c>
      <c r="K3363" s="7"/>
      <c r="L3363" s="7"/>
      <c r="M3363" s="7"/>
    </row>
    <row r="3364" ht="15.75" customHeight="1">
      <c r="A3364" s="7" t="s">
        <v>16615</v>
      </c>
      <c r="B3364" s="45" t="s">
        <v>16616</v>
      </c>
      <c r="C3364" s="7"/>
      <c r="D3364" s="7" t="s">
        <v>16617</v>
      </c>
      <c r="E3364" s="7" t="s">
        <v>8663</v>
      </c>
      <c r="F3364" s="7" t="s">
        <v>8664</v>
      </c>
      <c r="G3364" s="7"/>
      <c r="H3364" s="47" t="s">
        <v>14727</v>
      </c>
      <c r="I3364" s="7" t="s">
        <v>160</v>
      </c>
      <c r="J3364" s="7" t="s">
        <v>148</v>
      </c>
      <c r="K3364" s="7"/>
      <c r="L3364" s="7"/>
      <c r="M3364" s="7"/>
    </row>
    <row r="3365" ht="15.75" customHeight="1">
      <c r="A3365" s="7" t="s">
        <v>16618</v>
      </c>
      <c r="B3365" s="45" t="s">
        <v>16619</v>
      </c>
      <c r="C3365" s="7"/>
      <c r="D3365" s="7" t="s">
        <v>16620</v>
      </c>
      <c r="E3365" s="7" t="s">
        <v>16621</v>
      </c>
      <c r="F3365" s="7" t="s">
        <v>16622</v>
      </c>
      <c r="G3365" s="7"/>
      <c r="H3365" s="47" t="s">
        <v>14727</v>
      </c>
      <c r="I3365" s="7" t="s">
        <v>160</v>
      </c>
      <c r="J3365" s="7" t="s">
        <v>148</v>
      </c>
      <c r="K3365" s="7"/>
      <c r="L3365" s="7"/>
      <c r="M3365" s="7"/>
    </row>
    <row r="3366" ht="15.75" customHeight="1">
      <c r="A3366" s="7" t="s">
        <v>16623</v>
      </c>
      <c r="B3366" s="45" t="s">
        <v>16624</v>
      </c>
      <c r="C3366" s="7"/>
      <c r="D3366" s="7" t="s">
        <v>16625</v>
      </c>
      <c r="E3366" s="7" t="s">
        <v>1004</v>
      </c>
      <c r="F3366" s="7" t="s">
        <v>1005</v>
      </c>
      <c r="G3366" s="7"/>
      <c r="H3366" s="47" t="s">
        <v>14727</v>
      </c>
      <c r="I3366" s="7" t="s">
        <v>160</v>
      </c>
      <c r="J3366" s="7" t="s">
        <v>148</v>
      </c>
      <c r="K3366" s="7"/>
      <c r="L3366" s="7"/>
      <c r="M3366" s="7"/>
    </row>
    <row r="3367" ht="15.75" customHeight="1">
      <c r="A3367" s="7" t="s">
        <v>16626</v>
      </c>
      <c r="B3367" s="45" t="s">
        <v>16627</v>
      </c>
      <c r="C3367" s="7"/>
      <c r="D3367" s="7" t="s">
        <v>4034</v>
      </c>
      <c r="E3367" s="7" t="s">
        <v>4035</v>
      </c>
      <c r="F3367" s="7" t="s">
        <v>4036</v>
      </c>
      <c r="G3367" s="7" t="s">
        <v>16628</v>
      </c>
      <c r="H3367" s="47" t="s">
        <v>14727</v>
      </c>
      <c r="I3367" s="7" t="s">
        <v>160</v>
      </c>
      <c r="J3367" s="7" t="s">
        <v>148</v>
      </c>
      <c r="K3367" s="7"/>
      <c r="L3367" s="7"/>
      <c r="M3367" s="7"/>
    </row>
    <row r="3368" ht="15.75" customHeight="1">
      <c r="A3368" s="7" t="s">
        <v>16629</v>
      </c>
      <c r="B3368" s="45" t="s">
        <v>16630</v>
      </c>
      <c r="C3368" s="7"/>
      <c r="D3368" s="7" t="s">
        <v>16631</v>
      </c>
      <c r="E3368" s="7" t="s">
        <v>14616</v>
      </c>
      <c r="F3368" s="7" t="s">
        <v>14617</v>
      </c>
      <c r="G3368" s="7"/>
      <c r="H3368" s="47" t="s">
        <v>14727</v>
      </c>
      <c r="I3368" s="7" t="s">
        <v>160</v>
      </c>
      <c r="J3368" s="7" t="s">
        <v>148</v>
      </c>
      <c r="K3368" s="7"/>
      <c r="L3368" s="7"/>
      <c r="M3368" s="7"/>
    </row>
    <row r="3369" ht="15.75" customHeight="1">
      <c r="A3369" s="7" t="s">
        <v>16632</v>
      </c>
      <c r="B3369" s="45" t="s">
        <v>16633</v>
      </c>
      <c r="C3369" s="7"/>
      <c r="D3369" s="7" t="s">
        <v>4884</v>
      </c>
      <c r="E3369" s="7" t="s">
        <v>4885</v>
      </c>
      <c r="F3369" s="7" t="s">
        <v>4886</v>
      </c>
      <c r="G3369" s="7"/>
      <c r="H3369" s="47" t="s">
        <v>14727</v>
      </c>
      <c r="I3369" s="7" t="s">
        <v>160</v>
      </c>
      <c r="J3369" s="7" t="s">
        <v>148</v>
      </c>
      <c r="K3369" s="7"/>
      <c r="L3369" s="7"/>
      <c r="M3369" s="7"/>
    </row>
    <row r="3370" ht="15.75" customHeight="1">
      <c r="A3370" s="7" t="s">
        <v>16634</v>
      </c>
      <c r="B3370" s="45" t="s">
        <v>16635</v>
      </c>
      <c r="C3370" s="7"/>
      <c r="D3370" s="7" t="s">
        <v>16636</v>
      </c>
      <c r="E3370" s="7" t="s">
        <v>4616</v>
      </c>
      <c r="F3370" s="7" t="s">
        <v>4617</v>
      </c>
      <c r="G3370" s="7"/>
      <c r="H3370" s="47" t="s">
        <v>14727</v>
      </c>
      <c r="I3370" s="7" t="s">
        <v>160</v>
      </c>
      <c r="J3370" s="7" t="s">
        <v>148</v>
      </c>
      <c r="K3370" s="7"/>
      <c r="L3370" s="7"/>
      <c r="M3370" s="7"/>
    </row>
    <row r="3371" ht="15.75" customHeight="1">
      <c r="A3371" s="7" t="s">
        <v>16637</v>
      </c>
      <c r="B3371" s="45" t="s">
        <v>16638</v>
      </c>
      <c r="C3371" s="7"/>
      <c r="D3371" s="7" t="s">
        <v>307</v>
      </c>
      <c r="E3371" s="7" t="s">
        <v>16639</v>
      </c>
      <c r="F3371" s="7" t="s">
        <v>309</v>
      </c>
      <c r="G3371" s="7" t="s">
        <v>16640</v>
      </c>
      <c r="H3371" s="47" t="s">
        <v>14727</v>
      </c>
      <c r="I3371" s="7" t="s">
        <v>160</v>
      </c>
      <c r="J3371" s="7" t="s">
        <v>148</v>
      </c>
      <c r="K3371" s="7"/>
      <c r="L3371" s="7"/>
      <c r="M3371" s="7"/>
    </row>
    <row r="3372" ht="15.75" customHeight="1">
      <c r="A3372" s="7" t="s">
        <v>16641</v>
      </c>
      <c r="B3372" s="45" t="s">
        <v>16642</v>
      </c>
      <c r="C3372" s="7"/>
      <c r="D3372" s="7" t="s">
        <v>16643</v>
      </c>
      <c r="E3372" s="7" t="s">
        <v>3904</v>
      </c>
      <c r="F3372" s="7" t="s">
        <v>2080</v>
      </c>
      <c r="G3372" s="7"/>
      <c r="H3372" s="47" t="s">
        <v>14727</v>
      </c>
      <c r="I3372" s="7" t="s">
        <v>160</v>
      </c>
      <c r="J3372" s="7" t="s">
        <v>148</v>
      </c>
      <c r="K3372" s="7"/>
      <c r="L3372" s="7"/>
      <c r="M3372" s="7"/>
    </row>
    <row r="3373" ht="15.75" customHeight="1">
      <c r="A3373" s="7" t="s">
        <v>16644</v>
      </c>
      <c r="B3373" s="45" t="s">
        <v>16645</v>
      </c>
      <c r="C3373" s="7"/>
      <c r="D3373" s="7" t="s">
        <v>16646</v>
      </c>
      <c r="E3373" s="7" t="s">
        <v>16647</v>
      </c>
      <c r="F3373" s="7" t="s">
        <v>16648</v>
      </c>
      <c r="G3373" s="7"/>
      <c r="H3373" s="47" t="s">
        <v>14727</v>
      </c>
      <c r="I3373" s="7" t="s">
        <v>160</v>
      </c>
      <c r="J3373" s="7" t="s">
        <v>148</v>
      </c>
      <c r="K3373" s="7"/>
      <c r="L3373" s="7"/>
      <c r="M3373" s="7"/>
    </row>
    <row r="3374" ht="15.75" customHeight="1">
      <c r="A3374" s="7" t="s">
        <v>16649</v>
      </c>
      <c r="B3374" s="45" t="s">
        <v>16650</v>
      </c>
      <c r="C3374" s="7"/>
      <c r="D3374" s="7" t="s">
        <v>16651</v>
      </c>
      <c r="E3374" s="7" t="s">
        <v>13419</v>
      </c>
      <c r="F3374" s="7" t="s">
        <v>13425</v>
      </c>
      <c r="G3374" s="7"/>
      <c r="H3374" s="47" t="s">
        <v>14727</v>
      </c>
      <c r="I3374" s="7" t="s">
        <v>160</v>
      </c>
      <c r="J3374" s="7" t="s">
        <v>148</v>
      </c>
      <c r="K3374" s="7"/>
      <c r="L3374" s="7"/>
      <c r="M3374" s="7"/>
    </row>
    <row r="3375" ht="15.75" customHeight="1">
      <c r="A3375" s="7" t="s">
        <v>16652</v>
      </c>
      <c r="B3375" s="45" t="s">
        <v>16653</v>
      </c>
      <c r="C3375" s="7"/>
      <c r="D3375" s="7" t="s">
        <v>16654</v>
      </c>
      <c r="E3375" s="7" t="s">
        <v>7903</v>
      </c>
      <c r="F3375" s="7" t="s">
        <v>7904</v>
      </c>
      <c r="G3375" s="7" t="s">
        <v>16655</v>
      </c>
      <c r="H3375" s="47" t="s">
        <v>14727</v>
      </c>
      <c r="I3375" s="7" t="s">
        <v>160</v>
      </c>
      <c r="J3375" s="7" t="s">
        <v>148</v>
      </c>
      <c r="K3375" s="7"/>
      <c r="L3375" s="7"/>
      <c r="M3375" s="7"/>
    </row>
    <row r="3376" ht="15.75" customHeight="1">
      <c r="A3376" s="7" t="s">
        <v>16656</v>
      </c>
      <c r="B3376" s="45" t="s">
        <v>16657</v>
      </c>
      <c r="C3376" s="7"/>
      <c r="D3376" s="7" t="s">
        <v>16658</v>
      </c>
      <c r="E3376" s="7"/>
      <c r="F3376" s="7"/>
      <c r="G3376" s="7"/>
      <c r="H3376" s="48" t="s">
        <v>16659</v>
      </c>
      <c r="I3376" s="7" t="s">
        <v>16660</v>
      </c>
      <c r="J3376" s="7" t="s">
        <v>148</v>
      </c>
      <c r="K3376" s="7"/>
      <c r="L3376" s="7"/>
      <c r="M3376" s="7"/>
    </row>
    <row r="3377" ht="15.75" customHeight="1">
      <c r="A3377" s="7" t="s">
        <v>16661</v>
      </c>
      <c r="B3377" s="45" t="s">
        <v>16662</v>
      </c>
      <c r="C3377" s="7"/>
      <c r="D3377" s="7" t="s">
        <v>15167</v>
      </c>
      <c r="E3377" s="7"/>
      <c r="F3377" s="7"/>
      <c r="G3377" s="7"/>
      <c r="H3377" s="48" t="s">
        <v>16659</v>
      </c>
      <c r="I3377" s="7" t="s">
        <v>16660</v>
      </c>
      <c r="J3377" s="7" t="s">
        <v>148</v>
      </c>
      <c r="K3377" s="7"/>
      <c r="L3377" s="7"/>
      <c r="M3377" s="7"/>
    </row>
    <row r="3378" ht="15.75" customHeight="1">
      <c r="A3378" s="7" t="s">
        <v>16663</v>
      </c>
      <c r="B3378" s="45" t="s">
        <v>16664</v>
      </c>
      <c r="C3378" s="7"/>
      <c r="D3378" s="7" t="s">
        <v>16665</v>
      </c>
      <c r="E3378" s="7"/>
      <c r="F3378" s="7"/>
      <c r="G3378" s="7"/>
      <c r="H3378" s="48" t="s">
        <v>16659</v>
      </c>
      <c r="I3378" s="7" t="s">
        <v>16660</v>
      </c>
      <c r="J3378" s="7" t="s">
        <v>148</v>
      </c>
      <c r="K3378" s="7"/>
      <c r="L3378" s="7"/>
      <c r="M3378" s="7"/>
    </row>
    <row r="3379" ht="15.75" customHeight="1">
      <c r="A3379" s="7" t="s">
        <v>16666</v>
      </c>
      <c r="B3379" s="45" t="s">
        <v>16667</v>
      </c>
      <c r="C3379" s="7"/>
      <c r="D3379" s="7" t="s">
        <v>15162</v>
      </c>
      <c r="E3379" s="7"/>
      <c r="F3379" s="7"/>
      <c r="G3379" s="7"/>
      <c r="H3379" s="48" t="s">
        <v>16659</v>
      </c>
      <c r="I3379" s="7" t="s">
        <v>16660</v>
      </c>
      <c r="J3379" s="7" t="s">
        <v>148</v>
      </c>
      <c r="K3379" s="7"/>
      <c r="L3379" s="7"/>
      <c r="M3379" s="7"/>
    </row>
    <row r="3380" ht="15.75" customHeight="1">
      <c r="A3380" s="7" t="s">
        <v>16668</v>
      </c>
      <c r="B3380" s="45" t="s">
        <v>16669</v>
      </c>
      <c r="C3380" s="7"/>
      <c r="D3380" s="7" t="s">
        <v>1165</v>
      </c>
      <c r="E3380" s="7"/>
      <c r="F3380" s="7"/>
      <c r="G3380" s="7"/>
      <c r="H3380" s="48" t="s">
        <v>16659</v>
      </c>
      <c r="I3380" s="7" t="s">
        <v>16660</v>
      </c>
      <c r="J3380" s="7" t="s">
        <v>148</v>
      </c>
      <c r="K3380" s="7"/>
      <c r="L3380" s="7"/>
      <c r="M3380" s="7"/>
    </row>
    <row r="3381" ht="15.75" customHeight="1">
      <c r="A3381" s="7" t="s">
        <v>16670</v>
      </c>
      <c r="B3381" s="45" t="s">
        <v>16671</v>
      </c>
      <c r="C3381" s="7"/>
      <c r="D3381" s="7" t="s">
        <v>16672</v>
      </c>
      <c r="E3381" s="7"/>
      <c r="F3381" s="7"/>
      <c r="G3381" s="7"/>
      <c r="H3381" s="48" t="s">
        <v>16659</v>
      </c>
      <c r="I3381" s="7" t="s">
        <v>16660</v>
      </c>
      <c r="J3381" s="7" t="s">
        <v>148</v>
      </c>
      <c r="K3381" s="7"/>
      <c r="L3381" s="7"/>
      <c r="M3381" s="7"/>
    </row>
    <row r="3382" ht="15.75" customHeight="1">
      <c r="A3382" s="7" t="s">
        <v>16673</v>
      </c>
      <c r="B3382" s="45" t="s">
        <v>16674</v>
      </c>
      <c r="C3382" s="7"/>
      <c r="D3382" s="7" t="s">
        <v>15461</v>
      </c>
      <c r="E3382" s="7"/>
      <c r="F3382" s="7"/>
      <c r="G3382" s="7"/>
      <c r="H3382" s="48" t="s">
        <v>16659</v>
      </c>
      <c r="I3382" s="7" t="s">
        <v>16660</v>
      </c>
      <c r="J3382" s="7" t="s">
        <v>148</v>
      </c>
      <c r="K3382" s="7"/>
      <c r="L3382" s="7"/>
      <c r="M3382" s="7"/>
    </row>
    <row r="3383" ht="15.75" customHeight="1">
      <c r="A3383" s="7" t="s">
        <v>16675</v>
      </c>
      <c r="B3383" s="45" t="s">
        <v>16676</v>
      </c>
      <c r="C3383" s="7"/>
      <c r="D3383" s="7" t="s">
        <v>6597</v>
      </c>
      <c r="E3383" s="7"/>
      <c r="F3383" s="7"/>
      <c r="G3383" s="7"/>
      <c r="H3383" s="48" t="s">
        <v>16659</v>
      </c>
      <c r="I3383" s="7" t="s">
        <v>16660</v>
      </c>
      <c r="J3383" s="7" t="s">
        <v>148</v>
      </c>
      <c r="K3383" s="7"/>
      <c r="L3383" s="7"/>
      <c r="M3383" s="7"/>
    </row>
    <row r="3384" ht="15.75" customHeight="1">
      <c r="A3384" s="7" t="s">
        <v>16677</v>
      </c>
      <c r="B3384" s="45" t="s">
        <v>16678</v>
      </c>
      <c r="C3384" s="7"/>
      <c r="D3384" s="7" t="s">
        <v>12582</v>
      </c>
      <c r="E3384" s="7"/>
      <c r="F3384" s="7"/>
      <c r="G3384" s="7"/>
      <c r="H3384" s="48" t="s">
        <v>16659</v>
      </c>
      <c r="I3384" s="7" t="s">
        <v>16660</v>
      </c>
      <c r="J3384" s="7" t="s">
        <v>148</v>
      </c>
      <c r="K3384" s="7"/>
      <c r="L3384" s="7"/>
      <c r="M3384" s="7"/>
    </row>
    <row r="3385" ht="15.75" customHeight="1">
      <c r="A3385" s="7" t="s">
        <v>16679</v>
      </c>
      <c r="B3385" s="45" t="s">
        <v>16680</v>
      </c>
      <c r="C3385" s="7"/>
      <c r="D3385" s="7" t="s">
        <v>16681</v>
      </c>
      <c r="E3385" s="7"/>
      <c r="F3385" s="7"/>
      <c r="G3385" s="7"/>
      <c r="H3385" s="48" t="s">
        <v>16659</v>
      </c>
      <c r="I3385" s="7" t="s">
        <v>16660</v>
      </c>
      <c r="J3385" s="7" t="s">
        <v>148</v>
      </c>
      <c r="K3385" s="7"/>
      <c r="L3385" s="7"/>
      <c r="M3385" s="7"/>
    </row>
    <row r="3386" ht="15.75" customHeight="1">
      <c r="A3386" s="7" t="s">
        <v>16682</v>
      </c>
      <c r="B3386" s="45" t="s">
        <v>16683</v>
      </c>
      <c r="C3386" s="7"/>
      <c r="D3386" s="7" t="s">
        <v>15157</v>
      </c>
      <c r="E3386" s="7"/>
      <c r="F3386" s="7"/>
      <c r="G3386" s="7"/>
      <c r="H3386" s="48" t="s">
        <v>16659</v>
      </c>
      <c r="I3386" s="7" t="s">
        <v>16660</v>
      </c>
      <c r="J3386" s="7" t="s">
        <v>148</v>
      </c>
      <c r="K3386" s="7"/>
      <c r="L3386" s="7"/>
      <c r="M3386" s="7"/>
    </row>
    <row r="3387" ht="15.75" customHeight="1">
      <c r="A3387" s="7" t="s">
        <v>16684</v>
      </c>
      <c r="B3387" s="45" t="s">
        <v>16685</v>
      </c>
      <c r="C3387" s="7"/>
      <c r="D3387" s="7" t="s">
        <v>16686</v>
      </c>
      <c r="E3387" s="7"/>
      <c r="F3387" s="7"/>
      <c r="G3387" s="7"/>
      <c r="H3387" s="48" t="s">
        <v>16659</v>
      </c>
      <c r="I3387" s="7" t="s">
        <v>16660</v>
      </c>
      <c r="J3387" s="7" t="s">
        <v>148</v>
      </c>
      <c r="K3387" s="7"/>
      <c r="L3387" s="7"/>
      <c r="M3387" s="7"/>
    </row>
    <row r="3388" ht="15.75" customHeight="1">
      <c r="A3388" s="7" t="s">
        <v>16687</v>
      </c>
      <c r="B3388" s="45" t="s">
        <v>16688</v>
      </c>
      <c r="C3388" s="7"/>
      <c r="D3388" s="7" t="s">
        <v>16689</v>
      </c>
      <c r="E3388" s="7"/>
      <c r="F3388" s="7"/>
      <c r="G3388" s="7"/>
      <c r="H3388" s="48" t="s">
        <v>16659</v>
      </c>
      <c r="I3388" s="7" t="s">
        <v>16660</v>
      </c>
      <c r="J3388" s="7" t="s">
        <v>148</v>
      </c>
      <c r="K3388" s="7"/>
      <c r="L3388" s="7"/>
      <c r="M3388" s="7"/>
    </row>
    <row r="3389" ht="15.75" customHeight="1">
      <c r="A3389" s="7" t="s">
        <v>16690</v>
      </c>
      <c r="B3389" s="45" t="s">
        <v>16691</v>
      </c>
      <c r="C3389" s="7"/>
      <c r="D3389" s="7" t="s">
        <v>16445</v>
      </c>
      <c r="E3389" s="7"/>
      <c r="F3389" s="7"/>
      <c r="G3389" s="7"/>
      <c r="H3389" s="48" t="s">
        <v>16659</v>
      </c>
      <c r="I3389" s="7" t="s">
        <v>16660</v>
      </c>
      <c r="J3389" s="7" t="s">
        <v>148</v>
      </c>
      <c r="K3389" s="7"/>
      <c r="L3389" s="7"/>
      <c r="M3389" s="7"/>
    </row>
    <row r="3390" ht="15.75" customHeight="1">
      <c r="A3390" s="7" t="s">
        <v>16692</v>
      </c>
      <c r="B3390" s="45" t="s">
        <v>16693</v>
      </c>
      <c r="C3390" s="7"/>
      <c r="D3390" s="7" t="s">
        <v>16694</v>
      </c>
      <c r="E3390" s="7"/>
      <c r="F3390" s="7"/>
      <c r="G3390" s="7"/>
      <c r="H3390" s="48" t="s">
        <v>16659</v>
      </c>
      <c r="I3390" s="7" t="s">
        <v>16660</v>
      </c>
      <c r="J3390" s="7" t="s">
        <v>148</v>
      </c>
      <c r="K3390" s="7"/>
      <c r="L3390" s="7"/>
      <c r="M3390" s="7"/>
    </row>
    <row r="3391" ht="15.75" customHeight="1">
      <c r="A3391" s="7" t="s">
        <v>16695</v>
      </c>
      <c r="B3391" s="45" t="s">
        <v>16696</v>
      </c>
      <c r="C3391" s="7"/>
      <c r="D3391" s="7" t="s">
        <v>16697</v>
      </c>
      <c r="E3391" s="7"/>
      <c r="F3391" s="7"/>
      <c r="G3391" s="7"/>
      <c r="H3391" s="48" t="s">
        <v>16659</v>
      </c>
      <c r="I3391" s="7" t="s">
        <v>16660</v>
      </c>
      <c r="J3391" s="7" t="s">
        <v>148</v>
      </c>
      <c r="K3391" s="7"/>
      <c r="L3391" s="7"/>
      <c r="M3391" s="7"/>
    </row>
    <row r="3392" ht="15.75" customHeight="1">
      <c r="A3392" s="7" t="s">
        <v>16698</v>
      </c>
      <c r="B3392" s="45" t="s">
        <v>16699</v>
      </c>
      <c r="C3392" s="7"/>
      <c r="D3392" s="7" t="s">
        <v>16700</v>
      </c>
      <c r="E3392" s="7"/>
      <c r="F3392" s="7"/>
      <c r="G3392" s="7"/>
      <c r="H3392" s="48" t="s">
        <v>16659</v>
      </c>
      <c r="I3392" s="7" t="s">
        <v>16660</v>
      </c>
      <c r="J3392" s="7" t="s">
        <v>148</v>
      </c>
      <c r="K3392" s="7"/>
      <c r="L3392" s="7"/>
      <c r="M3392" s="7"/>
    </row>
    <row r="3393" ht="15.75" customHeight="1">
      <c r="A3393" s="7" t="s">
        <v>16701</v>
      </c>
      <c r="B3393" s="45" t="s">
        <v>16702</v>
      </c>
      <c r="C3393" s="7"/>
      <c r="D3393" s="7" t="s">
        <v>16703</v>
      </c>
      <c r="E3393" s="7"/>
      <c r="F3393" s="7"/>
      <c r="G3393" s="7"/>
      <c r="H3393" s="48" t="s">
        <v>16659</v>
      </c>
      <c r="I3393" s="7" t="s">
        <v>16660</v>
      </c>
      <c r="J3393" s="7" t="s">
        <v>148</v>
      </c>
      <c r="K3393" s="7"/>
      <c r="L3393" s="7"/>
      <c r="M3393" s="7"/>
    </row>
  </sheetData>
  <autoFilter ref="$A$7:$M$3393"/>
  <mergeCells count="1">
    <mergeCell ref="A1:M1"/>
  </mergeCells>
  <printOptions/>
  <pageMargins bottom="1.0" footer="0.0" header="0.0" left="0.75" right="0.75" top="1.0"/>
  <pageSetup paperSize="9" orientation="portrait"/>
  <drawing r:id="rId1"/>
</worksheet>
</file>